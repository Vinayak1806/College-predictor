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9379cd5f5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8f4582c3f3486c"/>
    <x:sheet xmlns:r="http://schemas.openxmlformats.org/officeDocument/2006/relationships" name="Top_Colleges" sheetId="2" r:id="R456c362d13194b05"/>
    <x:sheet xmlns:r="http://schemas.openxmlformats.org/officeDocument/2006/relationships" name="Colleges" sheetId="3" r:id="Rd8344d013fe84042"/>
    <x:sheet xmlns:r="http://schemas.openxmlformats.org/officeDocument/2006/relationships" name="DSE_Seat_Matrix" sheetId="4" r:id="R02c29ac00c984a9e"/>
    <x:sheet xmlns:r="http://schemas.openxmlformats.org/officeDocument/2006/relationships" name="Branch_Summary" sheetId="5" r:id="R0fc88d6f996d4173"/>
    <x:sheet xmlns:r="http://schemas.openxmlformats.org/officeDocument/2006/relationships" name="Fees" sheetId="6" r:id="R0fc1349298df492a"/>
    <x:sheet xmlns:r="http://schemas.openxmlformats.org/officeDocument/2006/relationships" name="Official_Websites" sheetId="7" r:id="R06e0d85ad38e47c7"/>
    <x:sheet xmlns:r="http://schemas.openxmlformats.org/officeDocument/2006/relationships" name="Sources_Coverage" sheetId="8" r:id="R80b8b8d54009464f"/>
    <x:sheet xmlns:r="http://schemas.openxmlformats.org/officeDocument/2006/relationships" name="Data_Dictionary" sheetId="9" r:id="R6fe52cc04eef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0000"/>
    <x:numFmt numFmtId="202" formatCode="₹#,##0"/>
    <x:numFmt numFmtId="203" formatCode="0.00"/>
    <x:numFmt numFmtId="204" formatCode="0"/>
    <x:numFmt numFmtId="205" formatCode="00000000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7F9FC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/>
    <x:xf numFmtId="0" fontId="9" fillId="6" borderId="0" xfId="0" applyNumberFormat="1" applyFont="1" applyFill="1" applyBorder="1"/>
    <x:xf numFmtId="0" fontId="10" fillId="0" borderId="1" xfId="0" applyNumberFormat="1" applyFont="1" applyFill="1" applyBorder="1"/>
    <x:xf numFmtId="200" fontId="8" fillId="5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7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top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vertical="top"/>
    </x:xf>
    <x:xf numFmtId="0" fontId="9" fillId="6" borderId="0" xfId="0" applyNumberFormat="1" applyFont="1" applyFill="1" applyBorder="1" applyAlignment="1">
      <x:alignment vertical="top"/>
    </x:xf>
    <x:xf numFmtId="0" fontId="10" fillId="0" borderId="1" xfId="0" applyNumberFormat="1" applyFont="1" applyFill="1" applyBorder="1" applyAlignment="1">
      <x:alignment vertical="top"/>
    </x:xf>
    <x:xf numFmtId="200" fontId="8" fillId="5" borderId="1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7" borderId="0" xfId="0" applyNumberFormat="1" applyFont="1" applyFill="1" applyBorder="1"/>
    <x:xf numFmtId="0" fontId="9" fillId="4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/>
    </x:xf>
    <x:xf numFmtId="201" fontId="8" fillId="0" borderId="0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</x:xf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3" fontId="8" fillId="0" borderId="0" xfId="0" applyNumberFormat="1" applyFont="1" applyFill="1" applyBorder="1" applyAlignment="1">
      <x:alignment vertical="top"/>
    </x:xf>
    <x:xf numFmtId="204" fontId="8" fillId="0" borderId="0" xfId="0" applyNumberFormat="1" applyFont="1" applyFill="1" applyBorder="1" applyAlignment="1">
      <x:alignment vertical="top"/>
    </x:xf>
    <x:xf numFmtId="205" fontId="8" fillId="0" borderId="0" xfId="0" applyNumberFormat="1" applyFont="1" applyFill="1" applyBorder="1"/>
    <x:xf numFmtId="200" fontId="8" fillId="0" borderId="0" xfId="0" applyNumberFormat="1" applyFont="1" applyFill="1" applyBorder="1"/>
    <x:xf numFmtId="205" fontId="8" fillId="0" borderId="0" xfId="0" applyNumberFormat="1" applyFont="1" applyFill="1" applyBorder="1" applyAlignment="1">
      <x:alignment vertical="top"/>
    </x:xf>
    <x:xf numFmtId="200" fontId="8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513400a0a4524" /><Relationship Type="http://schemas.openxmlformats.org/officeDocument/2006/relationships/theme" Target="/xl/theme/theme1.xml" Id="Rf995162ba25a4baa" /><Relationship Type="http://schemas.openxmlformats.org/officeDocument/2006/relationships/sharedStrings" Target="/xl/sharedStrings.xml" Id="R3599822937a34938" /><Relationship Type="http://schemas.openxmlformats.org/officeDocument/2006/relationships/worksheet" Target="/xl/worksheets/sheet1.xml" Id="Rad8f4582c3f3486c" /><Relationship Type="http://schemas.openxmlformats.org/officeDocument/2006/relationships/worksheet" Target="/xl/worksheets/sheet2.xml" Id="R456c362d13194b05" /><Relationship Type="http://schemas.openxmlformats.org/officeDocument/2006/relationships/worksheet" Target="/xl/worksheets/sheet3.xml" Id="Rd8344d013fe84042" /><Relationship Type="http://schemas.openxmlformats.org/officeDocument/2006/relationships/worksheet" Target="/xl/worksheets/sheet4.xml" Id="R02c29ac00c984a9e" /><Relationship Type="http://schemas.openxmlformats.org/officeDocument/2006/relationships/worksheet" Target="/xl/worksheets/sheet5.xml" Id="R0fc88d6f996d4173" /><Relationship Type="http://schemas.openxmlformats.org/officeDocument/2006/relationships/worksheet" Target="/xl/worksheets/sheet6.xml" Id="R0fc1349298df492a" /><Relationship Type="http://schemas.openxmlformats.org/officeDocument/2006/relationships/worksheet" Target="/xl/worksheets/sheet7.xml" Id="R06e0d85ad38e47c7" /><Relationship Type="http://schemas.openxmlformats.org/officeDocument/2006/relationships/worksheet" Target="/xl/worksheets/sheet8.xml" Id="R80b8b8d54009464f" /><Relationship Type="http://schemas.openxmlformats.org/officeDocument/2006/relationships/worksheet" Target="/xl/worksheets/sheet9.xml" Id="R6fe52cc04eef4f55" /></Relationships>
</file>

<file path=xl/tables/table1.xml><?xml version="1.0" encoding="utf-8"?>
<x:table xmlns:x="http://schemas.openxmlformats.org/spreadsheetml/2006/main" id="1" name="TopCollegeReferences" displayName="TopCollegeReferences" ref="A5:M29" headerRowCount="1" totalsRowCount="0" totalsRowShown="0">
  <x:autoFilter ref="A5:M29"/>
  <x:tableColumns count="13">
    <x:tableColumn id="1" name="Evidence Section"/>
    <x:tableColumn id="2" name="Institute Code"/>
    <x:tableColumn id="3" name="Institute Name"/>
    <x:tableColumn id="4" name="District / City"/>
    <x:tableColumn id="5" name="Ownership"/>
    <x:tableColumn id="6" name="Autonomy"/>
    <x:tableColumn id="7" name="NIRF 2025 Rank"/>
    <x:tableColumn id="8" name="NIRF 2025 Band"/>
    <x:tableColumn id="9" name="DSE Seats 2025-26"/>
    <x:tableColumn id="10" name="DSE Branches"/>
    <x:tableColumn id="11" name="Latest Verified Normal Annual Fee"/>
    <x:tableColumn id="12" name="Fee Year"/>
    <x:tableColumn id="13" name="Official Webs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SEColleges" displayName="DSEColleges" ref="A1:AL354" headerRowCount="1" totalsRowCount="0" totalsRowShown="0">
  <x:autoFilter ref="A1:AL354"/>
  <x:tableColumns count="38">
    <x:tableColumn id="1" name="Institute Code"/>
    <x:tableColumn id="2" name="Institute Name"/>
    <x:tableColumn id="3" name="State"/>
    <x:tableColumn id="4" name="Region"/>
    <x:tableColumn id="5" name="District / City"/>
    <x:tableColumn id="6" name="Address"/>
    <x:tableColumn id="7" name="Ownership Type"/>
    <x:tableColumn id="8" name="Autonomy Status"/>
    <x:tableColumn id="9" name="Minority Status"/>
    <x:tableColumn id="10" name="University"/>
    <x:tableColumn id="11" name="DSE Branch Count"/>
    <x:tableColumn id="12" name="DSE Total Seats 2025-26"/>
    <x:tableColumn id="13" name="MS Seats"/>
    <x:tableColumn id="14" name="EWS Seats"/>
    <x:tableColumn id="15" name="Minority Seats"/>
    <x:tableColumn id="16" name="Other Seats"/>
    <x:tableColumn id="17" name="Seat Matrix Status"/>
    <x:tableColumn id="18" name="Fee Year"/>
    <x:tableColumn id="19" name="Tuition Fee"/>
    <x:tableColumn id="20" name="Development Fee"/>
    <x:tableColumn id="21" name="Total Approved Fee"/>
    <x:tableColumn id="22" name="Fee Basis Note"/>
    <x:tableColumn id="23" name="NIRF 2025 Rank"/>
    <x:tableColumn id="24" name="NIRF 2025 Band"/>
    <x:tableColumn id="25" name="NIRF 2025 Score"/>
    <x:tableColumn id="26" name="NIRF Matched Name"/>
    <x:tableColumn id="27" name="Official Website"/>
    <x:tableColumn id="28" name="Website Verification"/>
    <x:tableColumn id="29" name="NAAC Status"/>
    <x:tableColumn id="30" name="NBA Status"/>
    <x:tableColumn id="31" name="Placement Data Status"/>
    <x:tableColumn id="32" name="Student Preference Data Status"/>
    <x:tableColumn id="33" name="Seat Matrix Source"/>
    <x:tableColumn id="34" name="College Reference Source"/>
    <x:tableColumn id="35" name="NIRF Source"/>
    <x:tableColumn id="36" name="Data Quality Note"/>
    <x:tableColumn id="37" name="Project Evidence Score"/>
    <x:tableColumn id="38" name="Planning 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SESeatMatrix" displayName="DSESeatMatrix" ref="A1:M2021" headerRowCount="1" totalsRowCount="0" totalsRowShown="0">
  <x:autoFilter ref="A1:M2021"/>
  <x:tableColumns count="13">
    <x:tableColumn id="1" name="Academic Year"/>
    <x:tableColumn id="2" name="Institute Code"/>
    <x:tableColumn id="3" name="Institute Name"/>
    <x:tableColumn id="4" name="Choice Code"/>
    <x:tableColumn id="5" name="Branch"/>
    <x:tableColumn id="6" name="Total DSE Seats"/>
    <x:tableColumn id="7" name="MS Seats"/>
    <x:tableColumn id="8" name="EWS Seats"/>
    <x:tableColumn id="9" name="Minority Seats"/>
    <x:tableColumn id="10" name="Other Seats"/>
    <x:tableColumn id="11" name="Institute Status from PDF"/>
    <x:tableColumn id="12" name="Seat Composition Text"/>
    <x:tableColumn id="13" name="Official 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SEBranchSummary" displayName="DSEBranchSummary" ref="A5:H96" headerRowCount="1" totalsRowCount="0" totalsRowShown="0">
  <x:autoFilter ref="A5:H96"/>
  <x:tableColumns count="8">
    <x:tableColumn id="1" name="Branch"/>
    <x:tableColumn id="2" name="College Count"/>
    <x:tableColumn id="3" name="Seat Matrix Rows"/>
    <x:tableColumn id="4" name="Total DSE Seats"/>
    <x:tableColumn id="5" name="MS Seats"/>
    <x:tableColumn id="6" name="EWS Seats"/>
    <x:tableColumn id="7" name="Minority Seats"/>
    <x:tableColumn id="8" name="Other Sea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SEFees" displayName="DSEFees" ref="A1:J354" headerRowCount="1" totalsRowCount="0" totalsRowShown="0">
  <x:autoFilter ref="A1:J354"/>
  <x:tableColumns count="10">
    <x:tableColumn id="1" name="Institute Code"/>
    <x:tableColumn id="2" name="Institute Name"/>
    <x:tableColumn id="3" name="District / City"/>
    <x:tableColumn id="4" name="Fee Year"/>
    <x:tableColumn id="5" name="Tuition Fee"/>
    <x:tableColumn id="6" name="Development Fee"/>
    <x:tableColumn id="7" name="Total Approved Fee"/>
    <x:tableColumn id="8" name="Verification Status"/>
    <x:tableColumn id="9" name="Seat-Type Interpretation"/>
    <x:tableColumn id="10" name="College Reference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SEOfficialWebsites" displayName="DSEOfficialWebsites" ref="A1:F354" headerRowCount="1" totalsRowCount="0" totalsRowShown="0">
  <x:autoFilter ref="A1:F354"/>
  <x:tableColumns count="6">
    <x:tableColumn id="1" name="Institute Code"/>
    <x:tableColumn id="2" name="Institute Name"/>
    <x:tableColumn id="3" name="District / City"/>
    <x:tableColumn id="4" name="Official Website"/>
    <x:tableColumn id="5" name="Verification Status"/>
    <x:tableColumn id="6" name="Website Completeness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SESources" displayName="DSESources" ref="A5:F16" headerRowCount="1" totalsRowCount="0" totalsRowShown="0">
  <x:autoFilter ref="A5:F16"/>
  <x:tableColumns count="6">
    <x:tableColumn id="1" name="Source"/>
    <x:tableColumn id="2" name="Cycle"/>
    <x:tableColumn id="3" name="Fields Used"/>
    <x:tableColumn id="4" name="Official URL"/>
    <x:tableColumn id="5" name="Authority"/>
    <x:tableColumn id="6" name="Coverage / Limi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SEDataDictionary" displayName="DSEDataDictionary" ref="A5:D21" headerRowCount="1" totalsRowCount="0" totalsRowShown="0">
  <x:autoFilter ref="A5:D21"/>
  <x:tableColumns count="4">
    <x:tableColumn id="1" name="Field"/>
    <x:tableColumn id="2" name="Type"/>
    <x:tableColumn id="3" name="Definition"/>
    <x:tableColumn id="4" name="Predictor 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2fbf9224f84d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c145e46016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8d8418e40e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0355af429944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d55fe0b93f48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3f29c9de9d4e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dca3d88ad643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2a13616a1a44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3" hidden="0" customWidth="1"/>
    <x:col min="4" max="4" width="7" hidden="0" customWidth="1"/>
    <x:col min="5" max="5" width="21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47" t="str">
        <x:v>Maharashtra Direct Second Year Engineering Dataset</x:v>
      </x:c>
      <x:c r="B1" s="47"/>
      <x:c r="C1" s="47"/>
      <x:c r="D1" s="47"/>
      <x:c r="E1" s="47"/>
      <x:c r="F1" s="47"/>
      <x:c r="G1" s="47"/>
      <x:c r="H1" s="47"/>
    </x:row>
    <x:row r="2" ht="42" customHeight="1">
      <x:c r="A2" s="48" t="str">
        <x:v>Predictor-ready reference for Maharashtra DSE B.E./B.Tech admissions. Cutoff marks, merit numbers and CAP-round allotment outcomes are intentionally excluded.</x:v>
      </x:c>
      <x:c r="B2" s="48"/>
      <x:c r="C2" s="48"/>
      <x:c r="D2" s="48"/>
      <x:c r="E2" s="48"/>
      <x:c r="F2" s="48"/>
      <x:c r="G2" s="48"/>
      <x:c r="H2" s="48"/>
    </x:row>
    <x:row r="3" ht="42" customHeight="1">
      <x:c r="A3" s="48"/>
      <x:c r="B3" s="48"/>
      <x:c r="C3" s="48"/>
      <x:c r="D3" s="48"/>
      <x:c r="E3" s="48"/>
      <x:c r="F3" s="48"/>
      <x:c r="G3" s="48"/>
      <x:c r="H3" s="48"/>
    </x:row>
    <x:row r="4">
      <x:c r="A4" s="49"/>
      <x:c r="B4" s="49"/>
      <x:c r="C4" s="49"/>
      <x:c r="D4" s="49"/>
      <x:c r="E4" s="49"/>
      <x:c r="F4" s="49"/>
      <x:c r="G4" s="49"/>
      <x:c r="H4" s="49"/>
    </x:row>
    <x:row r="5">
      <x:c r="A5" s="50" t="str">
        <x:v>Workbook snapshot</x:v>
      </x:c>
      <x:c r="B5" s="50" t="str">
        <x:v>Value</x:v>
      </x:c>
      <x:c r="C5" s="49"/>
      <x:c r="D5" s="51" t="str">
        <x:v>Critical interpretation notes</x:v>
      </x:c>
      <x:c r="E5" s="51"/>
      <x:c r="F5" s="51"/>
      <x:c r="G5" s="51"/>
      <x:c r="H5" s="51"/>
    </x:row>
    <x:row r="6">
      <x:c r="A6" s="52" t="str">
        <x:v>DSE institutes in reference</x:v>
      </x:c>
      <x:c r="B6" s="53" t="n">
        <x:f>COUNTA(Colleges!A2:A354)</x:f>
        <x:v>353</x:v>
      </x:c>
      <x:c r="C6" s="49"/>
      <x:c r="D6" s="33" t="str">
        <x:v>1</x:v>
      </x:c>
      <x:c r="E6" s="34" t="str">
        <x:v>Seat matrix</x:v>
      </x:c>
      <x:c r="F6" s="35" t="str">
        <x:v>2025–26 CAP Round II institute PDFs. Totals are admission capacity/composition, not cutoff data.</x:v>
      </x:c>
      <x:c r="G6" s="35"/>
      <x:c r="H6" s="35"/>
    </x:row>
    <x:row r="7">
      <x:c r="A7" s="52" t="str">
        <x:v>Branch-level seat rows</x:v>
      </x:c>
      <x:c r="B7" s="53" t="n">
        <x:f>COUNTA(DSE_Seat_Matrix!A2:A2021)</x:f>
        <x:v>2020</x:v>
      </x:c>
      <x:c r="C7" s="49"/>
      <x:c r="D7" s="33" t="str">
        <x:v>2</x:v>
      </x:c>
      <x:c r="E7" s="34" t="str">
        <x:v>2026–27 status</x:v>
      </x:c>
      <x:c r="F7" s="35" t="str">
        <x:v>The current CET/DTE portals are listed in Sources_Coverage, but a fully extractable 2026–27 DSE seat matrix was not available when this file was prepared.</x:v>
      </x:c>
      <x:c r="G7" s="35"/>
      <x:c r="H7" s="35"/>
    </x:row>
    <x:row r="8">
      <x:c r="A8" s="52" t="str">
        <x:v>Total DSE seats in extracted matrix</x:v>
      </x:c>
      <x:c r="B8" s="53" t="n">
        <x:f>SUM(DSE_Seat_Matrix!F2:F2021)</x:f>
        <x:v>51323</x:v>
      </x:c>
      <x:c r="C8" s="49"/>
      <x:c r="D8" s="33" t="str">
        <x:v>3</x:v>
      </x:c>
      <x:c r="E8" s="34" t="str">
        <x:v>Fees</x:v>
      </x:c>
      <x:c r="F8" s="35" t="str">
        <x:v>Latest verified FRA record, normally 2024–25. This is the normal annual tuition + development fee, not a category/seat-type payable amount.</x:v>
      </x:c>
      <x:c r="G8" s="35"/>
      <x:c r="H8" s="35"/>
    </x:row>
    <x:row r="9">
      <x:c r="A9" s="52" t="str">
        <x:v>Institutes with parsed seat matrix</x:v>
      </x:c>
      <x:c r="B9" s="53" t="n">
        <x:f>COUNT(Colleges!L2:L354)</x:f>
        <x:v>346</x:v>
      </x:c>
      <x:c r="C9" s="49"/>
      <x:c r="D9" s="33" t="str">
        <x:v>4</x:v>
      </x:c>
      <x:c r="E9" s="34" t="str">
        <x:v>Rankings</x:v>
      </x:c>
      <x:c r="F9" s="35" t="str">
        <x:v>Only NIRF 2025 matches are official. The project evidence score is a transparent predictor feature, not a government or college rank.</x:v>
      </x:c>
      <x:c r="G9" s="35"/>
      <x:c r="H9" s="35"/>
    </x:row>
    <x:row r="10">
      <x:c r="A10" s="52" t="str">
        <x:v>Institutes with verified fee record</x:v>
      </x:c>
      <x:c r="B10" s="53" t="n">
        <x:f>COUNT(Colleges!U2:U354)</x:f>
        <x:v>296</x:v>
      </x:c>
      <x:c r="C10" s="49"/>
      <x:c r="D10" s="33" t="str">
        <x:v>5</x:v>
      </x:c>
      <x:c r="E10" s="34" t="str">
        <x:v>Websites</x:v>
      </x:c>
      <x:c r="F10" s="35" t="str">
        <x:v>Only verified official domains are populated. Blank does not mean the college has no site; it means the domain was not centrally verified in this dataset.</x:v>
      </x:c>
      <x:c r="G10" s="35"/>
      <x:c r="H10" s="35"/>
    </x:row>
    <x:row r="11">
      <x:c r="A11" s="52" t="str">
        <x:v>Verified official websites</x:v>
      </x:c>
      <x:c r="B11" s="53" t="n">
        <x:f>COUNTIF(Colleges!AB2:AB354,"Verified official domain")</x:f>
        <x:v>24</x:v>
      </x:c>
      <x:c r="C11" s="49"/>
      <x:c r="D11" s="33" t="str">
        <x:v>6</x:v>
      </x:c>
      <x:c r="E11" s="34" t="str">
        <x:v>Accreditation</x:v>
      </x:c>
      <x:c r="F11" s="35" t="str">
        <x:v>NAAC/NBA status is left as not centrally verified because no single current, standardized institute-code source was extracted.</x:v>
      </x:c>
      <x:c r="G11" s="35"/>
      <x:c r="H11" s="35"/>
    </x:row>
    <x:row r="12">
      <x:c r="A12" s="52" t="str">
        <x:v>Official NIRF 2025 DSE matches</x:v>
      </x:c>
      <x:c r="B12" s="53" t="n">
        <x:f>COUNTA(Top_Colleges!B6:B17)</x:f>
        <x:v>12</x:v>
      </x:c>
      <x:c r="C12" s="49"/>
      <x:c r="D12" s="33" t="str">
        <x:v>7</x:v>
      </x:c>
      <x:c r="E12" s="34" t="str">
        <x:v>Placement/preference</x:v>
      </x:c>
      <x:c r="F12" s="35" t="str">
        <x:v>No standardized official DSE-wide placement or student-preference dataset was found. Cutoff-derived preference proxies were not imported.</x:v>
      </x:c>
      <x:c r="G12" s="35"/>
      <x:c r="H12" s="35"/>
    </x:row>
    <x:row r="13">
      <x:c r="A13" s="52" t="str">
        <x:v>Seat matrix academic year</x:v>
      </x:c>
      <x:c r="B13" s="54" t="str">
        <x:v>2025-26</x:v>
      </x:c>
      <x:c r="C13" s="49"/>
      <x:c r="D13" s="49"/>
      <x:c r="E13" s="49"/>
      <x:c r="F13" s="49"/>
      <x:c r="G13" s="49"/>
      <x:c r="H13" s="49"/>
    </x:row>
    <x:row r="14">
      <x:c r="A14" s="49"/>
      <x:c r="B14" s="49"/>
      <x:c r="C14" s="49"/>
      <x:c r="D14" s="49"/>
      <x:c r="E14" s="49"/>
      <x:c r="F14" s="49"/>
      <x:c r="G14" s="49"/>
      <x:c r="H14" s="49"/>
    </x:row>
    <x:row r="15">
      <x:c r="A15" s="55" t="str">
        <x:v>Recommended predictor join keys: Institute Code (college-level) and Choice Code (branch-level). Preserve leading zeroes as text.</x:v>
      </x:c>
      <x:c r="B15" s="55"/>
      <x:c r="C15" s="55"/>
      <x:c r="D15" s="55"/>
      <x:c r="E15" s="55"/>
      <x:c r="F15" s="55"/>
      <x:c r="G15" s="55"/>
      <x:c r="H15" s="55"/>
    </x:row>
  </x:sheetData>
  <x:mergeCells>
    <x:mergeCell ref="A1:H1"/>
    <x:mergeCell ref="A2:H3"/>
    <x:mergeCell ref="D5:H5"/>
    <x:mergeCell ref="F6:H6"/>
    <x:mergeCell ref="F7:H7"/>
    <x:mergeCell ref="F8:H8"/>
    <x:mergeCell ref="F9:H9"/>
    <x:mergeCell ref="F10:H10"/>
    <x:mergeCell ref="F11:H11"/>
    <x:mergeCell ref="F12:H1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52" hidden="0" customWidth="1"/>
    <x:col min="4" max="4" width="21" hidden="0" customWidth="1"/>
    <x:col min="5" max="5" width="20" hidden="0" customWidth="1"/>
    <x:col min="6" max="6" width="17" hidden="0" customWidth="1"/>
    <x:col min="7" max="7" width="15" hidden="0" customWidth="1"/>
    <x:col min="8" max="8" width="16" hidden="0" customWidth="1"/>
    <x:col min="9" max="9" width="16" hidden="0" customWidth="1"/>
    <x:col min="10" max="10" width="14" hidden="0" customWidth="1"/>
    <x:col min="11" max="11" width="22" hidden="0" customWidth="1"/>
    <x:col min="12" max="12" width="11" hidden="0" customWidth="1"/>
    <x:col min="13" max="13" width="32" hidden="0" customWidth="1"/>
  </x:cols>
  <x:sheetData>
    <x:row r="1" ht="34" customHeight="1">
      <x:c r="A1" s="47" t="str">
        <x:v>Top Colleges / Planning References for DSE Predictor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</x:row>
    <x:row r="2" ht="42" customHeight="1">
      <x:c r="A2" s="48" t="str">
        <x:v>Official NIRF 2025 rank/bands are shown where a CET institute-code match was manually verified. Additional colleges are project references only—not an official ranking and not based on cutoff data.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</x:row>
    <x:row r="3" ht="42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</x:row>
    <x:row r="5" ht="32" customHeight="1">
      <x:c r="A5" s="61" t="str">
        <x:v>Evidence Section</x:v>
      </x:c>
      <x:c r="B5" s="61" t="str">
        <x:v>Institute Code</x:v>
      </x:c>
      <x:c r="C5" s="61" t="str">
        <x:v>Institute Name</x:v>
      </x:c>
      <x:c r="D5" s="61" t="str">
        <x:v>District / City</x:v>
      </x:c>
      <x:c r="E5" s="61" t="str">
        <x:v>Ownership</x:v>
      </x:c>
      <x:c r="F5" s="61" t="str">
        <x:v>Autonomy</x:v>
      </x:c>
      <x:c r="G5" s="61" t="str">
        <x:v>NIRF 2025 Rank</x:v>
      </x:c>
      <x:c r="H5" s="61" t="str">
        <x:v>NIRF 2025 Band</x:v>
      </x:c>
      <x:c r="I5" s="61" t="str">
        <x:v>DSE Seats 2025-26</x:v>
      </x:c>
      <x:c r="J5" s="61" t="str">
        <x:v>DSE Branches</x:v>
      </x:c>
      <x:c r="K5" s="61" t="str">
        <x:v>Latest Verified Normal Annual Fee</x:v>
      </x:c>
      <x:c r="L5" s="61" t="str">
        <x:v>Fee Year</x:v>
      </x:c>
      <x:c r="M5" s="61" t="str">
        <x:v>Official Website</x:v>
      </x:c>
    </x:row>
    <x:row r="6">
      <x:c r="A6" s="62" t="str">
        <x:v>Official NIRF 2025 DSE match</x:v>
      </x:c>
      <x:c r="B6" s="63" t="n">
        <x:v>6006</x:v>
      </x:c>
      <x:c r="C6" s="49" t="str">
        <x:v>COEP Technological University</x:v>
      </x:c>
      <x:c r="D6" s="49"/>
      <x:c r="E6" s="49" t="str">
        <x:v>University Autonomous</x:v>
      </x:c>
      <x:c r="F6" s="49" t="str">
        <x:v>Autonomous</x:v>
      </x:c>
      <x:c r="G6" s="49" t="n">
        <x:v>90</x:v>
      </x:c>
      <x:c r="H6" s="49" t="str">
        <x:v>90</x:v>
      </x:c>
      <x:c r="I6" s="49"/>
      <x:c r="J6" s="49" t="n">
        <x:v>0</x:v>
      </x:c>
      <x:c r="K6" s="64"/>
      <x:c r="L6" s="49"/>
      <x:c r="M6" s="49" t="str">
        <x:v>https://www.coeptech.ac.in/</x:v>
      </x:c>
    </x:row>
    <x:row r="7">
      <x:c r="A7" s="62" t="str">
        <x:v>Official NIRF 2025 DSE match</x:v>
      </x:c>
      <x:c r="B7" s="63" t="n">
        <x:v>6273</x:v>
      </x:c>
      <x:c r="C7" s="49" t="str">
        <x:v>Bansilal Ramnath Agarawal Charitable Trust's Vishwakarma Institute of Technology, Bibwewadi, Pune</x:v>
      </x:c>
      <x:c r="D7" s="49" t="str">
        <x:v>Pune</x:v>
      </x:c>
      <x:c r="E7" s="49" t="str">
        <x:v>Un-Aided</x:v>
      </x:c>
      <x:c r="F7" s="49" t="str">
        <x:v>Autonomous</x:v>
      </x:c>
      <x:c r="G7" s="49"/>
      <x:c r="H7" s="49" t="str">
        <x:v>101-150</x:v>
      </x:c>
      <x:c r="I7" s="49" t="n">
        <x:v>538</x:v>
      </x:c>
      <x:c r="J7" s="49" t="n">
        <x:v>12</x:v>
      </x:c>
      <x:c r="K7" s="64" t="n">
        <x:v>187000</x:v>
      </x:c>
      <x:c r="L7" s="49" t="str">
        <x:v>2024-25</x:v>
      </x:c>
      <x:c r="M7" s="49" t="str">
        <x:v>https://www.vit.edu/</x:v>
      </x:c>
    </x:row>
    <x:row r="8">
      <x:c r="A8" s="62" t="str">
        <x:v>Official NIRF 2025 DSE match</x:v>
      </x:c>
      <x:c r="B8" s="63" t="n">
        <x:v>3012</x:v>
      </x:c>
      <x:c r="C8" s="49" t="str">
        <x:v>Veermata Jijabai Technological Institute(VJTI), Matunga, Mumbai</x:v>
      </x:c>
      <x:c r="D8" s="49" t="str">
        <x:v>Mumbai City</x:v>
      </x:c>
      <x:c r="E8" s="49" t="str">
        <x:v>Government-Aided</x:v>
      </x:c>
      <x:c r="F8" s="49" t="str">
        <x:v>Autonomous</x:v>
      </x:c>
      <x:c r="G8" s="49"/>
      <x:c r="H8" s="49" t="str">
        <x:v>101-150</x:v>
      </x:c>
      <x:c r="I8" s="49" t="n">
        <x:v>81</x:v>
      </x:c>
      <x:c r="J8" s="49" t="n">
        <x:v>9</x:v>
      </x:c>
      <x:c r="K8" s="64"/>
      <x:c r="L8" s="49"/>
      <x:c r="M8" s="49" t="str">
        <x:v>https://vjti.ac.in/</x:v>
      </x:c>
    </x:row>
    <x:row r="9">
      <x:c r="A9" s="62" t="str">
        <x:v>Official NIRF 2025 DSE match</x:v>
      </x:c>
      <x:c r="B9" s="63" t="n">
        <x:v>6207</x:v>
      </x:c>
      <x:c r="C9" s="49" t="str">
        <x:v>Dr. D. Y. Patil Unitech Society's Dr. D. Y. Patil Institute of Technology, Pimpri, Pune</x:v>
      </x:c>
      <x:c r="D9" s="49" t="str">
        <x:v>Pune</x:v>
      </x:c>
      <x:c r="E9" s="49" t="str">
        <x:v>Un-Aided</x:v>
      </x:c>
      <x:c r="F9" s="49" t="str">
        <x:v>Non-Autonomous</x:v>
      </x:c>
      <x:c r="G9" s="49"/>
      <x:c r="H9" s="49" t="str">
        <x:v>151-200</x:v>
      </x:c>
      <x:c r="I9" s="49" t="n">
        <x:v>167</x:v>
      </x:c>
      <x:c r="J9" s="49" t="n">
        <x:v>9</x:v>
      </x:c>
      <x:c r="K9" s="64" t="n">
        <x:v>103500</x:v>
      </x:c>
      <x:c r="L9" s="49" t="str">
        <x:v>2024-25</x:v>
      </x:c>
      <x:c r="M9" s="49" t="str">
        <x:v>https://engg.dypvp.edu.in/</x:v>
      </x:c>
    </x:row>
    <x:row r="10">
      <x:c r="A10" s="62" t="str">
        <x:v>Official NIRF 2025 DSE match</x:v>
      </x:c>
      <x:c r="B10" s="63" t="n">
        <x:v>6141</x:v>
      </x:c>
      <x:c r="C10" s="49" t="str">
        <x:v>Jaywant Shikshan Prasarak Mandal's,Rajarshi Shahu College of Engineering, Tathawade, Pune</x:v>
      </x:c>
      <x:c r="D10" s="49" t="str">
        <x:v>Pune</x:v>
      </x:c>
      <x:c r="E10" s="49" t="str">
        <x:v>Un-Aided</x:v>
      </x:c>
      <x:c r="F10" s="49" t="str">
        <x:v>Autonomous</x:v>
      </x:c>
      <x:c r="G10" s="49"/>
      <x:c r="H10" s="49" t="str">
        <x:v>151-200</x:v>
      </x:c>
      <x:c r="I10" s="49" t="n">
        <x:v>136</x:v>
      </x:c>
      <x:c r="J10" s="49" t="n">
        <x:v>8</x:v>
      </x:c>
      <x:c r="K10" s="64" t="n">
        <x:v>121000</x:v>
      </x:c>
      <x:c r="L10" s="49" t="str">
        <x:v>2024-25</x:v>
      </x:c>
      <x:c r="M10" s="49" t="str">
        <x:v>https://www.jspmrscoe.edu.in/</x:v>
      </x:c>
    </x:row>
    <x:row r="11">
      <x:c r="A11" s="62" t="str">
        <x:v>Official NIRF 2025 DSE match</x:v>
      </x:c>
      <x:c r="B11" s="63" t="n">
        <x:v>4115</x:v>
      </x:c>
      <x:c r="C11" s="49" t="str">
        <x:v>Shri Ramdeobaba College of Engineering and Management, Nagpur</x:v>
      </x:c>
      <x:c r="D11" s="49"/>
      <x:c r="E11" s="49" t="str">
        <x:v>Un-Aided Autonomous Linguistic Minority - Hindi</x:v>
      </x:c>
      <x:c r="F11" s="49" t="str">
        <x:v>Autonomous</x:v>
      </x:c>
      <x:c r="G11" s="49"/>
      <x:c r="H11" s="49" t="str">
        <x:v>151-200</x:v>
      </x:c>
      <x:c r="I11" s="49"/>
      <x:c r="J11" s="49" t="n">
        <x:v>0</x:v>
      </x:c>
      <x:c r="K11" s="64" t="n">
        <x:v>175000</x:v>
      </x:c>
      <x:c r="L11" s="49" t="str">
        <x:v>2023-24</x:v>
      </x:c>
      <x:c r="M11" s="49" t="str">
        <x:v>https://rbunagpur.in/</x:v>
      </x:c>
    </x:row>
    <x:row r="12">
      <x:c r="A12" s="62" t="str">
        <x:v>Official NIRF 2025 DSE match</x:v>
      </x:c>
      <x:c r="B12" s="63" t="n">
        <x:v>4167</x:v>
      </x:c>
      <x:c r="C12" s="49" t="str">
        <x:v>Yeshwantrao Chavan College of Engineering,Wanadongri, Nagpur</x:v>
      </x:c>
      <x:c r="D12" s="49" t="str">
        <x:v>Nagpur</x:v>
      </x:c>
      <x:c r="E12" s="49" t="str">
        <x:v>Un-Aided</x:v>
      </x:c>
      <x:c r="F12" s="49" t="str">
        <x:v>Autonomous</x:v>
      </x:c>
      <x:c r="G12" s="49"/>
      <x:c r="H12" s="49" t="str">
        <x:v>151-200</x:v>
      </x:c>
      <x:c r="I12" s="49" t="n">
        <x:v>233</x:v>
      </x:c>
      <x:c r="J12" s="49" t="n">
        <x:v>13</x:v>
      </x:c>
      <x:c r="K12" s="64" t="n">
        <x:v>160000</x:v>
      </x:c>
      <x:c r="L12" s="49" t="str">
        <x:v>2024-25</x:v>
      </x:c>
      <x:c r="M12" s="49" t="str">
        <x:v>https://ycce.edu/</x:v>
      </x:c>
    </x:row>
    <x:row r="13">
      <x:c r="A13" s="62" t="str">
        <x:v>Official NIRF 2025 DSE match</x:v>
      </x:c>
      <x:c r="B13" s="63" t="n">
        <x:v>4116</x:v>
      </x:c>
      <x:c r="C13" s="49" t="str">
        <x:v>Ankush Shikshan Sanstha's G.H.Raisoni College of Engineering, Nagpur</x:v>
      </x:c>
      <x:c r="D13" s="49" t="str">
        <x:v>Nagpur</x:v>
      </x:c>
      <x:c r="E13" s="49" t="str">
        <x:v>Un-Aided</x:v>
      </x:c>
      <x:c r="F13" s="49" t="str">
        <x:v>Autonomous</x:v>
      </x:c>
      <x:c r="G13" s="49"/>
      <x:c r="H13" s="49" t="str">
        <x:v>201-300</x:v>
      </x:c>
      <x:c r="I13" s="49" t="n">
        <x:v>130</x:v>
      </x:c>
      <x:c r="J13" s="49" t="n">
        <x:v>13</x:v>
      </x:c>
      <x:c r="K13" s="64" t="n">
        <x:v>144500</x:v>
      </x:c>
      <x:c r="L13" s="49" t="str">
        <x:v>2024-25</x:v>
      </x:c>
      <x:c r="M13" s="49" t="str">
        <x:v>https://ghrce.raisoni.net/</x:v>
      </x:c>
    </x:row>
    <x:row r="14">
      <x:c r="A14" s="62" t="str">
        <x:v>Official NIRF 2025 DSE match</x:v>
      </x:c>
      <x:c r="B14" s="63" t="n">
        <x:v>6276</x:v>
      </x:c>
      <x:c r="C14" s="49" t="str">
        <x:v>MKSSS's Cummins College of Engineering for Women, Karvenagar,Pune</x:v>
      </x:c>
      <x:c r="D14" s="49" t="str">
        <x:v>Pune</x:v>
      </x:c>
      <x:c r="E14" s="49" t="str">
        <x:v>Un-Aided</x:v>
      </x:c>
      <x:c r="F14" s="49" t="str">
        <x:v>Autonomous</x:v>
      </x:c>
      <x:c r="G14" s="49"/>
      <x:c r="H14" s="49" t="str">
        <x:v>201-300</x:v>
      </x:c>
      <x:c r="I14" s="49" t="n">
        <x:v>91</x:v>
      </x:c>
      <x:c r="J14" s="49" t="n">
        <x:v>5</x:v>
      </x:c>
      <x:c r="K14" s="64" t="n">
        <x:v>169000</x:v>
      </x:c>
      <x:c r="L14" s="49" t="str">
        <x:v>2024-25</x:v>
      </x:c>
      <x:c r="M14" s="49" t="str">
        <x:v>https://www.cumminscollege.org/</x:v>
      </x:c>
    </x:row>
    <x:row r="15">
      <x:c r="A15" s="62" t="str">
        <x:v>Official NIRF 2025 DSE match</x:v>
      </x:c>
      <x:c r="B15" s="63" t="n">
        <x:v>6175</x:v>
      </x:c>
      <x:c r="C15" s="49" t="str">
        <x:v>Pimpri Chinchwad Education Trust, Pimpri Chinchwad College of Engineering, Pune</x:v>
      </x:c>
      <x:c r="D15" s="49" t="str">
        <x:v>Pune</x:v>
      </x:c>
      <x:c r="E15" s="49" t="str">
        <x:v>Un-Aided</x:v>
      </x:c>
      <x:c r="F15" s="49" t="str">
        <x:v>Autonomous</x:v>
      </x:c>
      <x:c r="G15" s="49"/>
      <x:c r="H15" s="49" t="str">
        <x:v>201-300</x:v>
      </x:c>
      <x:c r="I15" s="49" t="n">
        <x:v>137</x:v>
      </x:c>
      <x:c r="J15" s="49" t="n">
        <x:v>7</x:v>
      </x:c>
      <x:c r="K15" s="64" t="n">
        <x:v>160000</x:v>
      </x:c>
      <x:c r="L15" s="49" t="str">
        <x:v>2024-25</x:v>
      </x:c>
      <x:c r="M15" s="49" t="str">
        <x:v>https://www.pccoepune.com/</x:v>
      </x:c>
    </x:row>
    <x:row r="16">
      <x:c r="A16" s="62" t="str">
        <x:v>Official NIRF 2025 DSE match</x:v>
      </x:c>
      <x:c r="B16" s="63" t="n">
        <x:v>3199</x:v>
      </x:c>
      <x:c r="C16" s="49" t="str">
        <x:v>Shri Vile Parle Kelvani Mandal's Dwarkadas J. Sanghvi College of Engineering, Vile Parle,Mumbai</x:v>
      </x:c>
      <x:c r="D16" s="49" t="str">
        <x:v>Mumbai Suburban</x:v>
      </x:c>
      <x:c r="E16" s="49" t="str">
        <x:v>Un-Aided</x:v>
      </x:c>
      <x:c r="F16" s="49" t="str">
        <x:v>Autonomous</x:v>
      </x:c>
      <x:c r="G16" s="49"/>
      <x:c r="H16" s="49" t="str">
        <x:v>201-300</x:v>
      </x:c>
      <x:c r="I16" s="49" t="n">
        <x:v>123</x:v>
      </x:c>
      <x:c r="J16" s="49" t="n">
        <x:v>8</x:v>
      </x:c>
      <x:c r="K16" s="64" t="n">
        <x:v>220000</x:v>
      </x:c>
      <x:c r="L16" s="49" t="str">
        <x:v>2024-25</x:v>
      </x:c>
      <x:c r="M16" s="49" t="str">
        <x:v>https://www.djsce.ac.in/</x:v>
      </x:c>
    </x:row>
    <x:row r="17">
      <x:c r="A17" s="62" t="str">
        <x:v>Official NIRF 2025 DSE match</x:v>
      </x:c>
      <x:c r="B17" s="63" t="n">
        <x:v>6007</x:v>
      </x:c>
      <x:c r="C17" s="49" t="str">
        <x:v>Walchand College of Engineering, Sangli</x:v>
      </x:c>
      <x:c r="D17" s="49" t="str">
        <x:v>Sangli</x:v>
      </x:c>
      <x:c r="E17" s="49" t="str">
        <x:v>Government-Aided</x:v>
      </x:c>
      <x:c r="F17" s="49" t="str">
        <x:v>Autonomous</x:v>
      </x:c>
      <x:c r="G17" s="49"/>
      <x:c r="H17" s="49" t="str">
        <x:v>201-300</x:v>
      </x:c>
      <x:c r="I17" s="49" t="n">
        <x:v>91</x:v>
      </x:c>
      <x:c r="J17" s="49" t="n">
        <x:v>10</x:v>
      </x:c>
      <x:c r="K17" s="64"/>
      <x:c r="L17" s="49"/>
      <x:c r="M17" s="49" t="str">
        <x:v>https://www.walchandsangli.ac.in/</x:v>
      </x:c>
    </x:row>
    <x:row r="18">
      <x:c r="A18" s="65" t="str">
        <x:v>Additional project reference</x:v>
      </x:c>
      <x:c r="B18" s="63" t="n">
        <x:v>3215</x:v>
      </x:c>
      <x:c r="C18" s="49" t="str">
        <x:v>Bhartiya Vidya Bhavan's Sardar Patel Institute of Technology , Andheri, Mumbai</x:v>
      </x:c>
      <x:c r="D18" s="49" t="str">
        <x:v>Mumbai Suburban</x:v>
      </x:c>
      <x:c r="E18" s="49" t="str">
        <x:v>Un-Aided</x:v>
      </x:c>
      <x:c r="F18" s="49" t="str">
        <x:v>Autonomous</x:v>
      </x:c>
      <x:c r="G18" s="49"/>
      <x:c r="H18" s="49"/>
      <x:c r="I18" s="49" t="n">
        <x:v>68</x:v>
      </x:c>
      <x:c r="J18" s="49" t="n">
        <x:v>3</x:v>
      </x:c>
      <x:c r="K18" s="64" t="n">
        <x:v>196000</x:v>
      </x:c>
      <x:c r="L18" s="49" t="str">
        <x:v>2024-25</x:v>
      </x:c>
      <x:c r="M18" s="49" t="str">
        <x:v>https://www.spit.ac.in/</x:v>
      </x:c>
    </x:row>
    <x:row r="19">
      <x:c r="A19" s="65" t="str">
        <x:v>Additional project reference</x:v>
      </x:c>
      <x:c r="B19" s="63" t="n">
        <x:v>3014</x:v>
      </x:c>
      <x:c r="C19" s="49" t="str">
        <x:v>Sardar Patel College of Engineering, Andheri</x:v>
      </x:c>
      <x:c r="D19" s="49" t="str">
        <x:v>Mumbai Suburban</x:v>
      </x:c>
      <x:c r="E19" s="49" t="str">
        <x:v>Government-Aided</x:v>
      </x:c>
      <x:c r="F19" s="49" t="str">
        <x:v>Autonomous</x:v>
      </x:c>
      <x:c r="G19" s="49"/>
      <x:c r="H19" s="49"/>
      <x:c r="I19" s="49" t="n">
        <x:v>31</x:v>
      </x:c>
      <x:c r="J19" s="49" t="n">
        <x:v>3</x:v>
      </x:c>
      <x:c r="K19" s="64"/>
      <x:c r="L19" s="49"/>
      <x:c r="M19" s="49" t="str">
        <x:v>https://www.spce.ac.in/</x:v>
      </x:c>
    </x:row>
    <x:row r="20">
      <x:c r="A20" s="65" t="str">
        <x:v>Additional project reference</x:v>
      </x:c>
      <x:c r="B20" s="63" t="n">
        <x:v>6271</x:v>
      </x:c>
      <x:c r="C20" s="49" t="str">
        <x:v>Pune Institute of Computer Technology</x:v>
      </x:c>
      <x:c r="D20" s="49" t="str">
        <x:v>Pune</x:v>
      </x:c>
      <x:c r="E20" s="49" t="str">
        <x:v>Un-Aided</x:v>
      </x:c>
      <x:c r="F20" s="49" t="str">
        <x:v>Autonomous</x:v>
      </x:c>
      <x:c r="G20" s="49"/>
      <x:c r="H20" s="49"/>
      <x:c r="I20" s="49" t="n">
        <x:v>120</x:v>
      </x:c>
      <x:c r="J20" s="49" t="n">
        <x:v>5</x:v>
      </x:c>
      <x:c r="K20" s="64" t="n">
        <x:v>103500</x:v>
      </x:c>
      <x:c r="L20" s="49" t="str">
        <x:v>2024-25</x:v>
      </x:c>
      <x:c r="M20" s="49" t="str">
        <x:v>https://pict.edu/</x:v>
      </x:c>
    </x:row>
    <x:row r="21">
      <x:c r="A21" s="65" t="str">
        <x:v>Additional project reference</x:v>
      </x:c>
      <x:c r="B21" s="63" t="n">
        <x:v>2020</x:v>
      </x:c>
      <x:c r="C21" s="49" t="str">
        <x:v>Shri Guru Gobind Singhji Institute of Engineering and Technology, Nanded</x:v>
      </x:c>
      <x:c r="D21" s="49" t="str">
        <x:v>Nanded</x:v>
      </x:c>
      <x:c r="E21" s="49" t="str">
        <x:v>Government-Aided</x:v>
      </x:c>
      <x:c r="F21" s="49" t="str">
        <x:v>Autonomous</x:v>
      </x:c>
      <x:c r="G21" s="49"/>
      <x:c r="H21" s="49"/>
      <x:c r="I21" s="49" t="n">
        <x:v>97</x:v>
      </x:c>
      <x:c r="J21" s="49" t="n">
        <x:v>10</x:v>
      </x:c>
      <x:c r="K21" s="64"/>
      <x:c r="L21" s="49"/>
      <x:c r="M21" s="49" t="str">
        <x:v>https://www.sggs.ac.in/</x:v>
      </x:c>
    </x:row>
    <x:row r="22">
      <x:c r="A22" s="65" t="str">
        <x:v>Additional project reference</x:v>
      </x:c>
      <x:c r="B22" s="63" t="n">
        <x:v>1002</x:v>
      </x:c>
      <x:c r="C22" s="49" t="str">
        <x:v>Government College of Engineering, Amravati</x:v>
      </x:c>
      <x:c r="D22" s="49" t="str">
        <x:v>Amravati</x:v>
      </x:c>
      <x:c r="E22" s="49" t="str">
        <x:v>Government</x:v>
      </x:c>
      <x:c r="F22" s="49" t="str">
        <x:v>Autonomous</x:v>
      </x:c>
      <x:c r="G22" s="49"/>
      <x:c r="H22" s="49"/>
      <x:c r="I22" s="49" t="n">
        <x:v>59</x:v>
      </x:c>
      <x:c r="J22" s="49" t="n">
        <x:v>7</x:v>
      </x:c>
      <x:c r="K22" s="64"/>
      <x:c r="L22" s="49"/>
      <x:c r="M22" s="49" t="str">
        <x:v>https://gcoea.ac.in/</x:v>
      </x:c>
    </x:row>
    <x:row r="23">
      <x:c r="A23" s="65" t="str">
        <x:v>Additional project reference</x:v>
      </x:c>
      <x:c r="B23" s="63" t="n">
        <x:v>2008</x:v>
      </x:c>
      <x:c r="C23" s="49" t="str">
        <x:v>Government College of Engineering, Chhatrapati Sambhajinagar</x:v>
      </x:c>
      <x:c r="D23" s="49" t="str">
        <x:v>Chhatrapati Sambhajinagar</x:v>
      </x:c>
      <x:c r="E23" s="49" t="str">
        <x:v>Government</x:v>
      </x:c>
      <x:c r="F23" s="49" t="str">
        <x:v>Autonomous</x:v>
      </x:c>
      <x:c r="G23" s="49"/>
      <x:c r="H23" s="49"/>
      <x:c r="I23" s="49" t="n">
        <x:v>58</x:v>
      </x:c>
      <x:c r="J23" s="49" t="n">
        <x:v>6</x:v>
      </x:c>
      <x:c r="K23" s="64"/>
      <x:c r="L23" s="49"/>
      <x:c r="M23" s="49" t="str">
        <x:v>https://geca.ac.in/</x:v>
      </x:c>
    </x:row>
    <x:row r="24">
      <x:c r="A24" s="65" t="str">
        <x:v>Additional project reference</x:v>
      </x:c>
      <x:c r="B24" s="63" t="n">
        <x:v>6005</x:v>
      </x:c>
      <x:c r="C24" s="49" t="str">
        <x:v>Government College of Engineering, Karad</x:v>
      </x:c>
      <x:c r="D24" s="49" t="str">
        <x:v>Satara</x:v>
      </x:c>
      <x:c r="E24" s="49" t="str">
        <x:v>Government</x:v>
      </x:c>
      <x:c r="F24" s="49" t="str">
        <x:v>Autonomous</x:v>
      </x:c>
      <x:c r="G24" s="49"/>
      <x:c r="H24" s="49"/>
      <x:c r="I24" s="49" t="n">
        <x:v>41</x:v>
      </x:c>
      <x:c r="J24" s="49" t="n">
        <x:v>5</x:v>
      </x:c>
      <x:c r="K24" s="64"/>
      <x:c r="L24" s="49"/>
      <x:c r="M24" s="49" t="str">
        <x:v>https://gcekarad.ac.in/</x:v>
      </x:c>
    </x:row>
    <x:row r="25">
      <x:c r="A25" s="65" t="str">
        <x:v>Additional project reference</x:v>
      </x:c>
      <x:c r="B25" s="63" t="n">
        <x:v>5004</x:v>
      </x:c>
      <x:c r="C25" s="49" t="str">
        <x:v>Government College of Engineering, Jalgaon</x:v>
      </x:c>
      <x:c r="D25" s="49" t="str">
        <x:v>Jalgaon</x:v>
      </x:c>
      <x:c r="E25" s="49" t="str">
        <x:v>Government</x:v>
      </x:c>
      <x:c r="F25" s="49" t="str">
        <x:v>Autonomous</x:v>
      </x:c>
      <x:c r="G25" s="49"/>
      <x:c r="H25" s="49"/>
      <x:c r="I25" s="49" t="n">
        <x:v>112</x:v>
      </x:c>
      <x:c r="J25" s="49" t="n">
        <x:v>6</x:v>
      </x:c>
      <x:c r="K25" s="64"/>
      <x:c r="L25" s="49"/>
      <x:c r="M25" s="49" t="str">
        <x:v>https://gcoej.ac.in/</x:v>
      </x:c>
    </x:row>
    <x:row r="26">
      <x:c r="A26" s="65" t="str">
        <x:v>Additional project reference</x:v>
      </x:c>
      <x:c r="B26" s="63" t="n">
        <x:v>6146</x:v>
      </x:c>
      <x:c r="C26" s="49" t="str">
        <x:v>MIT Academy of Engineering,Alandi, Pune</x:v>
      </x:c>
      <x:c r="D26" s="49" t="str">
        <x:v>Pune</x:v>
      </x:c>
      <x:c r="E26" s="49" t="str">
        <x:v>Un-Aided</x:v>
      </x:c>
      <x:c r="F26" s="49" t="str">
        <x:v>Autonomous</x:v>
      </x:c>
      <x:c r="G26" s="49"/>
      <x:c r="H26" s="49"/>
      <x:c r="I26" s="49" t="n">
        <x:v>161</x:v>
      </x:c>
      <x:c r="J26" s="49" t="n">
        <x:v>9</x:v>
      </x:c>
      <x:c r="K26" s="64" t="n">
        <x:v>191000</x:v>
      </x:c>
      <x:c r="L26" s="49" t="str">
        <x:v>2024-25</x:v>
      </x:c>
      <x:c r="M26" s="49" t="str">
        <x:v>https://mitaoe.ac.in/</x:v>
      </x:c>
    </x:row>
    <x:row r="27">
      <x:c r="A27" s="65" t="str">
        <x:v>Additional project reference</x:v>
      </x:c>
      <x:c r="B27" s="63" t="n">
        <x:v>6214</x:v>
      </x:c>
      <x:c r="C27" s="49" t="str">
        <x:v>K. E. Society's Rajarambapu Institute of Technology, Walwa, Sangli</x:v>
      </x:c>
      <x:c r="D27" s="49" t="str">
        <x:v>Sangli</x:v>
      </x:c>
      <x:c r="E27" s="49" t="str">
        <x:v>Un-Aided</x:v>
      </x:c>
      <x:c r="F27" s="49" t="str">
        <x:v>Autonomous</x:v>
      </x:c>
      <x:c r="G27" s="49"/>
      <x:c r="H27" s="49"/>
      <x:c r="I27" s="49" t="n">
        <x:v>134</x:v>
      </x:c>
      <x:c r="J27" s="49" t="n">
        <x:v>9</x:v>
      </x:c>
      <x:c r="K27" s="64" t="n">
        <x:v>157000</x:v>
      </x:c>
      <x:c r="L27" s="49" t="str">
        <x:v>2024-25</x:v>
      </x:c>
      <x:c r="M27" s="49" t="str">
        <x:v>https://ritindia.edu/</x:v>
      </x:c>
    </x:row>
    <x:row r="28">
      <x:c r="A28" s="65" t="str">
        <x:v>Additional project reference</x:v>
      </x:c>
      <x:c r="B28" s="63" t="n">
        <x:v>3197</x:v>
      </x:c>
      <x:c r="C28" s="49" t="str">
        <x:v>Agnel Charities' FR. C. Rodrigues Institute of Technology, Vashi, Navi Mumbai</x:v>
      </x:c>
      <x:c r="D28" s="49" t="str">
        <x:v>Thane</x:v>
      </x:c>
      <x:c r="E28" s="49" t="str">
        <x:v>Un-Aided</x:v>
      </x:c>
      <x:c r="F28" s="49" t="str">
        <x:v>Autonomous</x:v>
      </x:c>
      <x:c r="G28" s="49"/>
      <x:c r="H28" s="49"/>
      <x:c r="I28" s="49" t="n">
        <x:v>52</x:v>
      </x:c>
      <x:c r="J28" s="49" t="n">
        <x:v>5</x:v>
      </x:c>
      <x:c r="K28" s="64" t="n">
        <x:v>154000</x:v>
      </x:c>
      <x:c r="L28" s="49" t="str">
        <x:v>2024-25</x:v>
      </x:c>
      <x:c r="M28" s="49" t="str">
        <x:v>https://www.fcrit.ac.in/</x:v>
      </x:c>
    </x:row>
    <x:row r="29">
      <x:c r="A29" s="65" t="str">
        <x:v>Additional project reference</x:v>
      </x:c>
      <x:c r="B29" s="63" t="n">
        <x:v>3182</x:v>
      </x:c>
      <x:c r="C29" s="49" t="str">
        <x:v>Thadomal Shahani Engineering College, Bandra, Mumbai</x:v>
      </x:c>
      <x:c r="D29" s="49" t="str">
        <x:v>Mumbai Suburban</x:v>
      </x:c>
      <x:c r="E29" s="49" t="str">
        <x:v>Un-Aided</x:v>
      </x:c>
      <x:c r="F29" s="49" t="str">
        <x:v>Non-Autonomous</x:v>
      </x:c>
      <x:c r="G29" s="49"/>
      <x:c r="H29" s="49"/>
      <x:c r="I29" s="49" t="n">
        <x:v>61</x:v>
      </x:c>
      <x:c r="J29" s="49" t="n">
        <x:v>5</x:v>
      </x:c>
      <x:c r="K29" s="64" t="n">
        <x:v>201000</x:v>
      </x:c>
      <x:c r="L29" s="49" t="str">
        <x:v>2024-25</x:v>
      </x:c>
      <x:c r="M29" s="49" t="str">
        <x:v>https://tsec.edu/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e2fbf9224f84d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14" hidden="0" customWidth="1"/>
    <x:col min="4" max="4" width="15" hidden="0" customWidth="1"/>
    <x:col min="5" max="5" width="22" hidden="0" customWidth="1"/>
    <x:col min="6" max="6" width="48" hidden="0" customWidth="1"/>
    <x:col min="7" max="7" width="23" hidden="0" customWidth="1"/>
    <x:col min="8" max="8" width="19" hidden="0" customWidth="1"/>
    <x:col min="9" max="9" width="24" hidden="0" customWidth="1"/>
    <x:col min="10" max="10" width="32" hidden="0" customWidth="1"/>
    <x:col min="11" max="11" width="14" hidden="0" customWidth="1"/>
    <x:col min="12" max="12" width="17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27" hidden="0" customWidth="1"/>
    <x:col min="18" max="18" width="11" hidden="0" customWidth="1"/>
    <x:col min="19" max="19" width="14" hidden="0" customWidth="1"/>
    <x:col min="20" max="20" width="16" hidden="0" customWidth="1"/>
    <x:col min="21" max="21" width="18" hidden="0" customWidth="1"/>
    <x:col min="22" max="22" width="38" hidden="0" customWidth="1"/>
    <x:col min="23" max="23" width="14" hidden="0" customWidth="1"/>
    <x:col min="24" max="24" width="15" hidden="0" customWidth="1"/>
    <x:col min="25" max="25" width="14" hidden="0" customWidth="1"/>
    <x:col min="26" max="26" width="34" hidden="0" customWidth="1"/>
    <x:col min="27" max="27" width="32" hidden="0" customWidth="1"/>
    <x:col min="28" max="28" width="23" hidden="0" customWidth="1"/>
    <x:col min="29" max="29" width="20" hidden="0" customWidth="1"/>
    <x:col min="30" max="30" width="20" hidden="0" customWidth="1"/>
    <x:col min="31" max="31" width="31" hidden="0" customWidth="1"/>
    <x:col min="32" max="32" width="42" hidden="0" customWidth="1"/>
    <x:col min="33" max="33" width="46" hidden="0" customWidth="1"/>
    <x:col min="34" max="34" width="46" hidden="0" customWidth="1"/>
    <x:col min="35" max="35" width="42" hidden="0" customWidth="1"/>
    <x:col min="36" max="36" width="29" hidden="0" customWidth="1"/>
    <x:col min="37" max="37" width="19" hidden="0" customWidth="1"/>
    <x:col min="38" max="38" width="23" hidden="0" customWidth="1"/>
  </x:cols>
  <x:sheetData>
    <x:row r="1" ht="32" customHeight="1">
      <x:c r="A1" s="61" t="str">
        <x:v>Institute Code</x:v>
      </x:c>
      <x:c r="B1" s="61" t="str">
        <x:v>Institute Name</x:v>
      </x:c>
      <x:c r="C1" s="61" t="str">
        <x:v>State</x:v>
      </x:c>
      <x:c r="D1" s="61" t="str">
        <x:v>Region</x:v>
      </x:c>
      <x:c r="E1" s="61" t="str">
        <x:v>District / City</x:v>
      </x:c>
      <x:c r="F1" s="61" t="str">
        <x:v>Address</x:v>
      </x:c>
      <x:c r="G1" s="61" t="str">
        <x:v>Ownership Type</x:v>
      </x:c>
      <x:c r="H1" s="61" t="str">
        <x:v>Autonomy Status</x:v>
      </x:c>
      <x:c r="I1" s="61" t="str">
        <x:v>Minority Status</x:v>
      </x:c>
      <x:c r="J1" s="61" t="str">
        <x:v>University</x:v>
      </x:c>
      <x:c r="K1" s="61" t="str">
        <x:v>DSE Branch Count</x:v>
      </x:c>
      <x:c r="L1" s="61" t="str">
        <x:v>DSE Total Seats 2025-26</x:v>
      </x:c>
      <x:c r="M1" s="61" t="str">
        <x:v>MS Seats</x:v>
      </x:c>
      <x:c r="N1" s="61" t="str">
        <x:v>EWS Seats</x:v>
      </x:c>
      <x:c r="O1" s="61" t="str">
        <x:v>Minority Seats</x:v>
      </x:c>
      <x:c r="P1" s="61" t="str">
        <x:v>Other Seats</x:v>
      </x:c>
      <x:c r="Q1" s="61" t="str">
        <x:v>Seat Matrix Status</x:v>
      </x:c>
      <x:c r="R1" s="61" t="str">
        <x:v>Fee Year</x:v>
      </x:c>
      <x:c r="S1" s="61" t="str">
        <x:v>Tuition Fee</x:v>
      </x:c>
      <x:c r="T1" s="61" t="str">
        <x:v>Development Fee</x:v>
      </x:c>
      <x:c r="U1" s="61" t="str">
        <x:v>Total Approved Fee</x:v>
      </x:c>
      <x:c r="V1" s="61" t="str">
        <x:v>Fee Basis Note</x:v>
      </x:c>
      <x:c r="W1" s="61" t="str">
        <x:v>NIRF 2025 Rank</x:v>
      </x:c>
      <x:c r="X1" s="61" t="str">
        <x:v>NIRF 2025 Band</x:v>
      </x:c>
      <x:c r="Y1" s="61" t="str">
        <x:v>NIRF 2025 Score</x:v>
      </x:c>
      <x:c r="Z1" s="61" t="str">
        <x:v>NIRF Matched Name</x:v>
      </x:c>
      <x:c r="AA1" s="61" t="str">
        <x:v>Official Website</x:v>
      </x:c>
      <x:c r="AB1" s="61" t="str">
        <x:v>Website Verification</x:v>
      </x:c>
      <x:c r="AC1" s="61" t="str">
        <x:v>NAAC Status</x:v>
      </x:c>
      <x:c r="AD1" s="61" t="str">
        <x:v>NBA Status</x:v>
      </x:c>
      <x:c r="AE1" s="61" t="str">
        <x:v>Placement Data Status</x:v>
      </x:c>
      <x:c r="AF1" s="61" t="str">
        <x:v>Student Preference Data Status</x:v>
      </x:c>
      <x:c r="AG1" s="61" t="str">
        <x:v>Seat Matrix Source</x:v>
      </x:c>
      <x:c r="AH1" s="61" t="str">
        <x:v>College Reference Source</x:v>
      </x:c>
      <x:c r="AI1" s="61" t="str">
        <x:v>NIRF Source</x:v>
      </x:c>
      <x:c r="AJ1" s="61" t="str">
        <x:v>Data Quality Note</x:v>
      </x:c>
      <x:c r="AK1" s="61" t="str">
        <x:v>Project Evidence Score</x:v>
      </x:c>
      <x:c r="AL1" s="61" t="str">
        <x:v>Planning Tier</x:v>
      </x:c>
    </x:row>
    <x:row r="2">
      <x:c r="A2" s="63" t="n">
        <x:v>1002</x:v>
      </x:c>
      <x:c r="B2" s="49" t="str">
        <x:v>Government College of Engineering, Amravati</x:v>
      </x:c>
      <x:c r="C2" s="49" t="str">
        <x:v>Maharashtra</x:v>
      </x:c>
      <x:c r="D2" s="49" t="str">
        <x:v>Amravati</x:v>
      </x:c>
      <x:c r="E2" s="49" t="str">
        <x:v>Amravati</x:v>
      </x:c>
      <x:c r="F2" s="49" t="str">
        <x:v>VMV Road, Near Kathora Naka, Amravati</x:v>
      </x:c>
      <x:c r="G2" s="49" t="str">
        <x:v>Government</x:v>
      </x:c>
      <x:c r="H2" s="49" t="str">
        <x:v>Autonomous</x:v>
      </x:c>
      <x:c r="I2" s="49" t="str">
        <x:v>Non-Minority</x:v>
      </x:c>
      <x:c r="J2" s="49" t="str">
        <x:v>Sant Gadge Baba Amravati University</x:v>
      </x:c>
      <x:c r="K2" s="49" t="n">
        <x:v>7</x:v>
      </x:c>
      <x:c r="L2" s="49" t="n">
        <x:v>59</x:v>
      </x:c>
      <x:c r="M2" s="49" t="n">
        <x:v>48</x:v>
      </x:c>
      <x:c r="N2" s="49" t="n">
        <x:v>11</x:v>
      </x:c>
      <x:c r="O2" s="49"/>
      <x:c r="P2" s="49"/>
      <x:c r="Q2" s="49" t="str">
        <x:v>Parsed from official 2025-26 PDF</x:v>
      </x:c>
      <x:c r="R2" s="49"/>
      <x:c r="S2" s="64"/>
      <x:c r="T2" s="64"/>
      <x:c r="U2" s="64"/>
      <x:c r="V2" s="49" t="str">
        <x:v>No verified FRA match</x:v>
      </x:c>
      <x:c r="W2" s="49"/>
      <x:c r="X2" s="49"/>
      <x:c r="Y2" s="68"/>
      <x:c r="Z2" s="49"/>
      <x:c r="AA2" s="49" t="str">
        <x:v>https://gcoea.ac.in/</x:v>
      </x:c>
      <x:c r="AB2" s="49" t="str">
        <x:v>Verified official domain</x:v>
      </x:c>
      <x:c r="AC2" s="49" t="str">
        <x:v>Not centrally verified</x:v>
      </x:c>
      <x:c r="AD2" s="49" t="str">
        <x:v>Not centrally verified</x:v>
      </x:c>
      <x:c r="AE2" s="49" t="str">
        <x:v>Not available in a standardized official source</x:v>
      </x:c>
      <x:c r="AF2" s="49" t="str">
        <x:v>Not included: no official standardized source; cutoff-derived proxy excluded</x:v>
      </x:c>
      <x:c r="AG2" s="49" t="str">
        <x:v>https://dse2025.mahacet.org.in/dse25/admin/allotment/cap2/1002_4.pdf</x:v>
      </x:c>
      <x:c r="AH2" s="49" t="str">
        <x:v>https://fe2025.mahacet.org/StaticPages/frmInstituteSummary.aspx?InstituteCode=01002</x:v>
      </x:c>
      <x:c r="AI2" s="49"/>
      <x:c r="AJ2" s="49" t="str"/>
      <x:c r="AK2" s="69" t="n">
        <x:f>IF(W2&lt;&gt;"",50,IF(X2="101-150",45,IF(X2="151-200",40,IF(X2="201-300",35,0))))+IF(H2="Autonomous",20,0)+IF(OR(G2="Government",G2="Government-Aided",G2="University Department",G2="University",G2="University Autonomous"),15,0)+MIN(K2,10)+IF(AA2&lt;&gt;"",3,0)+IF(U2&lt;&gt;"",2,0)</x:f>
        <x:v>45</x:v>
      </x:c>
      <x:c r="AL2" s="49" t="str">
        <x:f>IF(AK2&gt;=70,"Official/high-evidence reference",IF(AK2&gt;=40,"Planning reference","Broader option"))</x:f>
        <x:v>Planning reference</x:v>
      </x:c>
    </x:row>
    <x:row r="3">
      <x:c r="A3" s="63" t="n">
        <x:v>1005</x:v>
      </x:c>
      <x:c r="B3" s="49" t="str">
        <x:v>Sant Gadge Baba Amravati University,Amravati</x:v>
      </x:c>
      <x:c r="C3" s="49" t="str">
        <x:v>Maharashtra</x:v>
      </x:c>
      <x:c r="D3" s="49" t="str">
        <x:v>Amravati</x:v>
      </x:c>
      <x:c r="E3" s="49" t="str">
        <x:v>Amravati</x:v>
      </x:c>
      <x:c r="F3" s="49" t="str">
        <x:v>SGB Amravati University, Near Tapowan, Amravati</x:v>
      </x:c>
      <x:c r="G3" s="49" t="str">
        <x:v>University Department</x:v>
      </x:c>
      <x:c r="H3" s="49" t="str">
        <x:v>Non-Autonomous</x:v>
      </x:c>
      <x:c r="I3" s="49" t="str">
        <x:v>Non-Minority</x:v>
      </x:c>
      <x:c r="J3" s="49" t="str">
        <x:v>Sant Gadge Baba Amravati University</x:v>
      </x:c>
      <x:c r="K3" s="49" t="n">
        <x:v>4</x:v>
      </x:c>
      <x:c r="L3" s="49" t="n">
        <x:v>46</x:v>
      </x:c>
      <x:c r="M3" s="49" t="n">
        <x:v>40</x:v>
      </x:c>
      <x:c r="N3" s="49" t="n">
        <x:v>6</x:v>
      </x:c>
      <x:c r="O3" s="49"/>
      <x:c r="P3" s="49"/>
      <x:c r="Q3" s="49" t="str">
        <x:v>Parsed from official 2025-26 PDF</x:v>
      </x:c>
      <x:c r="R3" s="49"/>
      <x:c r="S3" s="64"/>
      <x:c r="T3" s="64"/>
      <x:c r="U3" s="64"/>
      <x:c r="V3" s="49" t="str">
        <x:v>No verified FRA match</x:v>
      </x:c>
      <x:c r="W3" s="49"/>
      <x:c r="X3" s="49"/>
      <x:c r="Y3" s="68"/>
      <x:c r="Z3" s="49"/>
      <x:c r="AA3" s="49"/>
      <x:c r="AB3" s="49" t="str">
        <x:v>Not centrally verified</x:v>
      </x:c>
      <x:c r="AC3" s="49" t="str">
        <x:v>Not centrally verified</x:v>
      </x:c>
      <x:c r="AD3" s="49" t="str">
        <x:v>Not centrally verified</x:v>
      </x:c>
      <x:c r="AE3" s="49" t="str">
        <x:v>Not available in a standardized official source</x:v>
      </x:c>
      <x:c r="AF3" s="49" t="str">
        <x:v>Not included: no official standardized source; cutoff-derived proxy excluded</x:v>
      </x:c>
      <x:c r="AG3" s="49" t="str">
        <x:v>https://dse2025.mahacet.org.in/dse25/admin/allotment/cap2/1005_4.pdf</x:v>
      </x:c>
      <x:c r="AH3" s="49" t="str">
        <x:v>https://fe2025.mahacet.org/StaticPages/frmInstituteSummary.aspx?InstituteCode=01005</x:v>
      </x:c>
      <x:c r="AI3" s="49"/>
      <x:c r="AJ3" s="49" t="str"/>
      <x:c r="AK3" s="69" t="n">
        <x:f>IF(W3&lt;&gt;"",50,IF(X3="101-150",45,IF(X3="151-200",40,IF(X3="201-300",35,0))))+IF(H3="Autonomous",20,0)+IF(OR(G3="Government",G3="Government-Aided",G3="University Department",G3="University",G3="University Autonomous"),15,0)+MIN(K3,10)+IF(AA3&lt;&gt;"",3,0)+IF(U3&lt;&gt;"",2,0)</x:f>
        <x:v>19</x:v>
      </x:c>
      <x:c r="AL3" s="49" t="str">
        <x:f>IF(AK3&gt;=70,"Official/high-evidence reference",IF(AK3&gt;=40,"Planning reference","Broader option"))</x:f>
        <x:v>Broader option</x:v>
      </x:c>
    </x:row>
    <x:row r="4">
      <x:c r="A4" s="63" t="n">
        <x:v>1012</x:v>
      </x:c>
      <x:c r="B4" s="49" t="str">
        <x:v>Government College of Engineering,Yavatmal</x:v>
      </x:c>
      <x:c r="C4" s="49" t="str">
        <x:v>Maharashtra</x:v>
      </x:c>
      <x:c r="D4" s="49" t="str">
        <x:v>Amravati</x:v>
      </x:c>
      <x:c r="E4" s="49" t="str">
        <x:v>Yavatmal</x:v>
      </x:c>
      <x:c r="F4" s="49" t="str">
        <x:v>Post Box N. 24, Dhamangaon Road, Yavatmal</x:v>
      </x:c>
      <x:c r="G4" s="49" t="str">
        <x:v>Government</x:v>
      </x:c>
      <x:c r="H4" s="49" t="str">
        <x:v>Non-Autonomous</x:v>
      </x:c>
      <x:c r="I4" s="49" t="str">
        <x:v>Non-Minority</x:v>
      </x:c>
      <x:c r="J4" s="49" t="str">
        <x:v>Dr. Babasaheb Ambedkar Technological University,Lonere</x:v>
      </x:c>
      <x:c r="K4" s="49" t="n">
        <x:v>5</x:v>
      </x:c>
      <x:c r="L4" s="49" t="n">
        <x:v>108</x:v>
      </x:c>
      <x:c r="M4" s="49" t="n">
        <x:v>87</x:v>
      </x:c>
      <x:c r="N4" s="49" t="n">
        <x:v>21</x:v>
      </x:c>
      <x:c r="O4" s="49"/>
      <x:c r="P4" s="49"/>
      <x:c r="Q4" s="49" t="str">
        <x:v>Parsed from official 2025-26 PDF</x:v>
      </x:c>
      <x:c r="R4" s="49"/>
      <x:c r="S4" s="64"/>
      <x:c r="T4" s="64"/>
      <x:c r="U4" s="64"/>
      <x:c r="V4" s="49" t="str">
        <x:v>No verified FRA match</x:v>
      </x:c>
      <x:c r="W4" s="49"/>
      <x:c r="X4" s="49"/>
      <x:c r="Y4" s="68"/>
      <x:c r="Z4" s="49"/>
      <x:c r="AA4" s="49"/>
      <x:c r="AB4" s="49" t="str">
        <x:v>Not centrally verified</x:v>
      </x:c>
      <x:c r="AC4" s="49" t="str">
        <x:v>Not centrally verified</x:v>
      </x:c>
      <x:c r="AD4" s="49" t="str">
        <x:v>Not centrally verified</x:v>
      </x:c>
      <x:c r="AE4" s="49" t="str">
        <x:v>Not available in a standardized official source</x:v>
      </x:c>
      <x:c r="AF4" s="49" t="str">
        <x:v>Not included: no official standardized source; cutoff-derived proxy excluded</x:v>
      </x:c>
      <x:c r="AG4" s="49" t="str">
        <x:v>https://dse2025.mahacet.org.in/dse25/admin/allotment/cap2/1012_4.pdf</x:v>
      </x:c>
      <x:c r="AH4" s="49" t="str">
        <x:v>https://fe2025.mahacet.org/StaticPages/frmInstituteSummary.aspx?InstituteCode=01012</x:v>
      </x:c>
      <x:c r="AI4" s="49"/>
      <x:c r="AJ4" s="49" t="str"/>
      <x:c r="AK4" s="69" t="n">
        <x:f>IF(W4&lt;&gt;"",50,IF(X4="101-150",45,IF(X4="151-200",40,IF(X4="201-300",35,0))))+IF(H4="Autonomous",20,0)+IF(OR(G4="Government",G4="Government-Aided",G4="University Department",G4="University",G4="University Autonomous"),15,0)+MIN(K4,10)+IF(AA4&lt;&gt;"",3,0)+IF(U4&lt;&gt;"",2,0)</x:f>
        <x:v>20</x:v>
      </x:c>
      <x:c r="AL4" s="49" t="str">
        <x:f>IF(AK4&gt;=70,"Official/high-evidence reference",IF(AK4&gt;=40,"Planning reference","Broader option"))</x:f>
        <x:v>Broader option</x:v>
      </x:c>
    </x:row>
    <x:row r="5">
      <x:c r="A5" s="63" t="n">
        <x:v>1101</x:v>
      </x:c>
      <x:c r="B5" s="49" t="str">
        <x:v>Shri Sant Gajanan Maharaj College of Engineering,Shegaon</x:v>
      </x:c>
      <x:c r="C5" s="49" t="str">
        <x:v>Maharashtra</x:v>
      </x:c>
      <x:c r="D5" s="49" t="str">
        <x:v>Amravati</x:v>
      </x:c>
      <x:c r="E5" s="49" t="str">
        <x:v>Buldhana</x:v>
      </x:c>
      <x:c r="F5" s="49" t="str">
        <x:v>S.S.G.M.C.E Campus, Khamgaon Road, Shegaon Dist. Buldhana</x:v>
      </x:c>
      <x:c r="G5" s="49" t="str">
        <x:v>Un-Aided</x:v>
      </x:c>
      <x:c r="H5" s="49" t="str">
        <x:v>Non-Autonomous</x:v>
      </x:c>
      <x:c r="I5" s="49" t="str">
        <x:v>Non-Minority</x:v>
      </x:c>
      <x:c r="J5" s="49" t="str">
        <x:v>Sant Gadge Baba Amravati University</x:v>
      </x:c>
      <x:c r="K5" s="49" t="n">
        <x:v>5</x:v>
      </x:c>
      <x:c r="L5" s="49" t="n">
        <x:v>58</x:v>
      </x:c>
      <x:c r="M5" s="49" t="n">
        <x:v>49</x:v>
      </x:c>
      <x:c r="N5" s="49" t="n">
        <x:v>9</x:v>
      </x:c>
      <x:c r="O5" s="49"/>
      <x:c r="P5" s="49"/>
      <x:c r="Q5" s="49" t="str">
        <x:v>Parsed from official 2025-26 PDF</x:v>
      </x:c>
      <x:c r="R5" s="49" t="str">
        <x:v>2024-25</x:v>
      </x:c>
      <x:c r="S5" s="64" t="n">
        <x:v>106087</x:v>
      </x:c>
      <x:c r="T5" s="64" t="n">
        <x:v>15913</x:v>
      </x:c>
      <x:c r="U5" s="64" t="n">
        <x:v>122000</x:v>
      </x:c>
      <x:c r="V5" s="49" t="str">
        <x:v>Normal FRA-approved annual tuition + development fee; not seat-type-specific</x:v>
      </x:c>
      <x:c r="W5" s="49"/>
      <x:c r="X5" s="49"/>
      <x:c r="Y5" s="68"/>
      <x:c r="Z5" s="49"/>
      <x:c r="AA5" s="49"/>
      <x:c r="AB5" s="49" t="str">
        <x:v>Not centrally verified</x:v>
      </x:c>
      <x:c r="AC5" s="49" t="str">
        <x:v>Not centrally verified</x:v>
      </x:c>
      <x:c r="AD5" s="49" t="str">
        <x:v>Not centrally verified</x:v>
      </x:c>
      <x:c r="AE5" s="49" t="str">
        <x:v>Not available in a standardized official source</x:v>
      </x:c>
      <x:c r="AF5" s="49" t="str">
        <x:v>Not included: no official standardized source; cutoff-derived proxy excluded</x:v>
      </x:c>
      <x:c r="AG5" s="49" t="str">
        <x:v>https://dse2025.mahacet.org.in/dse25/admin/allotment/cap2/1101_4.pdf</x:v>
      </x:c>
      <x:c r="AH5" s="49" t="str">
        <x:v>https://fe2025.mahacet.org/StaticPages/frmInstituteSummary.aspx?InstituteCode=01101</x:v>
      </x:c>
      <x:c r="AI5" s="49"/>
      <x:c r="AJ5" s="49" t="str"/>
      <x:c r="AK5" s="69" t="n">
        <x:f>IF(W5&lt;&gt;"",50,IF(X5="101-150",45,IF(X5="151-200",40,IF(X5="201-300",35,0))))+IF(H5="Autonomous",20,0)+IF(OR(G5="Government",G5="Government-Aided",G5="University Department",G5="University",G5="University Autonomous"),15,0)+MIN(K5,10)+IF(AA5&lt;&gt;"",3,0)+IF(U5&lt;&gt;"",2,0)</x:f>
        <x:v>7</x:v>
      </x:c>
      <x:c r="AL5" s="49" t="str">
        <x:f>IF(AK5&gt;=70,"Official/high-evidence reference",IF(AK5&gt;=40,"Planning reference","Broader option"))</x:f>
        <x:v>Broader option</x:v>
      </x:c>
    </x:row>
    <x:row r="6">
      <x:c r="A6" s="63" t="n">
        <x:v>1105</x:v>
      </x:c>
      <x:c r="B6" s="49" t="str">
        <x:v>Prof. Ram Meghe Institute of Technology &amp; Research, Amravati</x:v>
      </x:c>
      <x:c r="C6" s="49" t="str">
        <x:v>Maharashtra</x:v>
      </x:c>
      <x:c r="D6" s="49" t="str">
        <x:v>Amravati</x:v>
      </x:c>
      <x:c r="E6" s="49" t="str">
        <x:v>Amravati</x:v>
      </x:c>
      <x:c r="F6" s="49" t="str">
        <x:v>Anjangaon Bari Road, Badnera, Amravati</x:v>
      </x:c>
      <x:c r="G6" s="49" t="str">
        <x:v>Un-Aided</x:v>
      </x:c>
      <x:c r="H6" s="49" t="str">
        <x:v>Autonomous</x:v>
      </x:c>
      <x:c r="I6" s="49" t="str">
        <x:v>Non-Minority</x:v>
      </x:c>
      <x:c r="J6" s="49" t="str">
        <x:v>Sant Gadge Baba Amravati University</x:v>
      </x:c>
      <x:c r="K6" s="49" t="n">
        <x:v>7</x:v>
      </x:c>
      <x:c r="L6" s="49" t="n">
        <x:v>137</x:v>
      </x:c>
      <x:c r="M6" s="49" t="n">
        <x:v>106</x:v>
      </x:c>
      <x:c r="N6" s="49" t="n">
        <x:v>31</x:v>
      </x:c>
      <x:c r="O6" s="49"/>
      <x:c r="P6" s="49"/>
      <x:c r="Q6" s="49" t="str">
        <x:v>Parsed from official 2025-26 PDF</x:v>
      </x:c>
      <x:c r="R6" s="49" t="str">
        <x:v>2024-25</x:v>
      </x:c>
      <x:c r="S6" s="64" t="n">
        <x:v>115147</x:v>
      </x:c>
      <x:c r="T6" s="64" t="n">
        <x:v>16353</x:v>
      </x:c>
      <x:c r="U6" s="64" t="n">
        <x:v>131500</x:v>
      </x:c>
      <x:c r="V6" s="49" t="str">
        <x:v>Normal FRA-approved annual tuition + development fee; not seat-type-specific</x:v>
      </x:c>
      <x:c r="W6" s="49"/>
      <x:c r="X6" s="49"/>
      <x:c r="Y6" s="68"/>
      <x:c r="Z6" s="49"/>
      <x:c r="AA6" s="49"/>
      <x:c r="AB6" s="49" t="str">
        <x:v>Not centrally verified</x:v>
      </x:c>
      <x:c r="AC6" s="49" t="str">
        <x:v>Not centrally verified</x:v>
      </x:c>
      <x:c r="AD6" s="49" t="str">
        <x:v>Not centrally verified</x:v>
      </x:c>
      <x:c r="AE6" s="49" t="str">
        <x:v>Not available in a standardized official source</x:v>
      </x:c>
      <x:c r="AF6" s="49" t="str">
        <x:v>Not included: no official standardized source; cutoff-derived proxy excluded</x:v>
      </x:c>
      <x:c r="AG6" s="49" t="str">
        <x:v>https://dse2025.mahacet.org.in/dse25/admin/allotment/cap2/1105_4.pdf</x:v>
      </x:c>
      <x:c r="AH6" s="49" t="str">
        <x:v>https://fe2025.mahacet.org/StaticPages/frmInstituteSummary.aspx?InstituteCode=01105</x:v>
      </x:c>
      <x:c r="AI6" s="49"/>
      <x:c r="AJ6" s="49" t="str"/>
      <x:c r="AK6" s="69" t="n">
        <x:f>IF(W6&lt;&gt;"",50,IF(X6="101-150",45,IF(X6="151-200",40,IF(X6="201-300",35,0))))+IF(H6="Autonomous",20,0)+IF(OR(G6="Government",G6="Government-Aided",G6="University Department",G6="University",G6="University Autonomous"),15,0)+MIN(K6,10)+IF(AA6&lt;&gt;"",3,0)+IF(U6&lt;&gt;"",2,0)</x:f>
        <x:v>29</x:v>
      </x:c>
      <x:c r="AL6" s="49" t="str">
        <x:f>IF(AK6&gt;=70,"Official/high-evidence reference",IF(AK6&gt;=40,"Planning reference","Broader option"))</x:f>
        <x:v>Broader option</x:v>
      </x:c>
    </x:row>
    <x:row r="7">
      <x:c r="A7" s="63" t="n">
        <x:v>1107</x:v>
      </x:c>
      <x:c r="B7" s="49" t="str">
        <x:v>P. R. Pote Patil College of Engineering &amp; Management, Amravati</x:v>
      </x:c>
      <x:c r="C7" s="49" t="str">
        <x:v>Maharashtra</x:v>
      </x:c>
      <x:c r="D7" s="49" t="str">
        <x:v>Amravati</x:v>
      </x:c>
      <x:c r="E7" s="49" t="str">
        <x:v>Amravati</x:v>
      </x:c>
      <x:c r="F7" s="49" t="str">
        <x:v>Shri Gajanan Township ,Pote Estate, Kathora Road, Amravati</x:v>
      </x:c>
      <x:c r="G7" s="49" t="str">
        <x:v>Un-Aided</x:v>
      </x:c>
      <x:c r="H7" s="49" t="str">
        <x:v>Autonomous</x:v>
      </x:c>
      <x:c r="I7" s="49" t="str">
        <x:v>Non-Minority</x:v>
      </x:c>
      <x:c r="J7" s="49" t="str">
        <x:v>Sant Gadge Baba Amravati University</x:v>
      </x:c>
      <x:c r="K7" s="49" t="n">
        <x:v>7</x:v>
      </x:c>
      <x:c r="L7" s="49" t="n">
        <x:v>141</x:v>
      </x:c>
      <x:c r="M7" s="49" t="n">
        <x:v>119</x:v>
      </x:c>
      <x:c r="N7" s="49" t="n">
        <x:v>22</x:v>
      </x:c>
      <x:c r="O7" s="49"/>
      <x:c r="P7" s="49"/>
      <x:c r="Q7" s="49" t="str">
        <x:v>Parsed from official 2025-26 PDF</x:v>
      </x:c>
      <x:c r="R7" s="49" t="str">
        <x:v>2024-25</x:v>
      </x:c>
      <x:c r="S7" s="64" t="n">
        <x:v>94132</x:v>
      </x:c>
      <x:c r="T7" s="64" t="n">
        <x:v>13368</x:v>
      </x:c>
      <x:c r="U7" s="64" t="n">
        <x:v>107500</x:v>
      </x:c>
      <x:c r="V7" s="49" t="str">
        <x:v>Normal FRA-approved annual tuition + development fee; not seat-type-specific</x:v>
      </x:c>
      <x:c r="W7" s="49"/>
      <x:c r="X7" s="49"/>
      <x:c r="Y7" s="68"/>
      <x:c r="Z7" s="49"/>
      <x:c r="AA7" s="49"/>
      <x:c r="AB7" s="49" t="str">
        <x:v>Not centrally verified</x:v>
      </x:c>
      <x:c r="AC7" s="49" t="str">
        <x:v>Not centrally verified</x:v>
      </x:c>
      <x:c r="AD7" s="49" t="str">
        <x:v>Not centrally verified</x:v>
      </x:c>
      <x:c r="AE7" s="49" t="str">
        <x:v>Not available in a standardized official source</x:v>
      </x:c>
      <x:c r="AF7" s="49" t="str">
        <x:v>Not included: no official standardized source; cutoff-derived proxy excluded</x:v>
      </x:c>
      <x:c r="AG7" s="49" t="str">
        <x:v>https://dse2025.mahacet.org.in/dse25/admin/allotment/cap2/1107_4.pdf</x:v>
      </x:c>
      <x:c r="AH7" s="49" t="str">
        <x:v>https://fe2025.mahacet.org/StaticPages/frmInstituteSummary.aspx?InstituteCode=01107</x:v>
      </x:c>
      <x:c r="AI7" s="49"/>
      <x:c r="AJ7" s="49" t="str"/>
      <x:c r="AK7" s="69" t="n">
        <x:f>IF(W7&lt;&gt;"",50,IF(X7="101-150",45,IF(X7="151-200",40,IF(X7="201-300",35,0))))+IF(H7="Autonomous",20,0)+IF(OR(G7="Government",G7="Government-Aided",G7="University Department",G7="University",G7="University Autonomous"),15,0)+MIN(K7,10)+IF(AA7&lt;&gt;"",3,0)+IF(U7&lt;&gt;"",2,0)</x:f>
        <x:v>29</x:v>
      </x:c>
      <x:c r="AL7" s="49" t="str">
        <x:f>IF(AK7&gt;=70,"Official/high-evidence reference",IF(AK7&gt;=40,"Planning reference","Broader option"))</x:f>
        <x:v>Broader option</x:v>
      </x:c>
    </x:row>
    <x:row r="8">
      <x:c r="A8" s="63" t="n">
        <x:v>1114</x:v>
      </x:c>
      <x:c r="B8" s="49" t="str">
        <x:v>Sipna Shikshan Prasarak Mandal College of Engineering &amp; Technology, Amravati</x:v>
      </x:c>
      <x:c r="C8" s="49" t="str">
        <x:v>Maharashtra</x:v>
      </x:c>
      <x:c r="D8" s="49" t="str">
        <x:v>Amravati</x:v>
      </x:c>
      <x:c r="E8" s="49" t="str">
        <x:v>Amravati</x:v>
      </x:c>
      <x:c r="F8" s="49" t="str">
        <x:v>Sipna campus, Infront of Nemani Godown, Badnera Rd., Amravati</x:v>
      </x:c>
      <x:c r="G8" s="49" t="str">
        <x:v>Un-Aided</x:v>
      </x:c>
      <x:c r="H8" s="49" t="str">
        <x:v>Autonomous</x:v>
      </x:c>
      <x:c r="I8" s="49" t="str">
        <x:v>Non-Minority</x:v>
      </x:c>
      <x:c r="J8" s="49" t="str">
        <x:v>Sant Gadge Baba Amravati University</x:v>
      </x:c>
      <x:c r="K8" s="49" t="n">
        <x:v>6</x:v>
      </x:c>
      <x:c r="L8" s="49" t="n">
        <x:v>102</x:v>
      </x:c>
      <x:c r="M8" s="49" t="n">
        <x:v>82</x:v>
      </x:c>
      <x:c r="N8" s="49" t="n">
        <x:v>20</x:v>
      </x:c>
      <x:c r="O8" s="49"/>
      <x:c r="P8" s="49"/>
      <x:c r="Q8" s="49" t="str">
        <x:v>Parsed from official 2025-26 PDF</x:v>
      </x:c>
      <x:c r="R8" s="49" t="str">
        <x:v>2024-25</x:v>
      </x:c>
      <x:c r="S8" s="64" t="n">
        <x:v>78603</x:v>
      </x:c>
      <x:c r="T8" s="64" t="n">
        <x:v>11397</x:v>
      </x:c>
      <x:c r="U8" s="64" t="n">
        <x:v>90000</x:v>
      </x:c>
      <x:c r="V8" s="49" t="str">
        <x:v>Normal FRA-approved annual tuition + development fee; not seat-type-specific</x:v>
      </x:c>
      <x:c r="W8" s="49"/>
      <x:c r="X8" s="49"/>
      <x:c r="Y8" s="68"/>
      <x:c r="Z8" s="49"/>
      <x:c r="AA8" s="49"/>
      <x:c r="AB8" s="49" t="str">
        <x:v>Not centrally verified</x:v>
      </x:c>
      <x:c r="AC8" s="49" t="str">
        <x:v>Not centrally verified</x:v>
      </x:c>
      <x:c r="AD8" s="49" t="str">
        <x:v>Not centrally verified</x:v>
      </x:c>
      <x:c r="AE8" s="49" t="str">
        <x:v>Not available in a standardized official source</x:v>
      </x:c>
      <x:c r="AF8" s="49" t="str">
        <x:v>Not included: no official standardized source; cutoff-derived proxy excluded</x:v>
      </x:c>
      <x:c r="AG8" s="49" t="str">
        <x:v>https://dse2025.mahacet.org.in/dse25/admin/allotment/cap2/1114_4.pdf</x:v>
      </x:c>
      <x:c r="AH8" s="49" t="str">
        <x:v>https://fe2025.mahacet.org/StaticPages/frmInstituteSummary.aspx?InstituteCode=01114</x:v>
      </x:c>
      <x:c r="AI8" s="49"/>
      <x:c r="AJ8" s="49" t="str"/>
      <x:c r="AK8" s="69" t="n">
        <x:f>IF(W8&lt;&gt;"",50,IF(X8="101-150",45,IF(X8="151-200",40,IF(X8="201-300",35,0))))+IF(H8="Autonomous",20,0)+IF(OR(G8="Government",G8="Government-Aided",G8="University Department",G8="University",G8="University Autonomous"),15,0)+MIN(K8,10)+IF(AA8&lt;&gt;"",3,0)+IF(U8&lt;&gt;"",2,0)</x:f>
        <x:v>28</x:v>
      </x:c>
      <x:c r="AL8" s="49" t="str">
        <x:f>IF(AK8&gt;=70,"Official/high-evidence reference",IF(AK8&gt;=40,"Planning reference","Broader option"))</x:f>
        <x:v>Broader option</x:v>
      </x:c>
    </x:row>
    <x:row r="9">
      <x:c r="A9" s="63" t="n">
        <x:v>1116</x:v>
      </x:c>
      <x:c r="B9" s="49" t="str">
        <x:v>Shri Shivaji Education Society's College of Engineering and Technology, Akola</x:v>
      </x:c>
      <x:c r="C9" s="49" t="str">
        <x:v>Maharashtra</x:v>
      </x:c>
      <x:c r="D9" s="49" t="str">
        <x:v>Amravati</x:v>
      </x:c>
      <x:c r="E9" s="49" t="str">
        <x:v>Akola</x:v>
      </x:c>
      <x:c r="F9" s="49" t="str">
        <x:v>Babhulgaon(Jn), Murtizapur Road, National Highway No. 6, Akola</x:v>
      </x:c>
      <x:c r="G9" s="49" t="str">
        <x:v>Un-Aided</x:v>
      </x:c>
      <x:c r="H9" s="49" t="str">
        <x:v>Non-Autonomous</x:v>
      </x:c>
      <x:c r="I9" s="49" t="str">
        <x:v>Non-Minority</x:v>
      </x:c>
      <x:c r="J9" s="49" t="str">
        <x:v>Sant Gadge Baba Amravati University</x:v>
      </x:c>
      <x:c r="K9" s="49" t="n">
        <x:v>5</x:v>
      </x:c>
      <x:c r="L9" s="49" t="n">
        <x:v>71</x:v>
      </x:c>
      <x:c r="M9" s="49" t="n">
        <x:v>52</x:v>
      </x:c>
      <x:c r="N9" s="49" t="n">
        <x:v>19</x:v>
      </x:c>
      <x:c r="O9" s="49"/>
      <x:c r="P9" s="49"/>
      <x:c r="Q9" s="49" t="str">
        <x:v>Parsed from official 2025-26 PDF</x:v>
      </x:c>
      <x:c r="R9" s="49" t="str">
        <x:v>2024-25</x:v>
      </x:c>
      <x:c r="S9" s="64" t="n">
        <x:v>93420</x:v>
      </x:c>
      <x:c r="T9" s="64" t="n">
        <x:v>13080</x:v>
      </x:c>
      <x:c r="U9" s="64" t="n">
        <x:v>106500</x:v>
      </x:c>
      <x:c r="V9" s="49" t="str">
        <x:v>Normal FRA-approved annual tuition + development fee; not seat-type-specific</x:v>
      </x:c>
      <x:c r="W9" s="49"/>
      <x:c r="X9" s="49"/>
      <x:c r="Y9" s="68"/>
      <x:c r="Z9" s="49"/>
      <x:c r="AA9" s="49"/>
      <x:c r="AB9" s="49" t="str">
        <x:v>Not centrally verified</x:v>
      </x:c>
      <x:c r="AC9" s="49" t="str">
        <x:v>Not centrally verified</x:v>
      </x:c>
      <x:c r="AD9" s="49" t="str">
        <x:v>Not centrally verified</x:v>
      </x:c>
      <x:c r="AE9" s="49" t="str">
        <x:v>Not available in a standardized official source</x:v>
      </x:c>
      <x:c r="AF9" s="49" t="str">
        <x:v>Not included: no official standardized source; cutoff-derived proxy excluded</x:v>
      </x:c>
      <x:c r="AG9" s="49" t="str">
        <x:v>https://dse2025.mahacet.org.in/dse25/admin/allotment/cap2/1116_4.pdf</x:v>
      </x:c>
      <x:c r="AH9" s="49" t="str">
        <x:v>https://fe2025.mahacet.org/StaticPages/frmInstituteSummary.aspx?InstituteCode=01116</x:v>
      </x:c>
      <x:c r="AI9" s="49"/>
      <x:c r="AJ9" s="49" t="str"/>
      <x:c r="AK9" s="69" t="n">
        <x:f>IF(W9&lt;&gt;"",50,IF(X9="101-150",45,IF(X9="151-200",40,IF(X9="201-300",35,0))))+IF(H9="Autonomous",20,0)+IF(OR(G9="Government",G9="Government-Aided",G9="University Department",G9="University",G9="University Autonomous"),15,0)+MIN(K9,10)+IF(AA9&lt;&gt;"",3,0)+IF(U9&lt;&gt;"",2,0)</x:f>
        <x:v>7</x:v>
      </x:c>
      <x:c r="AL9" s="49" t="str">
        <x:f>IF(AK9&gt;=70,"Official/high-evidence reference",IF(AK9&gt;=40,"Planning reference","Broader option"))</x:f>
        <x:v>Broader option</x:v>
      </x:c>
    </x:row>
    <x:row r="10">
      <x:c r="A10" s="63" t="n">
        <x:v>1117</x:v>
      </x:c>
      <x:c r="B10" s="49" t="str">
        <x:v>Janata Shikshan Prasarak Mandals Babasaheb Naik College Of Engineering, Pusad</x:v>
      </x:c>
      <x:c r="C10" s="49" t="str">
        <x:v>Maharashtra</x:v>
      </x:c>
      <x:c r="D10" s="49" t="str">
        <x:v>Amravati</x:v>
      </x:c>
      <x:c r="E10" s="49" t="str">
        <x:v>Yavatmal</x:v>
      </x:c>
      <x:c r="F10" s="49" t="str">
        <x:v>Kalra Road, Pusad Dist Yavatmal</x:v>
      </x:c>
      <x:c r="G10" s="49" t="str">
        <x:v>Un-Aided</x:v>
      </x:c>
      <x:c r="H10" s="49" t="str">
        <x:v>Non-Autonomous</x:v>
      </x:c>
      <x:c r="I10" s="49" t="str">
        <x:v>Non-Minority</x:v>
      </x:c>
      <x:c r="J10" s="49" t="str">
        <x:v>Sant Gadge Baba Amravati University</x:v>
      </x:c>
      <x:c r="K10" s="49" t="n">
        <x:v>5</x:v>
      </x:c>
      <x:c r="L10" s="49" t="n">
        <x:v>114</x:v>
      </x:c>
      <x:c r="M10" s="49" t="n">
        <x:v>88</x:v>
      </x:c>
      <x:c r="N10" s="49" t="n">
        <x:v>26</x:v>
      </x:c>
      <x:c r="O10" s="49"/>
      <x:c r="P10" s="49"/>
      <x:c r="Q10" s="49" t="str">
        <x:v>Parsed from official 2025-26 PDF</x:v>
      </x:c>
      <x:c r="R10" s="49" t="str">
        <x:v>2024-25</x:v>
      </x:c>
      <x:c r="S10" s="64" t="n">
        <x:v>59610</x:v>
      </x:c>
      <x:c r="T10" s="64" t="n">
        <x:v>7390</x:v>
      </x:c>
      <x:c r="U10" s="64" t="n">
        <x:v>67000</x:v>
      </x:c>
      <x:c r="V10" s="49" t="str">
        <x:v>Normal FRA-approved annual tuition + development fee; not seat-type-specific</x:v>
      </x:c>
      <x:c r="W10" s="49"/>
      <x:c r="X10" s="49"/>
      <x:c r="Y10" s="68"/>
      <x:c r="Z10" s="49"/>
      <x:c r="AA10" s="49"/>
      <x:c r="AB10" s="49" t="str">
        <x:v>Not centrally verified</x:v>
      </x:c>
      <x:c r="AC10" s="49" t="str">
        <x:v>Not centrally verified</x:v>
      </x:c>
      <x:c r="AD10" s="49" t="str">
        <x:v>Not centrally verified</x:v>
      </x:c>
      <x:c r="AE10" s="49" t="str">
        <x:v>Not available in a standardized official source</x:v>
      </x:c>
      <x:c r="AF10" s="49" t="str">
        <x:v>Not included: no official standardized source; cutoff-derived proxy excluded</x:v>
      </x:c>
      <x:c r="AG10" s="49" t="str">
        <x:v>https://dse2025.mahacet.org.in/dse25/admin/allotment/cap2/1117_4.pdf</x:v>
      </x:c>
      <x:c r="AH10" s="49" t="str">
        <x:v>https://fe2025.mahacet.org/StaticPages/frmInstituteSummary.aspx?InstituteCode=01117</x:v>
      </x:c>
      <x:c r="AI10" s="49"/>
      <x:c r="AJ10" s="49" t="str"/>
      <x:c r="AK10" s="69" t="n">
        <x:f>IF(W10&lt;&gt;"",50,IF(X10="101-150",45,IF(X10="151-200",40,IF(X10="201-300",35,0))))+IF(H10="Autonomous",20,0)+IF(OR(G10="Government",G10="Government-Aided",G10="University Department",G10="University",G10="University Autonomous"),15,0)+MIN(K10,10)+IF(AA10&lt;&gt;"",3,0)+IF(U10&lt;&gt;"",2,0)</x:f>
        <x:v>7</x:v>
      </x:c>
      <x:c r="AL10" s="49" t="str">
        <x:f>IF(AK10&gt;=70,"Official/high-evidence reference",IF(AK10&gt;=40,"Planning reference","Broader option"))</x:f>
        <x:v>Broader option</x:v>
      </x:c>
    </x:row>
    <x:row r="11">
      <x:c r="A11" s="63" t="n">
        <x:v>1119</x:v>
      </x:c>
      <x:c r="B11" s="49" t="str">
        <x:v>ANURADHA COLLEGE OF ENGINEERING &amp; TECHNOLOGY</x:v>
      </x:c>
      <x:c r="C11" s="49" t="str">
        <x:v>Maharashtra</x:v>
      </x:c>
      <x:c r="D11" s="49" t="str">
        <x:v>Amravati</x:v>
      </x:c>
      <x:c r="E11" s="49" t="str">
        <x:v>Buldhana</x:v>
      </x:c>
      <x:c r="F11" s="49" t="str">
        <x:v>Anuradhha Nagar, Sakegaon Road, Chikhali Dist. Buldhana 444201</x:v>
      </x:c>
      <x:c r="G11" s="49" t="str">
        <x:v>Un-Aided</x:v>
      </x:c>
      <x:c r="H11" s="49" t="str">
        <x:v>Non-Autonomous</x:v>
      </x:c>
      <x:c r="I11" s="49" t="str">
        <x:v>Non-Minority</x:v>
      </x:c>
      <x:c r="J11" s="49" t="str">
        <x:v>Sant Gadge Baba Amravati University</x:v>
      </x:c>
      <x:c r="K11" s="49" t="n">
        <x:v>5</x:v>
      </x:c>
      <x:c r="L11" s="49" t="n">
        <x:v>121</x:v>
      </x:c>
      <x:c r="M11" s="49" t="n">
        <x:v>100</x:v>
      </x:c>
      <x:c r="N11" s="49" t="n">
        <x:v>21</x:v>
      </x:c>
      <x:c r="O11" s="49"/>
      <x:c r="P11" s="49"/>
      <x:c r="Q11" s="49" t="str">
        <x:v>Parsed from official 2025-26 PDF</x:v>
      </x:c>
      <x:c r="R11" s="49" t="str">
        <x:v>2024-25</x:v>
      </x:c>
      <x:c r="S11" s="64" t="n">
        <x:v>68304</x:v>
      </x:c>
      <x:c r="T11" s="64" t="n">
        <x:v>8196</x:v>
      </x:c>
      <x:c r="U11" s="64" t="n">
        <x:v>76500</x:v>
      </x:c>
      <x:c r="V11" s="49" t="str">
        <x:v>Normal FRA-approved annual tuition + development fee; not seat-type-specific</x:v>
      </x:c>
      <x:c r="W11" s="49"/>
      <x:c r="X11" s="49"/>
      <x:c r="Y11" s="68"/>
      <x:c r="Z11" s="49"/>
      <x:c r="AA11" s="49"/>
      <x:c r="AB11" s="49" t="str">
        <x:v>Not centrally verified</x:v>
      </x:c>
      <x:c r="AC11" s="49" t="str">
        <x:v>Not centrally verified</x:v>
      </x:c>
      <x:c r="AD11" s="49" t="str">
        <x:v>Not centrally verified</x:v>
      </x:c>
      <x:c r="AE11" s="49" t="str">
        <x:v>Not available in a standardized official source</x:v>
      </x:c>
      <x:c r="AF11" s="49" t="str">
        <x:v>Not included: no official standardized source; cutoff-derived proxy excluded</x:v>
      </x:c>
      <x:c r="AG11" s="49" t="str">
        <x:v>https://dse2025.mahacet.org.in/dse25/admin/allotment/cap2/1119_4.pdf</x:v>
      </x:c>
      <x:c r="AH11" s="49" t="str">
        <x:v>https://fe2025.mahacet.org/StaticPages/frmInstituteSummary.aspx?InstituteCode=01119</x:v>
      </x:c>
      <x:c r="AI11" s="49"/>
      <x:c r="AJ11" s="49" t="str"/>
      <x:c r="AK11" s="69" t="n">
        <x:f>IF(W11&lt;&gt;"",50,IF(X11="101-150",45,IF(X11="151-200",40,IF(X11="201-300",35,0))))+IF(H11="Autonomous",20,0)+IF(OR(G11="Government",G11="Government-Aided",G11="University Department",G11="University",G11="University Autonomous"),15,0)+MIN(K11,10)+IF(AA11&lt;&gt;"",3,0)+IF(U11&lt;&gt;"",2,0)</x:f>
        <x:v>7</x:v>
      </x:c>
      <x:c r="AL11" s="49" t="str">
        <x:f>IF(AK11&gt;=70,"Official/high-evidence reference",IF(AK11&gt;=40,"Planning reference","Broader option"))</x:f>
        <x:v>Broader option</x:v>
      </x:c>
    </x:row>
    <x:row r="12">
      <x:c r="A12" s="63" t="n">
        <x:v>1120</x:v>
      </x:c>
      <x:c r="B12" s="49" t="str">
        <x:v>Jawaharlal Darda Institute of Engineering and Technology, Yavatmal</x:v>
      </x:c>
      <x:c r="C12" s="49" t="str">
        <x:v>Maharashtra</x:v>
      </x:c>
      <x:c r="D12" s="49" t="str">
        <x:v>Amravati</x:v>
      </x:c>
      <x:c r="E12" s="49" t="str">
        <x:v>Yavatmal</x:v>
      </x:c>
      <x:c r="F12" s="49" t="str">
        <x:v>MIDC, Lohara, Amaravati Road, Yavatmal</x:v>
      </x:c>
      <x:c r="G12" s="49" t="str">
        <x:v>Un-Aided</x:v>
      </x:c>
      <x:c r="H12" s="49" t="str">
        <x:v>Autonomous</x:v>
      </x:c>
      <x:c r="I12" s="49" t="str">
        <x:v>Linguistic Minority - Hindi</x:v>
      </x:c>
      <x:c r="J12" s="49" t="str">
        <x:v>Sant Gadge Baba Amravati University</x:v>
      </x:c>
      <x:c r="K12" s="49" t="n">
        <x:v>7</x:v>
      </x:c>
      <x:c r="L12" s="49" t="n">
        <x:v>52</x:v>
      </x:c>
      <x:c r="M12" s="49" t="n">
        <x:v>22</x:v>
      </x:c>
      <x:c r="N12" s="49"/>
      <x:c r="O12" s="49" t="n">
        <x:v>30</x:v>
      </x:c>
      <x:c r="P12" s="49"/>
      <x:c r="Q12" s="49" t="str">
        <x:v>Parsed from official 2025-26 PDF</x:v>
      </x:c>
      <x:c r="R12" s="49" t="str">
        <x:v>2024-25</x:v>
      </x:c>
      <x:c r="S12" s="64" t="n">
        <x:v>72368</x:v>
      </x:c>
      <x:c r="T12" s="64" t="n">
        <x:v>10132</x:v>
      </x:c>
      <x:c r="U12" s="64" t="n">
        <x:v>82500</x:v>
      </x:c>
      <x:c r="V12" s="49" t="str">
        <x:v>Normal FRA-approved annual tuition + development fee; not seat-type-specific</x:v>
      </x:c>
      <x:c r="W12" s="49"/>
      <x:c r="X12" s="49"/>
      <x:c r="Y12" s="68"/>
      <x:c r="Z12" s="49"/>
      <x:c r="AA12" s="49"/>
      <x:c r="AB12" s="49" t="str">
        <x:v>Not centrally verified</x:v>
      </x:c>
      <x:c r="AC12" s="49" t="str">
        <x:v>Not centrally verified</x:v>
      </x:c>
      <x:c r="AD12" s="49" t="str">
        <x:v>Not centrally verified</x:v>
      </x:c>
      <x:c r="AE12" s="49" t="str">
        <x:v>Not available in a standardized official source</x:v>
      </x:c>
      <x:c r="AF12" s="49" t="str">
        <x:v>Not included: no official standardized source; cutoff-derived proxy excluded</x:v>
      </x:c>
      <x:c r="AG12" s="49" t="str">
        <x:v>https://dse2025.mahacet.org.in/dse25/admin/allotment/cap2/1120_4.pdf</x:v>
      </x:c>
      <x:c r="AH12" s="49" t="str">
        <x:v>https://fe2025.mahacet.org/StaticPages/frmInstituteSummary.aspx?InstituteCode=01120</x:v>
      </x:c>
      <x:c r="AI12" s="49"/>
      <x:c r="AJ12" s="49" t="str"/>
      <x:c r="AK12" s="69" t="n">
        <x:f>IF(W12&lt;&gt;"",50,IF(X12="101-150",45,IF(X12="151-200",40,IF(X12="201-300",35,0))))+IF(H12="Autonomous",20,0)+IF(OR(G12="Government",G12="Government-Aided",G12="University Department",G12="University",G12="University Autonomous"),15,0)+MIN(K12,10)+IF(AA12&lt;&gt;"",3,0)+IF(U12&lt;&gt;"",2,0)</x:f>
        <x:v>29</x:v>
      </x:c>
      <x:c r="AL12" s="49" t="str">
        <x:f>IF(AK12&gt;=70,"Official/high-evidence reference",IF(AK12&gt;=40,"Planning reference","Broader option"))</x:f>
        <x:v>Broader option</x:v>
      </x:c>
    </x:row>
    <x:row r="13">
      <x:c r="A13" s="63" t="n">
        <x:v>1121</x:v>
      </x:c>
      <x:c r="B13" s="49" t="str">
        <x:v>Shri Hanuman Vyayam Prasarak Mandals College of Engineering &amp; Technology, Amravati</x:v>
      </x:c>
      <x:c r="C13" s="49" t="str">
        <x:v>Maharashtra</x:v>
      </x:c>
      <x:c r="D13" s="49" t="str">
        <x:v>Amravati</x:v>
      </x:c>
      <x:c r="E13" s="49" t="str">
        <x:v>Amravati</x:v>
      </x:c>
      <x:c r="F13" s="49" t="str">
        <x:v>Hanuman Vyayam Nagar, H.V.P.M. Campus, Amravati</x:v>
      </x:c>
      <x:c r="G13" s="49" t="str">
        <x:v>Un-Aided</x:v>
      </x:c>
      <x:c r="H13" s="49" t="str">
        <x:v>Non-Autonomous</x:v>
      </x:c>
      <x:c r="I13" s="49" t="str">
        <x:v>Non-Minority</x:v>
      </x:c>
      <x:c r="J13" s="49" t="str">
        <x:v>Sant Gadge Baba Amravati University</x:v>
      </x:c>
      <x:c r="K13" s="49" t="n">
        <x:v>4</x:v>
      </x:c>
      <x:c r="L13" s="49" t="n">
        <x:v>47</x:v>
      </x:c>
      <x:c r="M13" s="49" t="n">
        <x:v>30</x:v>
      </x:c>
      <x:c r="N13" s="49" t="n">
        <x:v>17</x:v>
      </x:c>
      <x:c r="O13" s="49"/>
      <x:c r="P13" s="49"/>
      <x:c r="Q13" s="49" t="str">
        <x:v>Parsed from official 2025-26 PDF</x:v>
      </x:c>
      <x:c r="R13" s="49" t="str">
        <x:v>2024-25</x:v>
      </x:c>
      <x:c r="S13" s="64" t="n">
        <x:v>74318</x:v>
      </x:c>
      <x:c r="T13" s="64" t="n">
        <x:v>10182</x:v>
      </x:c>
      <x:c r="U13" s="64" t="n">
        <x:v>84500</x:v>
      </x:c>
      <x:c r="V13" s="49" t="str">
        <x:v>Normal FRA-approved annual tuition + development fee; not seat-type-specific</x:v>
      </x:c>
      <x:c r="W13" s="49"/>
      <x:c r="X13" s="49"/>
      <x:c r="Y13" s="68"/>
      <x:c r="Z13" s="49"/>
      <x:c r="AA13" s="49"/>
      <x:c r="AB13" s="49" t="str">
        <x:v>Not centrally verified</x:v>
      </x:c>
      <x:c r="AC13" s="49" t="str">
        <x:v>Not centrally verified</x:v>
      </x:c>
      <x:c r="AD13" s="49" t="str">
        <x:v>Not centrally verified</x:v>
      </x:c>
      <x:c r="AE13" s="49" t="str">
        <x:v>Not available in a standardized official source</x:v>
      </x:c>
      <x:c r="AF13" s="49" t="str">
        <x:v>Not included: no official standardized source; cutoff-derived proxy excluded</x:v>
      </x:c>
      <x:c r="AG13" s="49" t="str">
        <x:v>https://dse2025.mahacet.org.in/dse25/admin/allotment/cap2/1121_4.pdf</x:v>
      </x:c>
      <x:c r="AH13" s="49" t="str">
        <x:v>https://fe2025.mahacet.org/StaticPages/frmInstituteSummary.aspx?InstituteCode=01121</x:v>
      </x:c>
      <x:c r="AI13" s="49"/>
      <x:c r="AJ13" s="49" t="str"/>
      <x:c r="AK13" s="69" t="n">
        <x:f>IF(W13&lt;&gt;"",50,IF(X13="101-150",45,IF(X13="151-200",40,IF(X13="201-300",35,0))))+IF(H13="Autonomous",20,0)+IF(OR(G13="Government",G13="Government-Aided",G13="University Department",G13="University",G13="University Autonomous"),15,0)+MIN(K13,10)+IF(AA13&lt;&gt;"",3,0)+IF(U13&lt;&gt;"",2,0)</x:f>
        <x:v>6</x:v>
      </x:c>
      <x:c r="AL13" s="49" t="str">
        <x:f>IF(AK13&gt;=70,"Official/high-evidence reference",IF(AK13&gt;=40,"Planning reference","Broader option"))</x:f>
        <x:v>Broader option</x:v>
      </x:c>
    </x:row>
    <x:row r="14">
      <x:c r="A14" s="63" t="n">
        <x:v>1123</x:v>
      </x:c>
      <x:c r="B14" s="49" t="str">
        <x:v>Dr.Rajendra Gode Institute of Technology &amp; Research, Amravati</x:v>
      </x:c>
      <x:c r="C14" s="49" t="str">
        <x:v>Maharashtra</x:v>
      </x:c>
      <x:c r="D14" s="49" t="str">
        <x:v>Amravati</x:v>
      </x:c>
      <x:c r="E14" s="49" t="str">
        <x:v>Amravati</x:v>
      </x:c>
      <x:c r="F14" s="49" t="str">
        <x:v>University Mardi Road, Opp. Heart Hospital, Amravati</x:v>
      </x:c>
      <x:c r="G14" s="49" t="str">
        <x:v>Un-Aided</x:v>
      </x:c>
      <x:c r="H14" s="49" t="str">
        <x:v>Non-Autonomous</x:v>
      </x:c>
      <x:c r="I14" s="49" t="str">
        <x:v>Non-Minority</x:v>
      </x:c>
      <x:c r="J14" s="49" t="str">
        <x:v>Sant Gadge Baba Amravati University</x:v>
      </x:c>
      <x:c r="K14" s="49" t="n">
        <x:v>4</x:v>
      </x:c>
      <x:c r="L14" s="49" t="n">
        <x:v>54</x:v>
      </x:c>
      <x:c r="M14" s="49" t="n">
        <x:v>30</x:v>
      </x:c>
      <x:c r="N14" s="49" t="n">
        <x:v>24</x:v>
      </x:c>
      <x:c r="O14" s="49"/>
      <x:c r="P14" s="49"/>
      <x:c r="Q14" s="49" t="str">
        <x:v>Parsed from official 2025-26 PDF</x:v>
      </x:c>
      <x:c r="R14" s="49" t="str">
        <x:v>2024-25</x:v>
      </x:c>
      <x:c r="S14" s="64" t="n">
        <x:v>84144</x:v>
      </x:c>
      <x:c r="T14" s="64" t="n">
        <x:v>10856</x:v>
      </x:c>
      <x:c r="U14" s="64" t="n">
        <x:v>95000</x:v>
      </x:c>
      <x:c r="V14" s="49" t="str">
        <x:v>Normal FRA-approved annual tuition + development fee; not seat-type-specific</x:v>
      </x:c>
      <x:c r="W14" s="49"/>
      <x:c r="X14" s="49"/>
      <x:c r="Y14" s="68"/>
      <x:c r="Z14" s="49"/>
      <x:c r="AA14" s="49"/>
      <x:c r="AB14" s="49" t="str">
        <x:v>Not centrally verified</x:v>
      </x:c>
      <x:c r="AC14" s="49" t="str">
        <x:v>Not centrally verified</x:v>
      </x:c>
      <x:c r="AD14" s="49" t="str">
        <x:v>Not centrally verified</x:v>
      </x:c>
      <x:c r="AE14" s="49" t="str">
        <x:v>Not available in a standardized official source</x:v>
      </x:c>
      <x:c r="AF14" s="49" t="str">
        <x:v>Not included: no official standardized source; cutoff-derived proxy excluded</x:v>
      </x:c>
      <x:c r="AG14" s="49" t="str">
        <x:v>https://dse2025.mahacet.org.in/dse25/admin/allotment/cap2/1123_4.pdf</x:v>
      </x:c>
      <x:c r="AH14" s="49" t="str">
        <x:v>https://fe2025.mahacet.org/StaticPages/frmInstituteSummary.aspx?InstituteCode=01123</x:v>
      </x:c>
      <x:c r="AI14" s="49"/>
      <x:c r="AJ14" s="49" t="str"/>
      <x:c r="AK14" s="69" t="n">
        <x:f>IF(W14&lt;&gt;"",50,IF(X14="101-150",45,IF(X14="151-200",40,IF(X14="201-300",35,0))))+IF(H14="Autonomous",20,0)+IF(OR(G14="Government",G14="Government-Aided",G14="University Department",G14="University",G14="University Autonomous"),15,0)+MIN(K14,10)+IF(AA14&lt;&gt;"",3,0)+IF(U14&lt;&gt;"",2,0)</x:f>
        <x:v>6</x:v>
      </x:c>
      <x:c r="AL14" s="49" t="str">
        <x:f>IF(AK14&gt;=70,"Official/high-evidence reference",IF(AK14&gt;=40,"Planning reference","Broader option"))</x:f>
        <x:v>Broader option</x:v>
      </x:c>
    </x:row>
    <x:row r="15">
      <x:c r="A15" s="63" t="n">
        <x:v>1125</x:v>
      </x:c>
      <x:c r="B15" s="49" t="str">
        <x:v>Dwarka Bahu Uddeshiya Gramin Vikas Foundation, Rajarshi Shahu College of Engineering, Buldhana</x:v>
      </x:c>
      <x:c r="C15" s="49" t="str">
        <x:v>Maharashtra</x:v>
      </x:c>
      <x:c r="D15" s="49" t="str">
        <x:v>Amravati</x:v>
      </x:c>
      <x:c r="E15" s="49" t="str">
        <x:v>Buldhana</x:v>
      </x:c>
      <x:c r="F15" s="49" t="str">
        <x:v>Rajarshi Shahu Nagar, Near Palna Ghar, Sagwan Road, Buldhana</x:v>
      </x:c>
      <x:c r="G15" s="49" t="str">
        <x:v>Un-Aided</x:v>
      </x:c>
      <x:c r="H15" s="49" t="str">
        <x:v>Non-Autonomous</x:v>
      </x:c>
      <x:c r="I15" s="49" t="str">
        <x:v>Non-Minority</x:v>
      </x:c>
      <x:c r="J15" s="49" t="str">
        <x:v>Sant Gadge Baba Amravati University</x:v>
      </x:c>
      <x:c r="K15" s="49" t="n">
        <x:v>5</x:v>
      </x:c>
      <x:c r="L15" s="49" t="n">
        <x:v>114</x:v>
      </x:c>
      <x:c r="M15" s="49" t="n">
        <x:v>92</x:v>
      </x:c>
      <x:c r="N15" s="49" t="n">
        <x:v>22</x:v>
      </x:c>
      <x:c r="O15" s="49"/>
      <x:c r="P15" s="49"/>
      <x:c r="Q15" s="49" t="str">
        <x:v>Parsed from official 2025-26 PDF</x:v>
      </x:c>
      <x:c r="R15" s="49" t="str">
        <x:v>2024-25</x:v>
      </x:c>
      <x:c r="S15" s="64" t="n">
        <x:v>40271</x:v>
      </x:c>
      <x:c r="T15" s="64" t="n">
        <x:v>4229</x:v>
      </x:c>
      <x:c r="U15" s="64" t="n">
        <x:v>44500</x:v>
      </x:c>
      <x:c r="V15" s="49" t="str">
        <x:v>Normal FRA-approved annual tuition + development fee; not seat-type-specific</x:v>
      </x:c>
      <x:c r="W15" s="49"/>
      <x:c r="X15" s="49"/>
      <x:c r="Y15" s="68"/>
      <x:c r="Z15" s="49"/>
      <x:c r="AA15" s="49"/>
      <x:c r="AB15" s="49" t="str">
        <x:v>Not centrally verified</x:v>
      </x:c>
      <x:c r="AC15" s="49" t="str">
        <x:v>Not centrally verified</x:v>
      </x:c>
      <x:c r="AD15" s="49" t="str">
        <x:v>Not centrally verified</x:v>
      </x:c>
      <x:c r="AE15" s="49" t="str">
        <x:v>Not available in a standardized official source</x:v>
      </x:c>
      <x:c r="AF15" s="49" t="str">
        <x:v>Not included: no official standardized source; cutoff-derived proxy excluded</x:v>
      </x:c>
      <x:c r="AG15" s="49" t="str">
        <x:v>https://dse2025.mahacet.org.in/dse25/admin/allotment/cap2/1125_4.pdf</x:v>
      </x:c>
      <x:c r="AH15" s="49" t="str">
        <x:v>https://fe2025.mahacet.org/StaticPages/frmInstituteSummary.aspx?InstituteCode=01125</x:v>
      </x:c>
      <x:c r="AI15" s="49"/>
      <x:c r="AJ15" s="49" t="str"/>
      <x:c r="AK15" s="69" t="n">
        <x:f>IF(W15&lt;&gt;"",50,IF(X15="101-150",45,IF(X15="151-200",40,IF(X15="201-300",35,0))))+IF(H15="Autonomous",20,0)+IF(OR(G15="Government",G15="Government-Aided",G15="University Department",G15="University",G15="University Autonomous"),15,0)+MIN(K15,10)+IF(AA15&lt;&gt;"",3,0)+IF(U15&lt;&gt;"",2,0)</x:f>
        <x:v>7</x:v>
      </x:c>
      <x:c r="AL15" s="49" t="str">
        <x:f>IF(AK15&gt;=70,"Official/high-evidence reference",IF(AK15&gt;=40,"Planning reference","Broader option"))</x:f>
        <x:v>Broader option</x:v>
      </x:c>
    </x:row>
    <x:row r="16">
      <x:c r="A16" s="63" t="n">
        <x:v>1126</x:v>
      </x:c>
      <x:c r="B16" s="49" t="str">
        <x:v>Takshashila Institute of Engineering &amp; Technology, Darapur, Amravati</x:v>
      </x:c>
      <x:c r="C16" s="49" t="str">
        <x:v>Maharashtra</x:v>
      </x:c>
      <x:c r="D16" s="49" t="str">
        <x:v>Amravati</x:v>
      </x:c>
      <x:c r="E16" s="49" t="str">
        <x:v>Amravati</x:v>
      </x:c>
      <x:c r="F16" s="49" t="str">
        <x:v>Darapur, Taluka. Daryapur, Amravati</x:v>
      </x:c>
      <x:c r="G16" s="49" t="str">
        <x:v>Un-Aided</x:v>
      </x:c>
      <x:c r="H16" s="49" t="str">
        <x:v>Non-Autonomous</x:v>
      </x:c>
      <x:c r="I16" s="49" t="str">
        <x:v>Non-Minority</x:v>
      </x:c>
      <x:c r="J16" s="49" t="str">
        <x:v>Sant Gadge Baba Amravati University</x:v>
      </x:c>
      <x:c r="K16" s="49" t="n">
        <x:v>5</x:v>
      </x:c>
      <x:c r="L16" s="49" t="n">
        <x:v>98</x:v>
      </x:c>
      <x:c r="M16" s="49" t="n">
        <x:v>77</x:v>
      </x:c>
      <x:c r="N16" s="49" t="n">
        <x:v>21</x:v>
      </x:c>
      <x:c r="O16" s="49"/>
      <x:c r="P16" s="49"/>
      <x:c r="Q16" s="49" t="str">
        <x:v>Parsed from official 2025-26 PDF</x:v>
      </x:c>
      <x:c r="R16" s="49" t="str">
        <x:v>2024-25</x:v>
      </x:c>
      <x:c r="S16" s="64" t="n">
        <x:v>66222</x:v>
      </x:c>
      <x:c r="T16" s="64" t="n">
        <x:v>8278</x:v>
      </x:c>
      <x:c r="U16" s="64" t="n">
        <x:v>74500</x:v>
      </x:c>
      <x:c r="V16" s="49" t="str">
        <x:v>Normal FRA-approved annual tuition + development fee; not seat-type-specific</x:v>
      </x:c>
      <x:c r="W16" s="49"/>
      <x:c r="X16" s="49"/>
      <x:c r="Y16" s="68"/>
      <x:c r="Z16" s="49"/>
      <x:c r="AA16" s="49"/>
      <x:c r="AB16" s="49" t="str">
        <x:v>Not centrally verified</x:v>
      </x:c>
      <x:c r="AC16" s="49" t="str">
        <x:v>Not centrally verified</x:v>
      </x:c>
      <x:c r="AD16" s="49" t="str">
        <x:v>Not centrally verified</x:v>
      </x:c>
      <x:c r="AE16" s="49" t="str">
        <x:v>Not available in a standardized official source</x:v>
      </x:c>
      <x:c r="AF16" s="49" t="str">
        <x:v>Not included: no official standardized source; cutoff-derived proxy excluded</x:v>
      </x:c>
      <x:c r="AG16" s="49" t="str">
        <x:v>https://dse2025.mahacet.org.in/dse25/admin/allotment/cap2/1126_4.pdf</x:v>
      </x:c>
      <x:c r="AH16" s="49" t="str">
        <x:v>https://fe2025.mahacet.org/StaticPages/frmInstituteSummary.aspx?InstituteCode=01126</x:v>
      </x:c>
      <x:c r="AI16" s="49"/>
      <x:c r="AJ16" s="49" t="str"/>
      <x:c r="AK16" s="69" t="n">
        <x:f>IF(W16&lt;&gt;"",50,IF(X16="101-150",45,IF(X16="151-200",40,IF(X16="201-300",35,0))))+IF(H16="Autonomous",20,0)+IF(OR(G16="Government",G16="Government-Aided",G16="University Department",G16="University",G16="University Autonomous"),15,0)+MIN(K16,10)+IF(AA16&lt;&gt;"",3,0)+IF(U16&lt;&gt;"",2,0)</x:f>
        <x:v>7</x:v>
      </x:c>
      <x:c r="AL16" s="49" t="str">
        <x:f>IF(AK16&gt;=70,"Official/high-evidence reference",IF(AK16&gt;=40,"Planning reference","Broader option"))</x:f>
        <x:v>Broader option</x:v>
      </x:c>
    </x:row>
    <x:row r="17">
      <x:c r="A17" s="63" t="n">
        <x:v>1127</x:v>
      </x:c>
      <x:c r="B17" s="49" t="str">
        <x:v>Jagadambha Bahuuddeshiya Gramin Vikas Sanstha's Jagdambha College of Engineering and Technology, Yavatmal</x:v>
      </x:c>
      <x:c r="C17" s="49" t="str">
        <x:v>Maharashtra</x:v>
      </x:c>
      <x:c r="D17" s="49" t="str">
        <x:v>Amravati</x:v>
      </x:c>
      <x:c r="E17" s="49" t="str">
        <x:v>Yavatmal</x:v>
      </x:c>
      <x:c r="F17" s="49" t="str">
        <x:v>Sr. No.167/1,167/2 &amp;163/,Arni Road, Mauza-Kinhi,Tal &amp; Dist-Yavatmal</x:v>
      </x:c>
      <x:c r="G17" s="49" t="str">
        <x:v>Un-Aided</x:v>
      </x:c>
      <x:c r="H17" s="49" t="str">
        <x:v>Autonomous</x:v>
      </x:c>
      <x:c r="I17" s="49" t="str">
        <x:v>Non-Minority</x:v>
      </x:c>
      <x:c r="J17" s="49" t="str">
        <x:v>Sant Gadge Baba Amravati University</x:v>
      </x:c>
      <x:c r="K17" s="49" t="n">
        <x:v>5</x:v>
      </x:c>
      <x:c r="L17" s="49" t="n">
        <x:v>79</x:v>
      </x:c>
      <x:c r="M17" s="49" t="n">
        <x:v>55</x:v>
      </x:c>
      <x:c r="N17" s="49" t="n">
        <x:v>24</x:v>
      </x:c>
      <x:c r="O17" s="49"/>
      <x:c r="P17" s="49"/>
      <x:c r="Q17" s="49" t="str">
        <x:v>Parsed from official 2025-26 PDF</x:v>
      </x:c>
      <x:c r="R17" s="49" t="str">
        <x:v>2024-25</x:v>
      </x:c>
      <x:c r="S17" s="64" t="n">
        <x:v>91304</x:v>
      </x:c>
      <x:c r="T17" s="64" t="n">
        <x:v>13696</x:v>
      </x:c>
      <x:c r="U17" s="64" t="n">
        <x:v>105000</x:v>
      </x:c>
      <x:c r="V17" s="49" t="str">
        <x:v>Normal FRA-approved annual tuition + development fee; not seat-type-specific</x:v>
      </x:c>
      <x:c r="W17" s="49"/>
      <x:c r="X17" s="49"/>
      <x:c r="Y17" s="68"/>
      <x:c r="Z17" s="49"/>
      <x:c r="AA17" s="49"/>
      <x:c r="AB17" s="49" t="str">
        <x:v>Not centrally verified</x:v>
      </x:c>
      <x:c r="AC17" s="49" t="str">
        <x:v>Not centrally verified</x:v>
      </x:c>
      <x:c r="AD17" s="49" t="str">
        <x:v>Not centrally verified</x:v>
      </x:c>
      <x:c r="AE17" s="49" t="str">
        <x:v>Not available in a standardized official source</x:v>
      </x:c>
      <x:c r="AF17" s="49" t="str">
        <x:v>Not included: no official standardized source; cutoff-derived proxy excluded</x:v>
      </x:c>
      <x:c r="AG17" s="49" t="str">
        <x:v>https://dse2025.mahacet.org.in/dse25/admin/allotment/cap2/1127_4.pdf</x:v>
      </x:c>
      <x:c r="AH17" s="49" t="str">
        <x:v>https://fe2025.mahacet.org/StaticPages/frmInstituteSummary.aspx?InstituteCode=01127</x:v>
      </x:c>
      <x:c r="AI17" s="49"/>
      <x:c r="AJ17" s="49" t="str"/>
      <x:c r="AK17" s="69" t="n">
        <x:f>IF(W17&lt;&gt;"",50,IF(X17="101-150",45,IF(X17="151-200",40,IF(X17="201-300",35,0))))+IF(H17="Autonomous",20,0)+IF(OR(G17="Government",G17="Government-Aided",G17="University Department",G17="University",G17="University Autonomous"),15,0)+MIN(K17,10)+IF(AA17&lt;&gt;"",3,0)+IF(U17&lt;&gt;"",2,0)</x:f>
        <x:v>27</x:v>
      </x:c>
      <x:c r="AL17" s="49" t="str">
        <x:f>IF(AK17&gt;=70,"Official/high-evidence reference",IF(AK17&gt;=40,"Planning reference","Broader option"))</x:f>
        <x:v>Broader option</x:v>
      </x:c>
    </x:row>
    <x:row r="18">
      <x:c r="A18" s="63" t="n">
        <x:v>1128</x:v>
      </x:c>
      <x:c r="B18" s="49" t="str">
        <x:v>Prof Ram Meghe College of Engineering and Management, Badnera</x:v>
      </x:c>
      <x:c r="C18" s="49" t="str">
        <x:v>Maharashtra</x:v>
      </x:c>
      <x:c r="D18" s="49" t="str">
        <x:v>Amravati</x:v>
      </x:c>
      <x:c r="E18" s="49" t="str">
        <x:v>Amravati</x:v>
      </x:c>
      <x:c r="F18" s="49" t="str">
        <x:v>New Express Highway, Badnera Dist. Amravati</x:v>
      </x:c>
      <x:c r="G18" s="49" t="str">
        <x:v>Un-Aided</x:v>
      </x:c>
      <x:c r="H18" s="49" t="str">
        <x:v>Non-Autonomous</x:v>
      </x:c>
      <x:c r="I18" s="49" t="str">
        <x:v>Non-Minority</x:v>
      </x:c>
      <x:c r="J18" s="49" t="str">
        <x:v>Sant Gadge Baba Amravati University</x:v>
      </x:c>
      <x:c r="K18" s="49" t="n">
        <x:v>6</x:v>
      </x:c>
      <x:c r="L18" s="49" t="n">
        <x:v>78</x:v>
      </x:c>
      <x:c r="M18" s="49" t="n">
        <x:v>57</x:v>
      </x:c>
      <x:c r="N18" s="49" t="n">
        <x:v>21</x:v>
      </x:c>
      <x:c r="O18" s="49"/>
      <x:c r="P18" s="49"/>
      <x:c r="Q18" s="49" t="str">
        <x:v>Parsed from official 2025-26 PDF</x:v>
      </x:c>
      <x:c r="R18" s="49" t="str">
        <x:v>2024-25</x:v>
      </x:c>
      <x:c r="S18" s="64" t="n">
        <x:v>73913</x:v>
      </x:c>
      <x:c r="T18" s="64" t="n">
        <x:v>11087</x:v>
      </x:c>
      <x:c r="U18" s="64" t="n">
        <x:v>85000</x:v>
      </x:c>
      <x:c r="V18" s="49" t="str">
        <x:v>Normal FRA-approved annual tuition + development fee; not seat-type-specific</x:v>
      </x:c>
      <x:c r="W18" s="49"/>
      <x:c r="X18" s="49"/>
      <x:c r="Y18" s="68"/>
      <x:c r="Z18" s="49"/>
      <x:c r="AA18" s="49"/>
      <x:c r="AB18" s="49" t="str">
        <x:v>Not centrally verified</x:v>
      </x:c>
      <x:c r="AC18" s="49" t="str">
        <x:v>Not centrally verified</x:v>
      </x:c>
      <x:c r="AD18" s="49" t="str">
        <x:v>Not centrally verified</x:v>
      </x:c>
      <x:c r="AE18" s="49" t="str">
        <x:v>Not available in a standardized official source</x:v>
      </x:c>
      <x:c r="AF18" s="49" t="str">
        <x:v>Not included: no official standardized source; cutoff-derived proxy excluded</x:v>
      </x:c>
      <x:c r="AG18" s="49" t="str">
        <x:v>https://dse2025.mahacet.org.in/dse25/admin/allotment/cap2/1128_4.pdf</x:v>
      </x:c>
      <x:c r="AH18" s="49" t="str">
        <x:v>https://fe2025.mahacet.org/StaticPages/frmInstituteSummary.aspx?InstituteCode=01128</x:v>
      </x:c>
      <x:c r="AI18" s="49"/>
      <x:c r="AJ18" s="49" t="str"/>
      <x:c r="AK18" s="69" t="n">
        <x:f>IF(W18&lt;&gt;"",50,IF(X18="101-150",45,IF(X18="151-200",40,IF(X18="201-300",35,0))))+IF(H18="Autonomous",20,0)+IF(OR(G18="Government",G18="Government-Aided",G18="University Department",G18="University",G18="University Autonomous"),15,0)+MIN(K18,10)+IF(AA18&lt;&gt;"",3,0)+IF(U18&lt;&gt;"",2,0)</x:f>
        <x:v>8</x:v>
      </x:c>
      <x:c r="AL18" s="49" t="str">
        <x:f>IF(AK18&gt;=70,"Official/high-evidence reference",IF(AK18&gt;=40,"Planning reference","Broader option"))</x:f>
        <x:v>Broader option</x:v>
      </x:c>
    </x:row>
    <x:row r="19">
      <x:c r="A19" s="63" t="n">
        <x:v>1130</x:v>
      </x:c>
      <x:c r="B19" s="49" t="str">
        <x:v>Vision Buldhana Educational &amp; Welfare Society's Pankaj Laddhad Institute of Technology &amp; Management Studies, Yelgaon</x:v>
      </x:c>
      <x:c r="C19" s="49" t="str">
        <x:v>Maharashtra</x:v>
      </x:c>
      <x:c r="D19" s="49" t="str">
        <x:v>Amravati</x:v>
      </x:c>
      <x:c r="E19" s="49" t="str">
        <x:v>Buldhana</x:v>
      </x:c>
      <x:c r="F19" s="49" t="str">
        <x:v>Chikhali Road, Post Yelgaon, Tal &amp; Buldhana</x:v>
      </x:c>
      <x:c r="G19" s="49" t="str">
        <x:v>Un-Aided</x:v>
      </x:c>
      <x:c r="H19" s="49" t="str">
        <x:v>Non-Autonomous</x:v>
      </x:c>
      <x:c r="I19" s="49" t="str">
        <x:v>Non-Minority</x:v>
      </x:c>
      <x:c r="J19" s="49" t="str">
        <x:v>Sant Gadge Baba Amravati University</x:v>
      </x:c>
      <x:c r="K19" s="49" t="n">
        <x:v>5</x:v>
      </x:c>
      <x:c r="L19" s="49" t="n">
        <x:v>85</x:v>
      </x:c>
      <x:c r="M19" s="49" t="n">
        <x:v>71</x:v>
      </x:c>
      <x:c r="N19" s="49" t="n">
        <x:v>14</x:v>
      </x:c>
      <x:c r="O19" s="49"/>
      <x:c r="P19" s="49"/>
      <x:c r="Q19" s="49" t="str">
        <x:v>Parsed from official 2025-26 PDF</x:v>
      </x:c>
      <x:c r="R19" s="49" t="str">
        <x:v>2024-25</x:v>
      </x:c>
      <x:c r="S19" s="64" t="n">
        <x:v>48000</x:v>
      </x:c>
      <x:c r="T19" s="64" t="n">
        <x:v>6000</x:v>
      </x:c>
      <x:c r="U19" s="64" t="n">
        <x:v>54000</x:v>
      </x:c>
      <x:c r="V19" s="49" t="str">
        <x:v>Normal FRA-approved annual tuition + development fee; not seat-type-specific</x:v>
      </x:c>
      <x:c r="W19" s="49"/>
      <x:c r="X19" s="49"/>
      <x:c r="Y19" s="68"/>
      <x:c r="Z19" s="49"/>
      <x:c r="AA19" s="49"/>
      <x:c r="AB19" s="49" t="str">
        <x:v>Not centrally verified</x:v>
      </x:c>
      <x:c r="AC19" s="49" t="str">
        <x:v>Not centrally verified</x:v>
      </x:c>
      <x:c r="AD19" s="49" t="str">
        <x:v>Not centrally verified</x:v>
      </x:c>
      <x:c r="AE19" s="49" t="str">
        <x:v>Not available in a standardized official source</x:v>
      </x:c>
      <x:c r="AF19" s="49" t="str">
        <x:v>Not included: no official standardized source; cutoff-derived proxy excluded</x:v>
      </x:c>
      <x:c r="AG19" s="49" t="str">
        <x:v>https://dse2025.mahacet.org.in/dse25/admin/allotment/cap2/1130_4.pdf</x:v>
      </x:c>
      <x:c r="AH19" s="49" t="str">
        <x:v>https://fe2025.mahacet.org/StaticPages/frmInstituteSummary.aspx?InstituteCode=01130</x:v>
      </x:c>
      <x:c r="AI19" s="49"/>
      <x:c r="AJ19" s="49" t="str"/>
      <x:c r="AK19" s="69" t="n">
        <x:f>IF(W19&lt;&gt;"",50,IF(X19="101-150",45,IF(X19="151-200",40,IF(X19="201-300",35,0))))+IF(H19="Autonomous",20,0)+IF(OR(G19="Government",G19="Government-Aided",G19="University Department",G19="University",G19="University Autonomous"),15,0)+MIN(K19,10)+IF(AA19&lt;&gt;"",3,0)+IF(U19&lt;&gt;"",2,0)</x:f>
        <x:v>7</x:v>
      </x:c>
      <x:c r="AL19" s="49" t="str">
        <x:f>IF(AK19&gt;=70,"Official/high-evidence reference",IF(AK19&gt;=40,"Planning reference","Broader option"))</x:f>
        <x:v>Broader option</x:v>
      </x:c>
    </x:row>
    <x:row r="20">
      <x:c r="A20" s="63" t="n">
        <x:v>1180</x:v>
      </x:c>
      <x:c r="B20" s="49" t="str">
        <x:v>Sanmati Engineering College, Sawargaon Barde, Washim</x:v>
      </x:c>
      <x:c r="C20" s="49" t="str">
        <x:v>Maharashtra</x:v>
      </x:c>
      <x:c r="D20" s="49" t="str">
        <x:v>Amravati</x:v>
      </x:c>
      <x:c r="E20" s="49" t="str">
        <x:v>Washim</x:v>
      </x:c>
      <x:c r="F20" s="49" t="str">
        <x:v>Survey no. 40, Washim-Malegaon Road, At. Post Sawargaon Barde Dist. Washim</x:v>
      </x:c>
      <x:c r="G20" s="49" t="str">
        <x:v>Un-Aided</x:v>
      </x:c>
      <x:c r="H20" s="49" t="str">
        <x:v>Non-Autonomous</x:v>
      </x:c>
      <x:c r="I20" s="49" t="str">
        <x:v>Non-Minority</x:v>
      </x:c>
      <x:c r="J20" s="49" t="str">
        <x:v>Sant Gadge Baba Amravati University</x:v>
      </x:c>
      <x:c r="K20" s="49" t="n">
        <x:v>5</x:v>
      </x:c>
      <x:c r="L20" s="49" t="n">
        <x:v>276</x:v>
      </x:c>
      <x:c r="M20" s="49" t="n">
        <x:v>244</x:v>
      </x:c>
      <x:c r="N20" s="49" t="n">
        <x:v>32</x:v>
      </x:c>
      <x:c r="O20" s="49"/>
      <x:c r="P20" s="49"/>
      <x:c r="Q20" s="49" t="str">
        <x:v>Parsed from official 2025-26 PDF</x:v>
      </x:c>
      <x:c r="R20" s="49" t="str">
        <x:v>2024-25</x:v>
      </x:c>
      <x:c r="S20" s="64" t="n">
        <x:v>83036</x:v>
      </x:c>
      <x:c r="T20" s="64" t="n">
        <x:v>9964</x:v>
      </x:c>
      <x:c r="U20" s="64" t="n">
        <x:v>93000</x:v>
      </x:c>
      <x:c r="V20" s="49" t="str">
        <x:v>Normal FRA-approved annual tuition + development fee; not seat-type-specific</x:v>
      </x:c>
      <x:c r="W20" s="49"/>
      <x:c r="X20" s="49"/>
      <x:c r="Y20" s="68"/>
      <x:c r="Z20" s="49"/>
      <x:c r="AA20" s="49"/>
      <x:c r="AB20" s="49" t="str">
        <x:v>Not centrally verified</x:v>
      </x:c>
      <x:c r="AC20" s="49" t="str">
        <x:v>Not centrally verified</x:v>
      </x:c>
      <x:c r="AD20" s="49" t="str">
        <x:v>Not centrally verified</x:v>
      </x:c>
      <x:c r="AE20" s="49" t="str">
        <x:v>Not available in a standardized official source</x:v>
      </x:c>
      <x:c r="AF20" s="49" t="str">
        <x:v>Not included: no official standardized source; cutoff-derived proxy excluded</x:v>
      </x:c>
      <x:c r="AG20" s="49" t="str">
        <x:v>https://dse2025.mahacet.org.in/dse25/admin/allotment/cap2/1180_4.pdf</x:v>
      </x:c>
      <x:c r="AH20" s="49" t="str">
        <x:v>https://fe2025.mahacet.org/StaticPages/frmInstituteSummary.aspx?InstituteCode=01180</x:v>
      </x:c>
      <x:c r="AI20" s="49"/>
      <x:c r="AJ20" s="49" t="str"/>
      <x:c r="AK20" s="69" t="n">
        <x:f>IF(W20&lt;&gt;"",50,IF(X20="101-150",45,IF(X20="151-200",40,IF(X20="201-300",35,0))))+IF(H20="Autonomous",20,0)+IF(OR(G20="Government",G20="Government-Aided",G20="University Department",G20="University",G20="University Autonomous"),15,0)+MIN(K20,10)+IF(AA20&lt;&gt;"",3,0)+IF(U20&lt;&gt;"",2,0)</x:f>
        <x:v>7</x:v>
      </x:c>
      <x:c r="AL20" s="49" t="str">
        <x:f>IF(AK20&gt;=70,"Official/high-evidence reference",IF(AK20&gt;=40,"Planning reference","Broader option"))</x:f>
        <x:v>Broader option</x:v>
      </x:c>
    </x:row>
    <x:row r="21">
      <x:c r="A21" s="63" t="n">
        <x:v>1182</x:v>
      </x:c>
      <x:c r="B21" s="49" t="str">
        <x:v>Padmashri Dr. V.B. Kolte College of Engineering, Malkapur, Buldhana</x:v>
      </x:c>
      <x:c r="C21" s="49" t="str">
        <x:v>Maharashtra</x:v>
      </x:c>
      <x:c r="D21" s="49" t="str">
        <x:v>Amravati</x:v>
      </x:c>
      <x:c r="E21" s="49" t="str">
        <x:v>Buldhana</x:v>
      </x:c>
      <x:c r="F21" s="49" t="str">
        <x:v>Malkapur, Dist. Buldhana</x:v>
      </x:c>
      <x:c r="G21" s="49" t="str">
        <x:v>Un-Aided</x:v>
      </x:c>
      <x:c r="H21" s="49" t="str">
        <x:v>Non-Autonomous</x:v>
      </x:c>
      <x:c r="I21" s="49" t="str">
        <x:v>Non-Minority</x:v>
      </x:c>
      <x:c r="J21" s="49" t="str">
        <x:v>Sant Gadge Baba Amravati University</x:v>
      </x:c>
      <x:c r="K21" s="49" t="n">
        <x:v>4</x:v>
      </x:c>
      <x:c r="L21" s="49" t="n">
        <x:v>70</x:v>
      </x:c>
      <x:c r="M21" s="49" t="n">
        <x:v>50</x:v>
      </x:c>
      <x:c r="N21" s="49" t="n">
        <x:v>20</x:v>
      </x:c>
      <x:c r="O21" s="49"/>
      <x:c r="P21" s="49"/>
      <x:c r="Q21" s="49" t="str">
        <x:v>Parsed from official 2025-26 PDF</x:v>
      </x:c>
      <x:c r="R21" s="49" t="str">
        <x:v>2024-25</x:v>
      </x:c>
      <x:c r="S21" s="64" t="n">
        <x:v>57932</x:v>
      </x:c>
      <x:c r="T21" s="64" t="n">
        <x:v>7068</x:v>
      </x:c>
      <x:c r="U21" s="64" t="n">
        <x:v>65000</x:v>
      </x:c>
      <x:c r="V21" s="49" t="str">
        <x:v>Normal FRA-approved annual tuition + development fee; not seat-type-specific</x:v>
      </x:c>
      <x:c r="W21" s="49"/>
      <x:c r="X21" s="49"/>
      <x:c r="Y21" s="68"/>
      <x:c r="Z21" s="49"/>
      <x:c r="AA21" s="49"/>
      <x:c r="AB21" s="49" t="str">
        <x:v>Not centrally verified</x:v>
      </x:c>
      <x:c r="AC21" s="49" t="str">
        <x:v>Not centrally verified</x:v>
      </x:c>
      <x:c r="AD21" s="49" t="str">
        <x:v>Not centrally verified</x:v>
      </x:c>
      <x:c r="AE21" s="49" t="str">
        <x:v>Not available in a standardized official source</x:v>
      </x:c>
      <x:c r="AF21" s="49" t="str">
        <x:v>Not included: no official standardized source; cutoff-derived proxy excluded</x:v>
      </x:c>
      <x:c r="AG21" s="49" t="str">
        <x:v>https://dse2025.mahacet.org.in/dse25/admin/allotment/cap2/1182_4.pdf</x:v>
      </x:c>
      <x:c r="AH21" s="49" t="str">
        <x:v>https://fe2025.mahacet.org/StaticPages/frmInstituteSummary.aspx?InstituteCode=01182</x:v>
      </x:c>
      <x:c r="AI21" s="49"/>
      <x:c r="AJ21" s="49" t="str"/>
      <x:c r="AK21" s="69" t="n">
        <x:f>IF(W21&lt;&gt;"",50,IF(X21="101-150",45,IF(X21="151-200",40,IF(X21="201-300",35,0))))+IF(H21="Autonomous",20,0)+IF(OR(G21="Government",G21="Government-Aided",G21="University Department",G21="University",G21="University Autonomous"),15,0)+MIN(K21,10)+IF(AA21&lt;&gt;"",3,0)+IF(U21&lt;&gt;"",2,0)</x:f>
        <x:v>6</x:v>
      </x:c>
      <x:c r="AL21" s="49" t="str">
        <x:f>IF(AK21&gt;=70,"Official/high-evidence reference",IF(AK21&gt;=40,"Planning reference","Broader option"))</x:f>
        <x:v>Broader option</x:v>
      </x:c>
    </x:row>
    <x:row r="22">
      <x:c r="A22" s="63" t="n">
        <x:v>1265</x:v>
      </x:c>
      <x:c r="B22" s="49" t="str">
        <x:v>Mauli Group of Institutions, College of Engineering and Technology, Shegaon.</x:v>
      </x:c>
      <x:c r="C22" s="49" t="str">
        <x:v>Maharashtra</x:v>
      </x:c>
      <x:c r="D22" s="49" t="str">
        <x:v>Amravati</x:v>
      </x:c>
      <x:c r="E22" s="49" t="str">
        <x:v>Buldhana</x:v>
      </x:c>
      <x:c r="F22" s="49" t="str">
        <x:v>Khamgaon Road, Shegaon Dist. Buldhana</x:v>
      </x:c>
      <x:c r="G22" s="49" t="str">
        <x:v>Un-Aided</x:v>
      </x:c>
      <x:c r="H22" s="49" t="str">
        <x:v>Non-Autonomous</x:v>
      </x:c>
      <x:c r="I22" s="49" t="str">
        <x:v>Non-Minority</x:v>
      </x:c>
      <x:c r="J22" s="49" t="str">
        <x:v>Sant Gadge Baba Amravati University</x:v>
      </x:c>
      <x:c r="K22" s="49" t="n">
        <x:v>6</x:v>
      </x:c>
      <x:c r="L22" s="49" t="n">
        <x:v>82</x:v>
      </x:c>
      <x:c r="M22" s="49" t="n">
        <x:v>64</x:v>
      </x:c>
      <x:c r="N22" s="49" t="n">
        <x:v>18</x:v>
      </x:c>
      <x:c r="O22" s="49"/>
      <x:c r="P22" s="49"/>
      <x:c r="Q22" s="49" t="str">
        <x:v>Parsed from official 2025-26 PDF</x:v>
      </x:c>
      <x:c r="R22" s="49" t="str">
        <x:v>2024-25</x:v>
      </x:c>
      <x:c r="S22" s="64" t="n">
        <x:v>63044</x:v>
      </x:c>
      <x:c r="T22" s="64" t="n">
        <x:v>9456</x:v>
      </x:c>
      <x:c r="U22" s="64" t="n">
        <x:v>72500</x:v>
      </x:c>
      <x:c r="V22" s="49" t="str">
        <x:v>Normal FRA-approved annual tuition + development fee; not seat-type-specific</x:v>
      </x:c>
      <x:c r="W22" s="49"/>
      <x:c r="X22" s="49"/>
      <x:c r="Y22" s="68"/>
      <x:c r="Z22" s="49"/>
      <x:c r="AA22" s="49"/>
      <x:c r="AB22" s="49" t="str">
        <x:v>Not centrally verified</x:v>
      </x:c>
      <x:c r="AC22" s="49" t="str">
        <x:v>Not centrally verified</x:v>
      </x:c>
      <x:c r="AD22" s="49" t="str">
        <x:v>Not centrally verified</x:v>
      </x:c>
      <x:c r="AE22" s="49" t="str">
        <x:v>Not available in a standardized official source</x:v>
      </x:c>
      <x:c r="AF22" s="49" t="str">
        <x:v>Not included: no official standardized source; cutoff-derived proxy excluded</x:v>
      </x:c>
      <x:c r="AG22" s="49" t="str">
        <x:v>https://dse2025.mahacet.org.in/dse25/admin/allotment/cap2/1265_4.pdf</x:v>
      </x:c>
      <x:c r="AH22" s="49" t="str">
        <x:v>https://fe2025.mahacet.org/StaticPages/frmInstituteSummary.aspx?InstituteCode=01265</x:v>
      </x:c>
      <x:c r="AI22" s="49"/>
      <x:c r="AJ22" s="49" t="str"/>
      <x:c r="AK22" s="69" t="n">
        <x:f>IF(W22&lt;&gt;"",50,IF(X22="101-150",45,IF(X22="151-200",40,IF(X22="201-300",35,0))))+IF(H22="Autonomous",20,0)+IF(OR(G22="Government",G22="Government-Aided",G22="University Department",G22="University",G22="University Autonomous"),15,0)+MIN(K22,10)+IF(AA22&lt;&gt;"",3,0)+IF(U22&lt;&gt;"",2,0)</x:f>
        <x:v>8</x:v>
      </x:c>
      <x:c r="AL22" s="49" t="str">
        <x:f>IF(AK22&gt;=70,"Official/high-evidence reference",IF(AK22&gt;=40,"Planning reference","Broader option"))</x:f>
        <x:v>Broader option</x:v>
      </x:c>
    </x:row>
    <x:row r="23">
      <x:c r="A23" s="63" t="n">
        <x:v>1268</x:v>
      </x:c>
      <x:c r="B23" s="49" t="str">
        <x:v>Siddhivinayak Technical Campus, School of Engineering &amp; Research Technology, Shirasgon, Nile</x:v>
      </x:c>
      <x:c r="C23" s="49" t="str">
        <x:v>Maharashtra</x:v>
      </x:c>
      <x:c r="D23" s="49" t="str">
        <x:v>Amravati</x:v>
      </x:c>
      <x:c r="E23" s="49" t="str">
        <x:v>Buldhana</x:v>
      </x:c>
      <x:c r="F23" s="49" t="str">
        <x:v>Gat No.133,134 &amp; 140, Shegaon Khamgaon Road, Shirasgaon, Nile, Tal. Shegaon</x:v>
      </x:c>
      <x:c r="G23" s="49" t="str">
        <x:v>Un-Aided</x:v>
      </x:c>
      <x:c r="H23" s="49" t="str">
        <x:v>Non-Autonomous</x:v>
      </x:c>
      <x:c r="I23" s="49" t="str">
        <x:v>Non-Minority</x:v>
      </x:c>
      <x:c r="J23" s="49" t="str">
        <x:v>Sant Gadge Baba Amravati University</x:v>
      </x:c>
      <x:c r="K23" s="49" t="n">
        <x:v>6</x:v>
      </x:c>
      <x:c r="L23" s="49" t="n">
        <x:v>113</x:v>
      </x:c>
      <x:c r="M23" s="49" t="n">
        <x:v>96</x:v>
      </x:c>
      <x:c r="N23" s="49" t="n">
        <x:v>17</x:v>
      </x:c>
      <x:c r="O23" s="49"/>
      <x:c r="P23" s="49"/>
      <x:c r="Q23" s="49" t="str">
        <x:v>Parsed from official 2025-26 PDF</x:v>
      </x:c>
      <x:c r="R23" s="49"/>
      <x:c r="S23" s="64"/>
      <x:c r="T23" s="64"/>
      <x:c r="U23" s="64"/>
      <x:c r="V23" s="49" t="str">
        <x:v>No verified FRA match</x:v>
      </x:c>
      <x:c r="W23" s="49"/>
      <x:c r="X23" s="49"/>
      <x:c r="Y23" s="68"/>
      <x:c r="Z23" s="49"/>
      <x:c r="AA23" s="49"/>
      <x:c r="AB23" s="49" t="str">
        <x:v>Not centrally verified</x:v>
      </x:c>
      <x:c r="AC23" s="49" t="str">
        <x:v>Not centrally verified</x:v>
      </x:c>
      <x:c r="AD23" s="49" t="str">
        <x:v>Not centrally verified</x:v>
      </x:c>
      <x:c r="AE23" s="49" t="str">
        <x:v>Not available in a standardized official source</x:v>
      </x:c>
      <x:c r="AF23" s="49" t="str">
        <x:v>Not included: no official standardized source; cutoff-derived proxy excluded</x:v>
      </x:c>
      <x:c r="AG23" s="49" t="str">
        <x:v>https://dse2025.mahacet.org.in/dse25/admin/allotment/cap2/1268_4.pdf</x:v>
      </x:c>
      <x:c r="AH23" s="49" t="str">
        <x:v>https://fe2025.mahacet.org/StaticPages/frmInstituteSummary.aspx?InstituteCode=01268</x:v>
      </x:c>
      <x:c r="AI23" s="49"/>
      <x:c r="AJ23" s="49" t="str"/>
      <x:c r="AK23" s="69" t="n">
        <x:f>IF(W23&lt;&gt;"",50,IF(X23="101-150",45,IF(X23="151-200",40,IF(X23="201-300",35,0))))+IF(H23="Autonomous",20,0)+IF(OR(G23="Government",G23="Government-Aided",G23="University Department",G23="University",G23="University Autonomous"),15,0)+MIN(K23,10)+IF(AA23&lt;&gt;"",3,0)+IF(U23&lt;&gt;"",2,0)</x:f>
        <x:v>6</x:v>
      </x:c>
      <x:c r="AL23" s="49" t="str">
        <x:f>IF(AK23&gt;=70,"Official/high-evidence reference",IF(AK23&gt;=40,"Planning reference","Broader option"))</x:f>
        <x:v>Broader option</x:v>
      </x:c>
    </x:row>
    <x:row r="24">
      <x:c r="A24" s="63" t="n">
        <x:v>1276</x:v>
      </x:c>
      <x:c r="B24" s="49" t="str">
        <x:v>Manav School of Engineering &amp; Technology, Gut No. 1035 Nagpur Surat Highway, NH No. 6 Tal.Vyala, Balapur, Akola, 444302</x:v>
      </x:c>
      <x:c r="C24" s="49" t="str">
        <x:v>Maharashtra</x:v>
      </x:c>
      <x:c r="D24" s="49" t="str">
        <x:v>Amravati</x:v>
      </x:c>
      <x:c r="E24" s="49" t="str">
        <x:v>Akola</x:v>
      </x:c>
      <x:c r="F24" s="49" t="str">
        <x:v>Gut No.1035, Surat Nagpur Highway Vyala, Tal.Balapur, Akola</x:v>
      </x:c>
      <x:c r="G24" s="49" t="str">
        <x:v>Un-Aided</x:v>
      </x:c>
      <x:c r="H24" s="49" t="str">
        <x:v>Non-Autonomous</x:v>
      </x:c>
      <x:c r="I24" s="49" t="str">
        <x:v>Non-Minority</x:v>
      </x:c>
      <x:c r="J24" s="49" t="str">
        <x:v>Sant Gadge Baba Amravati University</x:v>
      </x:c>
      <x:c r="K24" s="49" t="n">
        <x:v>4</x:v>
      </x:c>
      <x:c r="L24" s="49" t="n">
        <x:v>99</x:v>
      </x:c>
      <x:c r="M24" s="49" t="n">
        <x:v>89</x:v>
      </x:c>
      <x:c r="N24" s="49" t="n">
        <x:v>10</x:v>
      </x:c>
      <x:c r="O24" s="49"/>
      <x:c r="P24" s="49"/>
      <x:c r="Q24" s="49" t="str">
        <x:v>Parsed from official 2025-26 PDF</x:v>
      </x:c>
      <x:c r="R24" s="49" t="str">
        <x:v>2024-25</x:v>
      </x:c>
      <x:c r="S24" s="64" t="n">
        <x:v>52174</x:v>
      </x:c>
      <x:c r="T24" s="64" t="n">
        <x:v>7826</x:v>
      </x:c>
      <x:c r="U24" s="64" t="n">
        <x:v>60000</x:v>
      </x:c>
      <x:c r="V24" s="49" t="str">
        <x:v>Normal FRA-approved annual tuition + development fee; not seat-type-specific</x:v>
      </x:c>
      <x:c r="W24" s="49"/>
      <x:c r="X24" s="49"/>
      <x:c r="Y24" s="68"/>
      <x:c r="Z24" s="49"/>
      <x:c r="AA24" s="49"/>
      <x:c r="AB24" s="49" t="str">
        <x:v>Not centrally verified</x:v>
      </x:c>
      <x:c r="AC24" s="49" t="str">
        <x:v>Not centrally verified</x:v>
      </x:c>
      <x:c r="AD24" s="49" t="str">
        <x:v>Not centrally verified</x:v>
      </x:c>
      <x:c r="AE24" s="49" t="str">
        <x:v>Not available in a standardized official source</x:v>
      </x:c>
      <x:c r="AF24" s="49" t="str">
        <x:v>Not included: no official standardized source; cutoff-derived proxy excluded</x:v>
      </x:c>
      <x:c r="AG24" s="49" t="str">
        <x:v>https://dse2025.mahacet.org.in/dse25/admin/allotment/cap2/1276_4.pdf</x:v>
      </x:c>
      <x:c r="AH24" s="49" t="str">
        <x:v>https://fe2025.mahacet.org/StaticPages/frmInstituteSummary.aspx?InstituteCode=01276</x:v>
      </x:c>
      <x:c r="AI24" s="49"/>
      <x:c r="AJ24" s="49" t="str"/>
      <x:c r="AK24" s="69" t="n">
        <x:f>IF(W24&lt;&gt;"",50,IF(X24="101-150",45,IF(X24="151-200",40,IF(X24="201-300",35,0))))+IF(H24="Autonomous",20,0)+IF(OR(G24="Government",G24="Government-Aided",G24="University Department",G24="University",G24="University Autonomous"),15,0)+MIN(K24,10)+IF(AA24&lt;&gt;"",3,0)+IF(U24&lt;&gt;"",2,0)</x:f>
        <x:v>6</x:v>
      </x:c>
      <x:c r="AL24" s="49" t="str">
        <x:f>IF(AK24&gt;=70,"Official/high-evidence reference",IF(AK24&gt;=40,"Planning reference","Broader option"))</x:f>
        <x:v>Broader option</x:v>
      </x:c>
    </x:row>
    <x:row r="25">
      <x:c r="A25" s="63" t="n">
        <x:v>2008</x:v>
      </x:c>
      <x:c r="B25" s="49" t="str">
        <x:v>Government College of Engineering, Chhatrapati Sambhajinagar</x:v>
      </x:c>
      <x:c r="C25" s="49" t="str">
        <x:v>Maharashtra</x:v>
      </x:c>
      <x:c r="D25" s="49" t="str">
        <x:v>Aurangabad</x:v>
      </x:c>
      <x:c r="E25" s="49" t="str">
        <x:v>Chhatrapati Sambhajinagar</x:v>
      </x:c>
      <x:c r="F25" s="49" t="str">
        <x:v>Station Road, Osmanpura, CHHATRAPATISAMBHAJINAGAR</x:v>
      </x:c>
      <x:c r="G25" s="49" t="str">
        <x:v>Government</x:v>
      </x:c>
      <x:c r="H25" s="49" t="str">
        <x:v>Autonomous</x:v>
      </x:c>
      <x:c r="I25" s="49" t="str">
        <x:v>Non-Minority</x:v>
      </x:c>
      <x:c r="J25" s="49" t="str">
        <x:v>Dr. Babasaheb Ambedkar Marathwada University</x:v>
      </x:c>
      <x:c r="K25" s="49" t="n">
        <x:v>6</x:v>
      </x:c>
      <x:c r="L25" s="49" t="n">
        <x:v>58</x:v>
      </x:c>
      <x:c r="M25" s="49" t="n">
        <x:v>49</x:v>
      </x:c>
      <x:c r="N25" s="49" t="n">
        <x:v>9</x:v>
      </x:c>
      <x:c r="O25" s="49"/>
      <x:c r="P25" s="49"/>
      <x:c r="Q25" s="49" t="str">
        <x:v>Parsed from official 2025-26 PDF</x:v>
      </x:c>
      <x:c r="R25" s="49"/>
      <x:c r="S25" s="64"/>
      <x:c r="T25" s="64"/>
      <x:c r="U25" s="64"/>
      <x:c r="V25" s="49" t="str">
        <x:v>No verified FRA match</x:v>
      </x:c>
      <x:c r="W25" s="49"/>
      <x:c r="X25" s="49"/>
      <x:c r="Y25" s="68"/>
      <x:c r="Z25" s="49"/>
      <x:c r="AA25" s="49" t="str">
        <x:v>https://geca.ac.in/</x:v>
      </x:c>
      <x:c r="AB25" s="49" t="str">
        <x:v>Verified official domain</x:v>
      </x:c>
      <x:c r="AC25" s="49" t="str">
        <x:v>Not centrally verified</x:v>
      </x:c>
      <x:c r="AD25" s="49" t="str">
        <x:v>Not centrally verified</x:v>
      </x:c>
      <x:c r="AE25" s="49" t="str">
        <x:v>Not available in a standardized official source</x:v>
      </x:c>
      <x:c r="AF25" s="49" t="str">
        <x:v>Not included: no official standardized source; cutoff-derived proxy excluded</x:v>
      </x:c>
      <x:c r="AG25" s="49" t="str">
        <x:v>https://dse2025.mahacet.org.in/dse25/admin/allotment/cap2/2008_4.pdf</x:v>
      </x:c>
      <x:c r="AH25" s="49" t="str">
        <x:v>https://fe2025.mahacet.org/StaticPages/frmInstituteSummary.aspx?InstituteCode=02008</x:v>
      </x:c>
      <x:c r="AI25" s="49"/>
      <x:c r="AJ25" s="49" t="str"/>
      <x:c r="AK25" s="69" t="n">
        <x:f>IF(W25&lt;&gt;"",50,IF(X25="101-150",45,IF(X25="151-200",40,IF(X25="201-300",35,0))))+IF(H25="Autonomous",20,0)+IF(OR(G25="Government",G25="Government-Aided",G25="University Department",G25="University",G25="University Autonomous"),15,0)+MIN(K25,10)+IF(AA25&lt;&gt;"",3,0)+IF(U25&lt;&gt;"",2,0)</x:f>
        <x:v>44</x:v>
      </x:c>
      <x:c r="AL25" s="49" t="str">
        <x:f>IF(AK25&gt;=70,"Official/high-evidence reference",IF(AK25&gt;=40,"Planning reference","Broader option"))</x:f>
        <x:v>Planning reference</x:v>
      </x:c>
    </x:row>
    <x:row r="26">
      <x:c r="A26" s="63" t="n">
        <x:v>2020</x:v>
      </x:c>
      <x:c r="B26" s="49" t="str">
        <x:v>Shri Guru Gobind Singhji Institute of Engineering and Technology, Nanded</x:v>
      </x:c>
      <x:c r="C26" s="49" t="str">
        <x:v>Maharashtra</x:v>
      </x:c>
      <x:c r="D26" s="49" t="str">
        <x:v>Aurangabad</x:v>
      </x:c>
      <x:c r="E26" s="49" t="str">
        <x:v>Nanded</x:v>
      </x:c>
      <x:c r="F26" s="49" t="str">
        <x:v>Vishnupuri, Nanded</x:v>
      </x:c>
      <x:c r="G26" s="49" t="str">
        <x:v>Government-Aided</x:v>
      </x:c>
      <x:c r="H26" s="49" t="str">
        <x:v>Autonomous</x:v>
      </x:c>
      <x:c r="I26" s="49" t="str">
        <x:v>Non-Minority</x:v>
      </x:c>
      <x:c r="J26" s="49" t="str">
        <x:v>Swami Ramanand Teerth Marathwada University, Nanded</x:v>
      </x:c>
      <x:c r="K26" s="49" t="n">
        <x:v>10</x:v>
      </x:c>
      <x:c r="L26" s="49" t="n">
        <x:v>97</x:v>
      </x:c>
      <x:c r="M26" s="49" t="n">
        <x:v>76</x:v>
      </x:c>
      <x:c r="N26" s="49" t="n">
        <x:v>21</x:v>
      </x:c>
      <x:c r="O26" s="49"/>
      <x:c r="P26" s="49"/>
      <x:c r="Q26" s="49" t="str">
        <x:v>Parsed from official 2025-26 PDF</x:v>
      </x:c>
      <x:c r="R26" s="49"/>
      <x:c r="S26" s="64"/>
      <x:c r="T26" s="64"/>
      <x:c r="U26" s="64"/>
      <x:c r="V26" s="49" t="str">
        <x:v>No verified FRA match</x:v>
      </x:c>
      <x:c r="W26" s="49"/>
      <x:c r="X26" s="49"/>
      <x:c r="Y26" s="68"/>
      <x:c r="Z26" s="49"/>
      <x:c r="AA26" s="49" t="str">
        <x:v>https://www.sggs.ac.in/</x:v>
      </x:c>
      <x:c r="AB26" s="49" t="str">
        <x:v>Verified official domain</x:v>
      </x:c>
      <x:c r="AC26" s="49" t="str">
        <x:v>Not centrally verified</x:v>
      </x:c>
      <x:c r="AD26" s="49" t="str">
        <x:v>Not centrally verified</x:v>
      </x:c>
      <x:c r="AE26" s="49" t="str">
        <x:v>Not available in a standardized official source</x:v>
      </x:c>
      <x:c r="AF26" s="49" t="str">
        <x:v>Not included: no official standardized source; cutoff-derived proxy excluded</x:v>
      </x:c>
      <x:c r="AG26" s="49" t="str">
        <x:v>https://dse2025.mahacet.org.in/dse25/admin/allotment/cap2/2020_4.pdf</x:v>
      </x:c>
      <x:c r="AH26" s="49" t="str">
        <x:v>https://fe2025.mahacet.org/StaticPages/frmInstituteSummary.aspx?InstituteCode=02020</x:v>
      </x:c>
      <x:c r="AI26" s="49"/>
      <x:c r="AJ26" s="49" t="str"/>
      <x:c r="AK26" s="69" t="n">
        <x:f>IF(W26&lt;&gt;"",50,IF(X26="101-150",45,IF(X26="151-200",40,IF(X26="201-300",35,0))))+IF(H26="Autonomous",20,0)+IF(OR(G26="Government",G26="Government-Aided",G26="University Department",G26="University",G26="University Autonomous"),15,0)+MIN(K26,10)+IF(AA26&lt;&gt;"",3,0)+IF(U26&lt;&gt;"",2,0)</x:f>
        <x:v>48</x:v>
      </x:c>
      <x:c r="AL26" s="49" t="str">
        <x:f>IF(AK26&gt;=70,"Official/high-evidence reference",IF(AK26&gt;=40,"Planning reference","Broader option"))</x:f>
        <x:v>Planning reference</x:v>
      </x:c>
    </x:row>
    <x:row r="27">
      <x:c r="A27" s="63" t="n">
        <x:v>2021</x:v>
      </x:c>
      <x:c r="B27" s="49" t="str">
        <x:v>University Department of Chemical Technology, Aurangabad</x:v>
      </x:c>
      <x:c r="C27" s="49" t="str">
        <x:v>Maharashtra</x:v>
      </x:c>
      <x:c r="D27" s="49" t="str">
        <x:v>Aurangabad</x:v>
      </x:c>
      <x:c r="E27" s="49" t="str">
        <x:v>Chhatrapati Sambhajinagar</x:v>
      </x:c>
      <x:c r="F27" s="49" t="str">
        <x:v>Dr. Babasaheb Ambedkar Marathwada University Campus, Aurangabad</x:v>
      </x:c>
      <x:c r="G27" s="49" t="str">
        <x:v>University Department</x:v>
      </x:c>
      <x:c r="H27" s="49" t="str">
        <x:v>Non-Autonomous</x:v>
      </x:c>
      <x:c r="I27" s="49" t="str">
        <x:v>Non-Minority</x:v>
      </x:c>
      <x:c r="J27" s="49" t="str">
        <x:v>Dr. Babasaheb Ambedkar Marathwada University</x:v>
      </x:c>
      <x:c r="K27" s="49" t="n">
        <x:v>2</x:v>
      </x:c>
      <x:c r="L27" s="49" t="n">
        <x:v>7</x:v>
      </x:c>
      <x:c r="M27" s="49" t="n">
        <x:v>6</x:v>
      </x:c>
      <x:c r="N27" s="49" t="n">
        <x:v>1</x:v>
      </x:c>
      <x:c r="O27" s="49"/>
      <x:c r="P27" s="49"/>
      <x:c r="Q27" s="49" t="str">
        <x:v>Parsed from official 2025-26 PDF</x:v>
      </x:c>
      <x:c r="R27" s="49"/>
      <x:c r="S27" s="64"/>
      <x:c r="T27" s="64"/>
      <x:c r="U27" s="64"/>
      <x:c r="V27" s="49" t="str">
        <x:v>No verified FRA match</x:v>
      </x:c>
      <x:c r="W27" s="49"/>
      <x:c r="X27" s="49"/>
      <x:c r="Y27" s="68"/>
      <x:c r="Z27" s="49"/>
      <x:c r="AA27" s="49"/>
      <x:c r="AB27" s="49" t="str">
        <x:v>Not centrally verified</x:v>
      </x:c>
      <x:c r="AC27" s="49" t="str">
        <x:v>Not centrally verified</x:v>
      </x:c>
      <x:c r="AD27" s="49" t="str">
        <x:v>Not centrally verified</x:v>
      </x:c>
      <x:c r="AE27" s="49" t="str">
        <x:v>Not available in a standardized official source</x:v>
      </x:c>
      <x:c r="AF27" s="49" t="str">
        <x:v>Not included: no official standardized source; cutoff-derived proxy excluded</x:v>
      </x:c>
      <x:c r="AG27" s="49" t="str">
        <x:v>https://dse2025.mahacet.org.in/dse25/admin/allotment/cap2/2021_4.pdf</x:v>
      </x:c>
      <x:c r="AH27" s="49" t="str">
        <x:v>https://fe2025.mahacet.org/StaticPages/frmInstituteSummary.aspx?InstituteCode=02021</x:v>
      </x:c>
      <x:c r="AI27" s="49"/>
      <x:c r="AJ27" s="49" t="str"/>
      <x:c r="AK27" s="69" t="n">
        <x:f>IF(W27&lt;&gt;"",50,IF(X27="101-150",45,IF(X27="151-200",40,IF(X27="201-300",35,0))))+IF(H27="Autonomous",20,0)+IF(OR(G27="Government",G27="Government-Aided",G27="University Department",G27="University",G27="University Autonomous"),15,0)+MIN(K27,10)+IF(AA27&lt;&gt;"",3,0)+IF(U27&lt;&gt;"",2,0)</x:f>
        <x:v>17</x:v>
      </x:c>
      <x:c r="AL27" s="49" t="str">
        <x:f>IF(AK27&gt;=70,"Official/high-evidence reference",IF(AK27&gt;=40,"Planning reference","Broader option"))</x:f>
        <x:v>Broader option</x:v>
      </x:c>
    </x:row>
    <x:row r="28">
      <x:c r="A28" s="63" t="n">
        <x:v>2111</x:v>
      </x:c>
      <x:c r="B28" s="49" t="str">
        <x:v>Everest Education Society, Group of Institutions (Integrated Campus), Ohar</x:v>
      </x:c>
      <x:c r="C28" s="49" t="str">
        <x:v>Maharashtra</x:v>
      </x:c>
      <x:c r="D28" s="49" t="str">
        <x:v>Aurangabad</x:v>
      </x:c>
      <x:c r="E28" s="49" t="str">
        <x:v>Chhatrapati Sambhajinagar</x:v>
      </x:c>
      <x:c r="F28" s="49" t="str">
        <x:v>Gut No.187&amp;189, Ohar, Jatwada Road, Aurangabad</x:v>
      </x:c>
      <x:c r="G28" s="49" t="str">
        <x:v>Un-Aided</x:v>
      </x:c>
      <x:c r="H28" s="49" t="str">
        <x:v>Non-Autonomous</x:v>
      </x:c>
      <x:c r="I28" s="49" t="str">
        <x:v>Religious Minority - Muslim</x:v>
      </x:c>
      <x:c r="J28" s="49" t="str">
        <x:v>Dr. Babasaheb Ambedkar Technological University,Lonere</x:v>
      </x:c>
      <x:c r="K28" s="49" t="n">
        <x:v>6</x:v>
      </x:c>
      <x:c r="L28" s="49" t="n">
        <x:v>264</x:v>
      </x:c>
      <x:c r="M28" s="49" t="n">
        <x:v>126</x:v>
      </x:c>
      <x:c r="N28" s="49"/>
      <x:c r="O28" s="49" t="n">
        <x:v>138</x:v>
      </x:c>
      <x:c r="P28" s="49"/>
      <x:c r="Q28" s="49" t="str">
        <x:v>Parsed from official 2025-26 PDF</x:v>
      </x:c>
      <x:c r="R28" s="49" t="str">
        <x:v>2024-25</x:v>
      </x:c>
      <x:c r="S28" s="64" t="n">
        <x:v>40625</x:v>
      </x:c>
      <x:c r="T28" s="64" t="n">
        <x:v>4875</x:v>
      </x:c>
      <x:c r="U28" s="64" t="n">
        <x:v>45500</x:v>
      </x:c>
      <x:c r="V28" s="49" t="str">
        <x:v>Normal FRA-approved annual tuition + development fee; not seat-type-specific</x:v>
      </x:c>
      <x:c r="W28" s="49"/>
      <x:c r="X28" s="49"/>
      <x:c r="Y28" s="68"/>
      <x:c r="Z28" s="49"/>
      <x:c r="AA28" s="49"/>
      <x:c r="AB28" s="49" t="str">
        <x:v>Not centrally verified</x:v>
      </x:c>
      <x:c r="AC28" s="49" t="str">
        <x:v>Not centrally verified</x:v>
      </x:c>
      <x:c r="AD28" s="49" t="str">
        <x:v>Not centrally verified</x:v>
      </x:c>
      <x:c r="AE28" s="49" t="str">
        <x:v>Not available in a standardized official source</x:v>
      </x:c>
      <x:c r="AF28" s="49" t="str">
        <x:v>Not included: no official standardized source; cutoff-derived proxy excluded</x:v>
      </x:c>
      <x:c r="AG28" s="49" t="str">
        <x:v>https://dse2025.mahacet.org.in/dse25/admin/allotment/cap2/2111_4.pdf</x:v>
      </x:c>
      <x:c r="AH28" s="49" t="str">
        <x:v>https://fe2025.mahacet.org/StaticPages/frmInstituteSummary.aspx?InstituteCode=02111</x:v>
      </x:c>
      <x:c r="AI28" s="49"/>
      <x:c r="AJ28" s="49" t="str"/>
      <x:c r="AK28" s="69" t="n">
        <x:f>IF(W28&lt;&gt;"",50,IF(X28="101-150",45,IF(X28="151-200",40,IF(X28="201-300",35,0))))+IF(H28="Autonomous",20,0)+IF(OR(G28="Government",G28="Government-Aided",G28="University Department",G28="University",G28="University Autonomous"),15,0)+MIN(K28,10)+IF(AA28&lt;&gt;"",3,0)+IF(U28&lt;&gt;"",2,0)</x:f>
        <x:v>8</x:v>
      </x:c>
      <x:c r="AL28" s="49" t="str">
        <x:f>IF(AK28&gt;=70,"Official/high-evidence reference",IF(AK28&gt;=40,"Planning reference","Broader option"))</x:f>
        <x:v>Broader option</x:v>
      </x:c>
    </x:row>
    <x:row r="29">
      <x:c r="A29" s="63" t="n">
        <x:v>2112</x:v>
      </x:c>
      <x:c r="B29" s="49" t="str">
        <x:v>Shree Yash Pratishthan, Shreeyash College of Engineering and Technology, Aurangabad</x:v>
      </x:c>
      <x:c r="C29" s="49" t="str">
        <x:v>Maharashtra</x:v>
      </x:c>
      <x:c r="D29" s="49" t="str">
        <x:v>Aurangabad</x:v>
      </x:c>
      <x:c r="E29" s="49" t="str">
        <x:v>Chhatrapati Sambhajinagar</x:v>
      </x:c>
      <x:c r="F29" s="49" t="str">
        <x:v>Gut No. 258 (P), Satara Tanda, Tal &amp; Dist. Aurangabad</x:v>
      </x:c>
      <x:c r="G29" s="49" t="str">
        <x:v>Un-Aided</x:v>
      </x:c>
      <x:c r="H29" s="49" t="str">
        <x:v>Non-Autonomous</x:v>
      </x:c>
      <x:c r="I29" s="49" t="str">
        <x:v>Non-Minority</x:v>
      </x:c>
      <x:c r="J29" s="49" t="str">
        <x:v>Dr. Babasaheb Ambedkar Technological University,Lonere</x:v>
      </x:c>
      <x:c r="K29" s="49" t="n">
        <x:v>9</x:v>
      </x:c>
      <x:c r="L29" s="49" t="n">
        <x:v>210</x:v>
      </x:c>
      <x:c r="M29" s="49" t="n">
        <x:v>175</x:v>
      </x:c>
      <x:c r="N29" s="49" t="n">
        <x:v>35</x:v>
      </x:c>
      <x:c r="O29" s="49"/>
      <x:c r="P29" s="49"/>
      <x:c r="Q29" s="49" t="str">
        <x:v>Parsed from official 2025-26 PDF</x:v>
      </x:c>
      <x:c r="R29" s="49" t="str">
        <x:v>2024-25</x:v>
      </x:c>
      <x:c r="S29" s="64" t="n">
        <x:v>71620</x:v>
      </x:c>
      <x:c r="T29" s="64" t="n">
        <x:v>8380</x:v>
      </x:c>
      <x:c r="U29" s="64" t="n">
        <x:v>80000</x:v>
      </x:c>
      <x:c r="V29" s="49" t="str">
        <x:v>Normal FRA-approved annual tuition + development fee; not seat-type-specific</x:v>
      </x:c>
      <x:c r="W29" s="49"/>
      <x:c r="X29" s="49"/>
      <x:c r="Y29" s="68"/>
      <x:c r="Z29" s="49"/>
      <x:c r="AA29" s="49"/>
      <x:c r="AB29" s="49" t="str">
        <x:v>Not centrally verified</x:v>
      </x:c>
      <x:c r="AC29" s="49" t="str">
        <x:v>Not centrally verified</x:v>
      </x:c>
      <x:c r="AD29" s="49" t="str">
        <x:v>Not centrally verified</x:v>
      </x:c>
      <x:c r="AE29" s="49" t="str">
        <x:v>Not available in a standardized official source</x:v>
      </x:c>
      <x:c r="AF29" s="49" t="str">
        <x:v>Not included: no official standardized source; cutoff-derived proxy excluded</x:v>
      </x:c>
      <x:c r="AG29" s="49" t="str">
        <x:v>https://dse2025.mahacet.org.in/dse25/admin/allotment/cap2/2112_4.pdf</x:v>
      </x:c>
      <x:c r="AH29" s="49" t="str">
        <x:v>https://fe2025.mahacet.org/StaticPages/frmInstituteSummary.aspx?InstituteCode=02112</x:v>
      </x:c>
      <x:c r="AI29" s="49"/>
      <x:c r="AJ29" s="49" t="str"/>
      <x:c r="AK29" s="69" t="n">
        <x:f>IF(W29&lt;&gt;"",50,IF(X29="101-150",45,IF(X29="151-200",40,IF(X29="201-300",35,0))))+IF(H29="Autonomous",20,0)+IF(OR(G29="Government",G29="Government-Aided",G29="University Department",G29="University",G29="University Autonomous"),15,0)+MIN(K29,10)+IF(AA29&lt;&gt;"",3,0)+IF(U29&lt;&gt;"",2,0)</x:f>
        <x:v>11</x:v>
      </x:c>
      <x:c r="AL29" s="49" t="str">
        <x:f>IF(AK29&gt;=70,"Official/high-evidence reference",IF(AK29&gt;=40,"Planning reference","Broader option"))</x:f>
        <x:v>Broader option</x:v>
      </x:c>
    </x:row>
    <x:row r="30">
      <x:c r="A30" s="63" t="n">
        <x:v>2113</x:v>
      </x:c>
      <x:c r="B30" s="49" t="str">
        <x:v>G. S. Mandal's Maharashtra Institute of Technology, Aurangabad</x:v>
      </x:c>
      <x:c r="C30" s="49" t="str">
        <x:v>Maharashtra</x:v>
      </x:c>
      <x:c r="D30" s="49" t="str">
        <x:v>Aurangabad</x:v>
      </x:c>
      <x:c r="E30" s="49" t="str">
        <x:v>Chhatrapati Sambhajinagar</x:v>
      </x:c>
      <x:c r="F30" s="49" t="str">
        <x:v>N.H. No. 211,Beed bypass Road, Satara, Aurangabad</x:v>
      </x:c>
      <x:c r="G30" s="49" t="str">
        <x:v>Un-Aided</x:v>
      </x:c>
      <x:c r="H30" s="49" t="str">
        <x:v>Autonomous</x:v>
      </x:c>
      <x:c r="I30" s="49" t="str">
        <x:v>Non-Minority</x:v>
      </x:c>
      <x:c r="J30" s="49" t="str">
        <x:v>Dr. Babasaheb Ambedkar Marathwada University</x:v>
      </x:c>
      <x:c r="K30" s="49" t="n">
        <x:v>11</x:v>
      </x:c>
      <x:c r="L30" s="49" t="n">
        <x:v>266</x:v>
      </x:c>
      <x:c r="M30" s="49" t="n">
        <x:v>215</x:v>
      </x:c>
      <x:c r="N30" s="49" t="n">
        <x:v>51</x:v>
      </x:c>
      <x:c r="O30" s="49"/>
      <x:c r="P30" s="49"/>
      <x:c r="Q30" s="49" t="str">
        <x:v>Parsed from official 2025-26 PDF</x:v>
      </x:c>
      <x:c r="R30" s="49" t="str">
        <x:v>2024-25</x:v>
      </x:c>
      <x:c r="S30" s="64" t="n">
        <x:v>103043</x:v>
      </x:c>
      <x:c r="T30" s="64" t="n">
        <x:v>15457</x:v>
      </x:c>
      <x:c r="U30" s="64" t="n">
        <x:v>118500</x:v>
      </x:c>
      <x:c r="V30" s="49" t="str">
        <x:v>Normal FRA-approved annual tuition + development fee; not seat-type-specific</x:v>
      </x:c>
      <x:c r="W30" s="49"/>
      <x:c r="X30" s="49"/>
      <x:c r="Y30" s="68"/>
      <x:c r="Z30" s="49"/>
      <x:c r="AA30" s="49"/>
      <x:c r="AB30" s="49" t="str">
        <x:v>Not centrally verified</x:v>
      </x:c>
      <x:c r="AC30" s="49" t="str">
        <x:v>Not centrally verified</x:v>
      </x:c>
      <x:c r="AD30" s="49" t="str">
        <x:v>Not centrally verified</x:v>
      </x:c>
      <x:c r="AE30" s="49" t="str">
        <x:v>Not available in a standardized official source</x:v>
      </x:c>
      <x:c r="AF30" s="49" t="str">
        <x:v>Not included: no official standardized source; cutoff-derived proxy excluded</x:v>
      </x:c>
      <x:c r="AG30" s="49" t="str">
        <x:v>https://dse2025.mahacet.org.in/dse25/admin/allotment/cap2/2113_4.pdf</x:v>
      </x:c>
      <x:c r="AH30" s="49" t="str">
        <x:v>https://fe2025.mahacet.org/StaticPages/frmInstituteSummary.aspx?InstituteCode=02113</x:v>
      </x:c>
      <x:c r="AI30" s="49"/>
      <x:c r="AJ30" s="49" t="str"/>
      <x:c r="AK30" s="69" t="n">
        <x:f>IF(W30&lt;&gt;"",50,IF(X30="101-150",45,IF(X30="151-200",40,IF(X30="201-300",35,0))))+IF(H30="Autonomous",20,0)+IF(OR(G30="Government",G30="Government-Aided",G30="University Department",G30="University",G30="University Autonomous"),15,0)+MIN(K30,10)+IF(AA30&lt;&gt;"",3,0)+IF(U30&lt;&gt;"",2,0)</x:f>
        <x:v>32</x:v>
      </x:c>
      <x:c r="AL30" s="49" t="str">
        <x:f>IF(AK30&gt;=70,"Official/high-evidence reference",IF(AK30&gt;=40,"Planning reference","Broader option"))</x:f>
        <x:v>Broader option</x:v>
      </x:c>
    </x:row>
    <x:row r="31">
      <x:c r="A31" s="63" t="n">
        <x:v>2114</x:v>
      </x:c>
      <x:c r="B31" s="49" t="str">
        <x:v>Deogiri Institute of Engineering and Management Studies, Aurangabad</x:v>
      </x:c>
      <x:c r="C31" s="49" t="str">
        <x:v>Maharashtra</x:v>
      </x:c>
      <x:c r="D31" s="49" t="str">
        <x:v>Aurangabad</x:v>
      </x:c>
      <x:c r="E31" s="49" t="str">
        <x:v>Chhatrapati Sambhajinagar</x:v>
      </x:c>
      <x:c r="F31" s="49" t="str">
        <x:v>Deogiri College Campus, Railway Station Road, Aurangabad</x:v>
      </x:c>
      <x:c r="G31" s="49" t="str">
        <x:v>Un-Aided</x:v>
      </x:c>
      <x:c r="H31" s="49" t="str">
        <x:v>Autonomous</x:v>
      </x:c>
      <x:c r="I31" s="49" t="str">
        <x:v>Non-Minority</x:v>
      </x:c>
      <x:c r="J31" s="49" t="str">
        <x:v>Dr. Babasaheb Ambedkar Technological University,Lonere</x:v>
      </x:c>
      <x:c r="K31" s="49" t="n">
        <x:v>5</x:v>
      </x:c>
      <x:c r="L31" s="49" t="n">
        <x:v>119</x:v>
      </x:c>
      <x:c r="M31" s="49" t="n">
        <x:v>96</x:v>
      </x:c>
      <x:c r="N31" s="49" t="n">
        <x:v>23</x:v>
      </x:c>
      <x:c r="O31" s="49"/>
      <x:c r="P31" s="49"/>
      <x:c r="Q31" s="49" t="str">
        <x:v>Parsed from official 2025-26 PDF</x:v>
      </x:c>
      <x:c r="R31" s="49" t="str">
        <x:v>2024-25</x:v>
      </x:c>
      <x:c r="S31" s="64" t="n">
        <x:v>81224</x:v>
      </x:c>
      <x:c r="T31" s="64" t="n">
        <x:v>11776</x:v>
      </x:c>
      <x:c r="U31" s="64" t="n">
        <x:v>93000</x:v>
      </x:c>
      <x:c r="V31" s="49" t="str">
        <x:v>Normal FRA-approved annual tuition + development fee; not seat-type-specific</x:v>
      </x:c>
      <x:c r="W31" s="49"/>
      <x:c r="X31" s="49"/>
      <x:c r="Y31" s="68"/>
      <x:c r="Z31" s="49"/>
      <x:c r="AA31" s="49"/>
      <x:c r="AB31" s="49" t="str">
        <x:v>Not centrally verified</x:v>
      </x:c>
      <x:c r="AC31" s="49" t="str">
        <x:v>Not centrally verified</x:v>
      </x:c>
      <x:c r="AD31" s="49" t="str">
        <x:v>Not centrally verified</x:v>
      </x:c>
      <x:c r="AE31" s="49" t="str">
        <x:v>Not available in a standardized official source</x:v>
      </x:c>
      <x:c r="AF31" s="49" t="str">
        <x:v>Not included: no official standardized source; cutoff-derived proxy excluded</x:v>
      </x:c>
      <x:c r="AG31" s="49" t="str">
        <x:v>https://dse2025.mahacet.org.in/dse25/admin/allotment/cap2/2114_4.pdf</x:v>
      </x:c>
      <x:c r="AH31" s="49" t="str">
        <x:v>https://fe2025.mahacet.org/StaticPages/frmInstituteSummary.aspx?InstituteCode=02114</x:v>
      </x:c>
      <x:c r="AI31" s="49"/>
      <x:c r="AJ31" s="49" t="str"/>
      <x:c r="AK31" s="69" t="n">
        <x:f>IF(W31&lt;&gt;"",50,IF(X31="101-150",45,IF(X31="151-200",40,IF(X31="201-300",35,0))))+IF(H31="Autonomous",20,0)+IF(OR(G31="Government",G31="Government-Aided",G31="University Department",G31="University",G31="University Autonomous"),15,0)+MIN(K31,10)+IF(AA31&lt;&gt;"",3,0)+IF(U31&lt;&gt;"",2,0)</x:f>
        <x:v>27</x:v>
      </x:c>
      <x:c r="AL31" s="49" t="str">
        <x:f>IF(AK31&gt;=70,"Official/high-evidence reference",IF(AK31&gt;=40,"Planning reference","Broader option"))</x:f>
        <x:v>Broader option</x:v>
      </x:c>
    </x:row>
    <x:row r="32">
      <x:c r="A32" s="63" t="n">
        <x:v>2116</x:v>
      </x:c>
      <x:c r="B32" s="49" t="str">
        <x:v>Matoshri Pratishan's Group of Institutions (Integrated Campus), Kupsarwadi , Nanded</x:v>
      </x:c>
      <x:c r="C32" s="49" t="str">
        <x:v>Maharashtra</x:v>
      </x:c>
      <x:c r="D32" s="49" t="str">
        <x:v>Aurangabad</x:v>
      </x:c>
      <x:c r="E32" s="49" t="str">
        <x:v>Nanded</x:v>
      </x:c>
      <x:c r="F32" s="49" t="str">
        <x:v>Jijau Nagar, Off Nanded Latur Highway, Kupsarwadi, Post Vishnupuri. Dist. Nanded</x:v>
      </x:c>
      <x:c r="G32" s="49" t="str">
        <x:v>Un-Aided</x:v>
      </x:c>
      <x:c r="H32" s="49" t="str">
        <x:v>Non-Autonomous</x:v>
      </x:c>
      <x:c r="I32" s="49" t="str">
        <x:v>Non-Minority</x:v>
      </x:c>
      <x:c r="J32" s="49" t="str">
        <x:v>Dr. Babasaheb Ambedkar Technological University,Lonere</x:v>
      </x:c>
      <x:c r="K32" s="49" t="n">
        <x:v>7</x:v>
      </x:c>
      <x:c r="L32" s="49" t="n">
        <x:v>228</x:v>
      </x:c>
      <x:c r="M32" s="49" t="n">
        <x:v>206</x:v>
      </x:c>
      <x:c r="N32" s="49" t="n">
        <x:v>22</x:v>
      </x:c>
      <x:c r="O32" s="49"/>
      <x:c r="P32" s="49"/>
      <x:c r="Q32" s="49" t="str">
        <x:v>Parsed from official 2025-26 PDF</x:v>
      </x:c>
      <x:c r="R32" s="49" t="str">
        <x:v>2024-25</x:v>
      </x:c>
      <x:c r="S32" s="64" t="n">
        <x:v>49774</x:v>
      </x:c>
      <x:c r="T32" s="64" t="n">
        <x:v>5226</x:v>
      </x:c>
      <x:c r="U32" s="64" t="n">
        <x:v>55000</x:v>
      </x:c>
      <x:c r="V32" s="49" t="str">
        <x:v>Normal FRA-approved annual tuition + development fee; not seat-type-specific</x:v>
      </x:c>
      <x:c r="W32" s="49"/>
      <x:c r="X32" s="49"/>
      <x:c r="Y32" s="68"/>
      <x:c r="Z32" s="49"/>
      <x:c r="AA32" s="49"/>
      <x:c r="AB32" s="49" t="str">
        <x:v>Not centrally verified</x:v>
      </x:c>
      <x:c r="AC32" s="49" t="str">
        <x:v>Not centrally verified</x:v>
      </x:c>
      <x:c r="AD32" s="49" t="str">
        <x:v>Not centrally verified</x:v>
      </x:c>
      <x:c r="AE32" s="49" t="str">
        <x:v>Not available in a standardized official source</x:v>
      </x:c>
      <x:c r="AF32" s="49" t="str">
        <x:v>Not included: no official standardized source; cutoff-derived proxy excluded</x:v>
      </x:c>
      <x:c r="AG32" s="49" t="str">
        <x:v>https://dse2025.mahacet.org.in/dse25/admin/allotment/cap2/2116_4.pdf</x:v>
      </x:c>
      <x:c r="AH32" s="49" t="str">
        <x:v>https://fe2025.mahacet.org/StaticPages/frmInstituteSummary.aspx?InstituteCode=02116</x:v>
      </x:c>
      <x:c r="AI32" s="49"/>
      <x:c r="AJ32" s="49" t="str"/>
      <x:c r="AK32" s="69" t="n">
        <x:f>IF(W32&lt;&gt;"",50,IF(X32="101-150",45,IF(X32="151-200",40,IF(X32="201-300",35,0))))+IF(H32="Autonomous",20,0)+IF(OR(G32="Government",G32="Government-Aided",G32="University Department",G32="University",G32="University Autonomous"),15,0)+MIN(K32,10)+IF(AA32&lt;&gt;"",3,0)+IF(U32&lt;&gt;"",2,0)</x:f>
        <x:v>9</x:v>
      </x:c>
      <x:c r="AL32" s="49" t="str">
        <x:f>IF(AK32&gt;=70,"Official/high-evidence reference",IF(AK32&gt;=40,"Planning reference","Broader option"))</x:f>
        <x:v>Broader option</x:v>
      </x:c>
    </x:row>
    <x:row r="33">
      <x:c r="A33" s="63" t="n">
        <x:v>2127</x:v>
      </x:c>
      <x:c r="B33" s="49" t="str">
        <x:v>Mahatma Gandhi Missions College of Engineering, Hingoli Rd, Nanded.</x:v>
      </x:c>
      <x:c r="C33" s="49" t="str">
        <x:v>Maharashtra</x:v>
      </x:c>
      <x:c r="D33" s="49" t="str">
        <x:v>Aurangabad</x:v>
      </x:c>
      <x:c r="E33" s="49" t="str">
        <x:v>Nanded</x:v>
      </x:c>
      <x:c r="F33" s="49" t="str">
        <x:v>Near Airport,Hingoli Road, Nanded</x:v>
      </x:c>
      <x:c r="G33" s="49" t="str">
        <x:v>Un-Aided</x:v>
      </x:c>
      <x:c r="H33" s="49" t="str">
        <x:v>Non-Autonomous</x:v>
      </x:c>
      <x:c r="I33" s="49" t="str">
        <x:v>Non-Minority</x:v>
      </x:c>
      <x:c r="J33" s="49" t="str">
        <x:v>Dr. Babasaheb Ambedkar Technological University,Lonere</x:v>
      </x:c>
      <x:c r="K33" s="49" t="n">
        <x:v>7</x:v>
      </x:c>
      <x:c r="L33" s="49" t="n">
        <x:v>127</x:v>
      </x:c>
      <x:c r="M33" s="49" t="n">
        <x:v>114</x:v>
      </x:c>
      <x:c r="N33" s="49" t="n">
        <x:v>13</x:v>
      </x:c>
      <x:c r="O33" s="49"/>
      <x:c r="P33" s="49"/>
      <x:c r="Q33" s="49" t="str">
        <x:v>Parsed from official 2025-26 PDF</x:v>
      </x:c>
      <x:c r="R33" s="49" t="str">
        <x:v>2024-25</x:v>
      </x:c>
      <x:c r="S33" s="64" t="n">
        <x:v>97346</x:v>
      </x:c>
      <x:c r="T33" s="64" t="n">
        <x:v>12654</x:v>
      </x:c>
      <x:c r="U33" s="64" t="n">
        <x:v>110000</x:v>
      </x:c>
      <x:c r="V33" s="49" t="str">
        <x:v>Normal FRA-approved annual tuition + development fee; not seat-type-specific</x:v>
      </x:c>
      <x:c r="W33" s="49"/>
      <x:c r="X33" s="49"/>
      <x:c r="Y33" s="68"/>
      <x:c r="Z33" s="49"/>
      <x:c r="AA33" s="49"/>
      <x:c r="AB33" s="49" t="str">
        <x:v>Not centrally verified</x:v>
      </x:c>
      <x:c r="AC33" s="49" t="str">
        <x:v>Not centrally verified</x:v>
      </x:c>
      <x:c r="AD33" s="49" t="str">
        <x:v>Not centrally verified</x:v>
      </x:c>
      <x:c r="AE33" s="49" t="str">
        <x:v>Not available in a standardized official source</x:v>
      </x:c>
      <x:c r="AF33" s="49" t="str">
        <x:v>Not included: no official standardized source; cutoff-derived proxy excluded</x:v>
      </x:c>
      <x:c r="AG33" s="49" t="str">
        <x:v>https://dse2025.mahacet.org.in/dse25/admin/allotment/cap2/2127_4.pdf</x:v>
      </x:c>
      <x:c r="AH33" s="49" t="str">
        <x:v>https://fe2025.mahacet.org/StaticPages/frmInstituteSummary.aspx?InstituteCode=02127</x:v>
      </x:c>
      <x:c r="AI33" s="49"/>
      <x:c r="AJ33" s="49" t="str"/>
      <x:c r="AK33" s="69" t="n">
        <x:f>IF(W33&lt;&gt;"",50,IF(X33="101-150",45,IF(X33="151-200",40,IF(X33="201-300",35,0))))+IF(H33="Autonomous",20,0)+IF(OR(G33="Government",G33="Government-Aided",G33="University Department",G33="University",G33="University Autonomous"),15,0)+MIN(K33,10)+IF(AA33&lt;&gt;"",3,0)+IF(U33&lt;&gt;"",2,0)</x:f>
        <x:v>9</x:v>
      </x:c>
      <x:c r="AL33" s="49" t="str">
        <x:f>IF(AK33&gt;=70,"Official/high-evidence reference",IF(AK33&gt;=40,"Planning reference","Broader option"))</x:f>
        <x:v>Broader option</x:v>
      </x:c>
    </x:row>
    <x:row r="34">
      <x:c r="A34" s="63" t="n">
        <x:v>2129</x:v>
      </x:c>
      <x:c r="B34" s="49" t="str">
        <x:v>M.S. Bidve Engineering College, Latur</x:v>
      </x:c>
      <x:c r="C34" s="49" t="str">
        <x:v>Maharashtra</x:v>
      </x:c>
      <x:c r="D34" s="49" t="str">
        <x:v>Aurangabad</x:v>
      </x:c>
      <x:c r="E34" s="49" t="str">
        <x:v>Latur</x:v>
      </x:c>
      <x:c r="F34" s="49" t="str">
        <x:v>P.O. Box No. 112, Barshi Road, Latur</x:v>
      </x:c>
      <x:c r="G34" s="49" t="str">
        <x:v>Un-Aided</x:v>
      </x:c>
      <x:c r="H34" s="49" t="str">
        <x:v>Non-Autonomous</x:v>
      </x:c>
      <x:c r="I34" s="49" t="str">
        <x:v>Non-Minority</x:v>
      </x:c>
      <x:c r="J34" s="49" t="str">
        <x:v>Dr. Babasaheb Ambedkar Technological University,Lonere</x:v>
      </x:c>
      <x:c r="K34" s="49" t="n">
        <x:v>8</x:v>
      </x:c>
      <x:c r="L34" s="49" t="n">
        <x:v>202</x:v>
      </x:c>
      <x:c r="M34" s="49" t="n">
        <x:v>185</x:v>
      </x:c>
      <x:c r="N34" s="49" t="n">
        <x:v>17</x:v>
      </x:c>
      <x:c r="O34" s="49"/>
      <x:c r="P34" s="49"/>
      <x:c r="Q34" s="49" t="str">
        <x:v>Parsed from official 2025-26 PDF</x:v>
      </x:c>
      <x:c r="R34" s="49" t="str">
        <x:v>2024-25</x:v>
      </x:c>
      <x:c r="S34" s="64" t="n">
        <x:v>80444</x:v>
      </x:c>
      <x:c r="T34" s="64" t="n">
        <x:v>10056</x:v>
      </x:c>
      <x:c r="U34" s="64" t="n">
        <x:v>90500</x:v>
      </x:c>
      <x:c r="V34" s="49" t="str">
        <x:v>Normal FRA-approved annual tuition + development fee; not seat-type-specific</x:v>
      </x:c>
      <x:c r="W34" s="49"/>
      <x:c r="X34" s="49"/>
      <x:c r="Y34" s="68"/>
      <x:c r="Z34" s="49"/>
      <x:c r="AA34" s="49"/>
      <x:c r="AB34" s="49" t="str">
        <x:v>Not centrally verified</x:v>
      </x:c>
      <x:c r="AC34" s="49" t="str">
        <x:v>Not centrally verified</x:v>
      </x:c>
      <x:c r="AD34" s="49" t="str">
        <x:v>Not centrally verified</x:v>
      </x:c>
      <x:c r="AE34" s="49" t="str">
        <x:v>Not available in a standardized official source</x:v>
      </x:c>
      <x:c r="AF34" s="49" t="str">
        <x:v>Not included: no official standardized source; cutoff-derived proxy excluded</x:v>
      </x:c>
      <x:c r="AG34" s="49" t="str">
        <x:v>https://dse2025.mahacet.org.in/dse25/admin/allotment/cap2/2129_4.pdf</x:v>
      </x:c>
      <x:c r="AH34" s="49" t="str">
        <x:v>https://fe2025.mahacet.org/StaticPages/frmInstituteSummary.aspx?InstituteCode=02129</x:v>
      </x:c>
      <x:c r="AI34" s="49"/>
      <x:c r="AJ34" s="49" t="str"/>
      <x:c r="AK34" s="69" t="n">
        <x:f>IF(W34&lt;&gt;"",50,IF(X34="101-150",45,IF(X34="151-200",40,IF(X34="201-300",35,0))))+IF(H34="Autonomous",20,0)+IF(OR(G34="Government",G34="Government-Aided",G34="University Department",G34="University",G34="University Autonomous"),15,0)+MIN(K34,10)+IF(AA34&lt;&gt;"",3,0)+IF(U34&lt;&gt;"",2,0)</x:f>
        <x:v>10</x:v>
      </x:c>
      <x:c r="AL34" s="49" t="str">
        <x:f>IF(AK34&gt;=70,"Official/high-evidence reference",IF(AK34&gt;=40,"Planning reference","Broader option"))</x:f>
        <x:v>Broader option</x:v>
      </x:c>
    </x:row>
    <x:row r="35">
      <x:c r="A35" s="63" t="n">
        <x:v>2130</x:v>
      </x:c>
      <x:c r="B35" s="49" t="str">
        <x:v>Terna Public Charitable Trust's College of Engineering, Osmanabad</x:v>
      </x:c>
      <x:c r="C35" s="49" t="str">
        <x:v>Maharashtra</x:v>
      </x:c>
      <x:c r="D35" s="49" t="str">
        <x:v>Aurangabad</x:v>
      </x:c>
      <x:c r="E35" s="49" t="str">
        <x:v>Dharashiv</x:v>
      </x:c>
      <x:c r="F35" s="49" t="str">
        <x:v>Solapur Road, Osmanabad</x:v>
      </x:c>
      <x:c r="G35" s="49" t="str">
        <x:v>Un-Aided</x:v>
      </x:c>
      <x:c r="H35" s="49" t="str">
        <x:v>Non-Autonomous</x:v>
      </x:c>
      <x:c r="I35" s="49" t="str">
        <x:v>Non-Minority</x:v>
      </x:c>
      <x:c r="J35" s="49" t="str">
        <x:v>Dr. Babasaheb Ambedkar Technological University,Lonere</x:v>
      </x:c>
      <x:c r="K35" s="49" t="n">
        <x:v>5</x:v>
      </x:c>
      <x:c r="L35" s="49" t="n">
        <x:v>127</x:v>
      </x:c>
      <x:c r="M35" s="49" t="n">
        <x:v>116</x:v>
      </x:c>
      <x:c r="N35" s="49" t="n">
        <x:v>11</x:v>
      </x:c>
      <x:c r="O35" s="49"/>
      <x:c r="P35" s="49"/>
      <x:c r="Q35" s="49" t="str">
        <x:v>Parsed from official 2025-26 PDF</x:v>
      </x:c>
      <x:c r="R35" s="49" t="str">
        <x:v>2024-25</x:v>
      </x:c>
      <x:c r="S35" s="64" t="n">
        <x:v>81301</x:v>
      </x:c>
      <x:c r="T35" s="64" t="n">
        <x:v>8699</x:v>
      </x:c>
      <x:c r="U35" s="64" t="n">
        <x:v>90000</x:v>
      </x:c>
      <x:c r="V35" s="49" t="str">
        <x:v>Normal FRA-approved annual tuition + development fee; not seat-type-specific</x:v>
      </x:c>
      <x:c r="W35" s="49"/>
      <x:c r="X35" s="49"/>
      <x:c r="Y35" s="68"/>
      <x:c r="Z35" s="49"/>
      <x:c r="AA35" s="49"/>
      <x:c r="AB35" s="49" t="str">
        <x:v>Not centrally verified</x:v>
      </x:c>
      <x:c r="AC35" s="49" t="str">
        <x:v>Not centrally verified</x:v>
      </x:c>
      <x:c r="AD35" s="49" t="str">
        <x:v>Not centrally verified</x:v>
      </x:c>
      <x:c r="AE35" s="49" t="str">
        <x:v>Not available in a standardized official source</x:v>
      </x:c>
      <x:c r="AF35" s="49" t="str">
        <x:v>Not included: no official standardized source; cutoff-derived proxy excluded</x:v>
      </x:c>
      <x:c r="AG35" s="49" t="str">
        <x:v>https://dse2025.mahacet.org.in/dse25/admin/allotment/cap2/2130_4.pdf</x:v>
      </x:c>
      <x:c r="AH35" s="49" t="str">
        <x:v>https://fe2025.mahacet.org/StaticPages/frmInstituteSummary.aspx?InstituteCode=02130</x:v>
      </x:c>
      <x:c r="AI35" s="49"/>
      <x:c r="AJ35" s="49" t="str"/>
      <x:c r="AK35" s="69" t="n">
        <x:f>IF(W35&lt;&gt;"",50,IF(X35="101-150",45,IF(X35="151-200",40,IF(X35="201-300",35,0))))+IF(H35="Autonomous",20,0)+IF(OR(G35="Government",G35="Government-Aided",G35="University Department",G35="University",G35="University Autonomous"),15,0)+MIN(K35,10)+IF(AA35&lt;&gt;"",3,0)+IF(U35&lt;&gt;"",2,0)</x:f>
        <x:v>7</x:v>
      </x:c>
      <x:c r="AL35" s="49" t="str">
        <x:f>IF(AK35&gt;=70,"Official/high-evidence reference",IF(AK35&gt;=40,"Planning reference","Broader option"))</x:f>
        <x:v>Broader option</x:v>
      </x:c>
    </x:row>
    <x:row r="36">
      <x:c r="A36" s="63" t="n">
        <x:v>2131</x:v>
      </x:c>
      <x:c r="B36" s="49" t="str">
        <x:v>Shree Tuljabhavani College of Engineering, Tuljapur</x:v>
      </x:c>
      <x:c r="C36" s="49" t="str">
        <x:v>Maharashtra</x:v>
      </x:c>
      <x:c r="D36" s="49" t="str">
        <x:v>Aurangabad</x:v>
      </x:c>
      <x:c r="E36" s="49" t="str">
        <x:v>Dharashiv</x:v>
      </x:c>
      <x:c r="F36" s="49" t="str">
        <x:v>Naldurg Road, Tuljapur, Dist. Osmanabad</x:v>
      </x:c>
      <x:c r="G36" s="49" t="str">
        <x:v>Un-Aided</x:v>
      </x:c>
      <x:c r="H36" s="49" t="str">
        <x:v>Non-Autonomous</x:v>
      </x:c>
      <x:c r="I36" s="49" t="str">
        <x:v>Non-Minority</x:v>
      </x:c>
      <x:c r="J36" s="49" t="str">
        <x:v>Dr. Babasaheb Ambedkar Technological University,Lonere</x:v>
      </x:c>
      <x:c r="K36" s="49" t="n">
        <x:v>4</x:v>
      </x:c>
      <x:c r="L36" s="49" t="n">
        <x:v>177</x:v>
      </x:c>
      <x:c r="M36" s="49" t="n">
        <x:v>157</x:v>
      </x:c>
      <x:c r="N36" s="49" t="n">
        <x:v>20</x:v>
      </x:c>
      <x:c r="O36" s="49"/>
      <x:c r="P36" s="49"/>
      <x:c r="Q36" s="49" t="str">
        <x:v>Parsed from official 2025-26 PDF</x:v>
      </x:c>
      <x:c r="R36" s="49" t="str">
        <x:v>2024-25</x:v>
      </x:c>
      <x:c r="S36" s="64" t="n">
        <x:v>68162</x:v>
      </x:c>
      <x:c r="T36" s="64" t="n">
        <x:v>7838</x:v>
      </x:c>
      <x:c r="U36" s="64" t="n">
        <x:v>76000</x:v>
      </x:c>
      <x:c r="V36" s="49" t="str">
        <x:v>Normal FRA-approved annual tuition + development fee; not seat-type-specific</x:v>
      </x:c>
      <x:c r="W36" s="49"/>
      <x:c r="X36" s="49"/>
      <x:c r="Y36" s="68"/>
      <x:c r="Z36" s="49"/>
      <x:c r="AA36" s="49"/>
      <x:c r="AB36" s="49" t="str">
        <x:v>Not centrally verified</x:v>
      </x:c>
      <x:c r="AC36" s="49" t="str">
        <x:v>Not centrally verified</x:v>
      </x:c>
      <x:c r="AD36" s="49" t="str">
        <x:v>Not centrally verified</x:v>
      </x:c>
      <x:c r="AE36" s="49" t="str">
        <x:v>Not available in a standardized official source</x:v>
      </x:c>
      <x:c r="AF36" s="49" t="str">
        <x:v>Not included: no official standardized source; cutoff-derived proxy excluded</x:v>
      </x:c>
      <x:c r="AG36" s="49" t="str">
        <x:v>https://dse2025.mahacet.org.in/dse25/admin/allotment/cap2/2131_4.pdf</x:v>
      </x:c>
      <x:c r="AH36" s="49" t="str">
        <x:v>https://fe2025.mahacet.org/StaticPages/frmInstituteSummary.aspx?InstituteCode=02131</x:v>
      </x:c>
      <x:c r="AI36" s="49"/>
      <x:c r="AJ36" s="49" t="str"/>
      <x:c r="AK36" s="69" t="n">
        <x:f>IF(W36&lt;&gt;"",50,IF(X36="101-150",45,IF(X36="151-200",40,IF(X36="201-300",35,0))))+IF(H36="Autonomous",20,0)+IF(OR(G36="Government",G36="Government-Aided",G36="University Department",G36="University",G36="University Autonomous"),15,0)+MIN(K36,10)+IF(AA36&lt;&gt;"",3,0)+IF(U36&lt;&gt;"",2,0)</x:f>
        <x:v>6</x:v>
      </x:c>
      <x:c r="AL36" s="49" t="str">
        <x:f>IF(AK36&gt;=70,"Official/high-evidence reference",IF(AK36&gt;=40,"Planning reference","Broader option"))</x:f>
        <x:v>Broader option</x:v>
      </x:c>
    </x:row>
    <x:row r="37">
      <x:c r="A37" s="63" t="n">
        <x:v>2133</x:v>
      </x:c>
      <x:c r="B37" s="49" t="str">
        <x:v>Mahatma Basaweshwar Education Society's College of Engineering, Ambejogai</x:v>
      </x:c>
      <x:c r="C37" s="49" t="str">
        <x:v>Maharashtra</x:v>
      </x:c>
      <x:c r="D37" s="49" t="str">
        <x:v>Aurangabad</x:v>
      </x:c>
      <x:c r="E37" s="49" t="str">
        <x:v>Beed</x:v>
      </x:c>
      <x:c r="F37" s="49" t="str">
        <x:v>Ambejogai, Beed</x:v>
      </x:c>
      <x:c r="G37" s="49" t="str">
        <x:v>Un-Aided</x:v>
      </x:c>
      <x:c r="H37" s="49" t="str">
        <x:v>Non-Autonomous</x:v>
      </x:c>
      <x:c r="I37" s="49" t="str">
        <x:v>Non-Minority</x:v>
      </x:c>
      <x:c r="J37" s="49" t="str">
        <x:v>Dr. Babasaheb Ambedkar Technological University,Lonere</x:v>
      </x:c>
      <x:c r="K37" s="49" t="n">
        <x:v>5</x:v>
      </x:c>
      <x:c r="L37" s="49" t="n">
        <x:v>140</x:v>
      </x:c>
      <x:c r="M37" s="49" t="n">
        <x:v>121</x:v>
      </x:c>
      <x:c r="N37" s="49" t="n">
        <x:v>19</x:v>
      </x:c>
      <x:c r="O37" s="49"/>
      <x:c r="P37" s="49"/>
      <x:c r="Q37" s="49" t="str">
        <x:v>Parsed from official 2025-26 PDF</x:v>
      </x:c>
      <x:c r="R37" s="49" t="str">
        <x:v>2024-25</x:v>
      </x:c>
      <x:c r="S37" s="64" t="n">
        <x:v>50455</x:v>
      </x:c>
      <x:c r="T37" s="64" t="n">
        <x:v>5045</x:v>
      </x:c>
      <x:c r="U37" s="64" t="n">
        <x:v>55500</x:v>
      </x:c>
      <x:c r="V37" s="49" t="str">
        <x:v>Normal FRA-approved annual tuition + development fee; not seat-type-specific</x:v>
      </x:c>
      <x:c r="W37" s="49"/>
      <x:c r="X37" s="49"/>
      <x:c r="Y37" s="68"/>
      <x:c r="Z37" s="49"/>
      <x:c r="AA37" s="49"/>
      <x:c r="AB37" s="49" t="str">
        <x:v>Not centrally verified</x:v>
      </x:c>
      <x:c r="AC37" s="49" t="str">
        <x:v>Not centrally verified</x:v>
      </x:c>
      <x:c r="AD37" s="49" t="str">
        <x:v>Not centrally verified</x:v>
      </x:c>
      <x:c r="AE37" s="49" t="str">
        <x:v>Not available in a standardized official source</x:v>
      </x:c>
      <x:c r="AF37" s="49" t="str">
        <x:v>Not included: no official standardized source; cutoff-derived proxy excluded</x:v>
      </x:c>
      <x:c r="AG37" s="49" t="str">
        <x:v>https://dse2025.mahacet.org.in/dse25/admin/allotment/cap2/2133_4.pdf</x:v>
      </x:c>
      <x:c r="AH37" s="49" t="str">
        <x:v>https://fe2025.mahacet.org/StaticPages/frmInstituteSummary.aspx?InstituteCode=02133</x:v>
      </x:c>
      <x:c r="AI37" s="49"/>
      <x:c r="AJ37" s="49" t="str"/>
      <x:c r="AK37" s="69" t="n">
        <x:f>IF(W37&lt;&gt;"",50,IF(X37="101-150",45,IF(X37="151-200",40,IF(X37="201-300",35,0))))+IF(H37="Autonomous",20,0)+IF(OR(G37="Government",G37="Government-Aided",G37="University Department",G37="University",G37="University Autonomous"),15,0)+MIN(K37,10)+IF(AA37&lt;&gt;"",3,0)+IF(U37&lt;&gt;"",2,0)</x:f>
        <x:v>7</x:v>
      </x:c>
      <x:c r="AL37" s="49" t="str">
        <x:f>IF(AK37&gt;=70,"Official/high-evidence reference",IF(AK37&gt;=40,"Planning reference","Broader option"))</x:f>
        <x:v>Broader option</x:v>
      </x:c>
    </x:row>
    <x:row r="38">
      <x:c r="A38" s="63" t="n">
        <x:v>2134</x:v>
      </x:c>
      <x:c r="B38" s="49" t="str">
        <x:v>Peoples Education Society's College of Engineering, Aurangabad</x:v>
      </x:c>
      <x:c r="C38" s="49" t="str">
        <x:v>Maharashtra</x:v>
      </x:c>
      <x:c r="D38" s="49" t="str">
        <x:v>Aurangabad</x:v>
      </x:c>
      <x:c r="E38" s="49" t="str">
        <x:v>Chhatrapati Sambhajinagar</x:v>
      </x:c>
      <x:c r="F38" s="49" t="str">
        <x:v>Nagasen Vana, Near Panchakki, University Rd., Aurangabad</x:v>
      </x:c>
      <x:c r="G38" s="49" t="str">
        <x:v>Un-Aided</x:v>
      </x:c>
      <x:c r="H38" s="49" t="str">
        <x:v>Autonomous</x:v>
      </x:c>
      <x:c r="I38" s="49" t="str">
        <x:v>Non-Minority</x:v>
      </x:c>
      <x:c r="J38" s="49" t="str">
        <x:v>Dr. Babasaheb Ambedkar Technological University,Lonere</x:v>
      </x:c>
      <x:c r="K38" s="49" t="n">
        <x:v>7</x:v>
      </x:c>
      <x:c r="L38" s="49" t="n">
        <x:v>196</x:v>
      </x:c>
      <x:c r="M38" s="49" t="n">
        <x:v>172</x:v>
      </x:c>
      <x:c r="N38" s="49" t="n">
        <x:v>24</x:v>
      </x:c>
      <x:c r="O38" s="49"/>
      <x:c r="P38" s="49"/>
      <x:c r="Q38" s="49" t="str">
        <x:v>Parsed from official 2025-26 PDF</x:v>
      </x:c>
      <x:c r="R38" s="49" t="str">
        <x:v>2024-25</x:v>
      </x:c>
      <x:c r="S38" s="64" t="n">
        <x:v>75421</x:v>
      </x:c>
      <x:c r="T38" s="64" t="n">
        <x:v>9579</x:v>
      </x:c>
      <x:c r="U38" s="64" t="n">
        <x:v>85000</x:v>
      </x:c>
      <x:c r="V38" s="49" t="str">
        <x:v>Normal FRA-approved annual tuition + development fee; not seat-type-specific</x:v>
      </x:c>
      <x:c r="W38" s="49"/>
      <x:c r="X38" s="49"/>
      <x:c r="Y38" s="68"/>
      <x:c r="Z38" s="49"/>
      <x:c r="AA38" s="49"/>
      <x:c r="AB38" s="49" t="str">
        <x:v>Not centrally verified</x:v>
      </x:c>
      <x:c r="AC38" s="49" t="str">
        <x:v>Not centrally verified</x:v>
      </x:c>
      <x:c r="AD38" s="49" t="str">
        <x:v>Not centrally verified</x:v>
      </x:c>
      <x:c r="AE38" s="49" t="str">
        <x:v>Not available in a standardized official source</x:v>
      </x:c>
      <x:c r="AF38" s="49" t="str">
        <x:v>Not included: no official standardized source; cutoff-derived proxy excluded</x:v>
      </x:c>
      <x:c r="AG38" s="49" t="str">
        <x:v>https://dse2025.mahacet.org.in/dse25/admin/allotment/cap2/2134_4.pdf</x:v>
      </x:c>
      <x:c r="AH38" s="49" t="str">
        <x:v>https://fe2025.mahacet.org/StaticPages/frmInstituteSummary.aspx?InstituteCode=02134</x:v>
      </x:c>
      <x:c r="AI38" s="49"/>
      <x:c r="AJ38" s="49" t="str"/>
      <x:c r="AK38" s="69" t="n">
        <x:f>IF(W38&lt;&gt;"",50,IF(X38="101-150",45,IF(X38="151-200",40,IF(X38="201-300",35,0))))+IF(H38="Autonomous",20,0)+IF(OR(G38="Government",G38="Government-Aided",G38="University Department",G38="University",G38="University Autonomous"),15,0)+MIN(K38,10)+IF(AA38&lt;&gt;"",3,0)+IF(U38&lt;&gt;"",2,0)</x:f>
        <x:v>29</x:v>
      </x:c>
      <x:c r="AL38" s="49" t="str">
        <x:f>IF(AK38&gt;=70,"Official/high-evidence reference",IF(AK38&gt;=40,"Planning reference","Broader option"))</x:f>
        <x:v>Broader option</x:v>
      </x:c>
    </x:row>
    <x:row r="39">
      <x:c r="A39" s="63" t="n">
        <x:v>2135</x:v>
      </x:c>
      <x:c r="B39" s="49" t="str">
        <x:v>Hi-Tech Institute of Technology, Aurangabad</x:v>
      </x:c>
      <x:c r="C39" s="49" t="str">
        <x:v>Maharashtra</x:v>
      </x:c>
      <x:c r="D39" s="49" t="str">
        <x:v>Aurangabad</x:v>
      </x:c>
      <x:c r="E39" s="49" t="str">
        <x:v>Chhatrapati Sambhajinagar</x:v>
      </x:c>
      <x:c r="F39" s="49" t="str">
        <x:v>P-119, Bajajnagar, Aurangabad</x:v>
      </x:c>
      <x:c r="G39" s="49" t="str">
        <x:v>Un-Aided</x:v>
      </x:c>
      <x:c r="H39" s="49" t="str">
        <x:v>Non-Autonomous</x:v>
      </x:c>
      <x:c r="I39" s="49" t="str">
        <x:v>Non-Minority</x:v>
      </x:c>
      <x:c r="J39" s="49" t="str">
        <x:v>Dr. Babasaheb Ambedkar Technological University,Lonere</x:v>
      </x:c>
      <x:c r="K39" s="49" t="n">
        <x:v>4</x:v>
      </x:c>
      <x:c r="L39" s="49" t="n">
        <x:v>152</x:v>
      </x:c>
      <x:c r="M39" s="49" t="n">
        <x:v>128</x:v>
      </x:c>
      <x:c r="N39" s="49" t="n">
        <x:v>24</x:v>
      </x:c>
      <x:c r="O39" s="49"/>
      <x:c r="P39" s="49"/>
      <x:c r="Q39" s="49" t="str">
        <x:v>Parsed from official 2025-26 PDF</x:v>
      </x:c>
      <x:c r="R39" s="49" t="str">
        <x:v>2024-25</x:v>
      </x:c>
      <x:c r="S39" s="64" t="n">
        <x:v>72267</x:v>
      </x:c>
      <x:c r="T39" s="64" t="n">
        <x:v>7733</x:v>
      </x:c>
      <x:c r="U39" s="64" t="n">
        <x:v>80000</x:v>
      </x:c>
      <x:c r="V39" s="49" t="str">
        <x:v>Normal FRA-approved annual tuition + development fee; not seat-type-specific</x:v>
      </x:c>
      <x:c r="W39" s="49"/>
      <x:c r="X39" s="49"/>
      <x:c r="Y39" s="68"/>
      <x:c r="Z39" s="49"/>
      <x:c r="AA39" s="49"/>
      <x:c r="AB39" s="49" t="str">
        <x:v>Not centrally verified</x:v>
      </x:c>
      <x:c r="AC39" s="49" t="str">
        <x:v>Not centrally verified</x:v>
      </x:c>
      <x:c r="AD39" s="49" t="str">
        <x:v>Not centrally verified</x:v>
      </x:c>
      <x:c r="AE39" s="49" t="str">
        <x:v>Not available in a standardized official source</x:v>
      </x:c>
      <x:c r="AF39" s="49" t="str">
        <x:v>Not included: no official standardized source; cutoff-derived proxy excluded</x:v>
      </x:c>
      <x:c r="AG39" s="49" t="str">
        <x:v>https://dse2025.mahacet.org.in/dse25/admin/allotment/cap2/2135_4.pdf</x:v>
      </x:c>
      <x:c r="AH39" s="49" t="str">
        <x:v>https://fe2025.mahacet.org/StaticPages/frmInstituteSummary.aspx?InstituteCode=02135</x:v>
      </x:c>
      <x:c r="AI39" s="49"/>
      <x:c r="AJ39" s="49" t="str"/>
      <x:c r="AK39" s="69" t="n">
        <x:f>IF(W39&lt;&gt;"",50,IF(X39="101-150",45,IF(X39="151-200",40,IF(X39="201-300",35,0))))+IF(H39="Autonomous",20,0)+IF(OR(G39="Government",G39="Government-Aided",G39="University Department",G39="University",G39="University Autonomous"),15,0)+MIN(K39,10)+IF(AA39&lt;&gt;"",3,0)+IF(U39&lt;&gt;"",2,0)</x:f>
        <x:v>6</x:v>
      </x:c>
      <x:c r="AL39" s="49" t="str">
        <x:f>IF(AK39&gt;=70,"Official/high-evidence reference",IF(AK39&gt;=40,"Planning reference","Broader option"))</x:f>
        <x:v>Broader option</x:v>
      </x:c>
    </x:row>
    <x:row r="40">
      <x:c r="A40" s="63" t="n">
        <x:v>2136</x:v>
      </x:c>
      <x:c r="B40" s="49" t="str">
        <x:v>Aditya Engineering College , Beed</x:v>
      </x:c>
      <x:c r="C40" s="49" t="str">
        <x:v>Maharashtra</x:v>
      </x:c>
      <x:c r="D40" s="49" t="str">
        <x:v>Aurangabad</x:v>
      </x:c>
      <x:c r="E40" s="49" t="str">
        <x:v>Beed</x:v>
      </x:c>
      <x:c r="F40" s="49" t="str">
        <x:v>Telgaon Road, Beed Tal.&amp; Dist. Beed</x:v>
      </x:c>
      <x:c r="G40" s="49" t="str">
        <x:v>Un-Aided</x:v>
      </x:c>
      <x:c r="H40" s="49" t="str">
        <x:v>Non-Autonomous</x:v>
      </x:c>
      <x:c r="I40" s="49" t="str">
        <x:v>Non-Minority</x:v>
      </x:c>
      <x:c r="J40" s="49" t="str">
        <x:v>Dr. Babasaheb Ambedkar Technological University,Lonere</x:v>
      </x:c>
      <x:c r="K40" s="49" t="n">
        <x:v>8</x:v>
      </x:c>
      <x:c r="L40" s="49" t="n">
        <x:v>265</x:v>
      </x:c>
      <x:c r="M40" s="49" t="n">
        <x:v>241</x:v>
      </x:c>
      <x:c r="N40" s="49" t="n">
        <x:v>24</x:v>
      </x:c>
      <x:c r="O40" s="49"/>
      <x:c r="P40" s="49"/>
      <x:c r="Q40" s="49" t="str">
        <x:v>Parsed from official 2025-26 PDF</x:v>
      </x:c>
      <x:c r="R40" s="49" t="str">
        <x:v>2024-25</x:v>
      </x:c>
      <x:c r="S40" s="64" t="n">
        <x:v>107463</x:v>
      </x:c>
      <x:c r="T40" s="64" t="n">
        <x:v>12037</x:v>
      </x:c>
      <x:c r="U40" s="64" t="n">
        <x:v>119500</x:v>
      </x:c>
      <x:c r="V40" s="49" t="str">
        <x:v>Normal FRA-approved annual tuition + development fee; not seat-type-specific</x:v>
      </x:c>
      <x:c r="W40" s="49"/>
      <x:c r="X40" s="49"/>
      <x:c r="Y40" s="68"/>
      <x:c r="Z40" s="49"/>
      <x:c r="AA40" s="49"/>
      <x:c r="AB40" s="49" t="str">
        <x:v>Not centrally verified</x:v>
      </x:c>
      <x:c r="AC40" s="49" t="str">
        <x:v>Not centrally verified</x:v>
      </x:c>
      <x:c r="AD40" s="49" t="str">
        <x:v>Not centrally verified</x:v>
      </x:c>
      <x:c r="AE40" s="49" t="str">
        <x:v>Not available in a standardized official source</x:v>
      </x:c>
      <x:c r="AF40" s="49" t="str">
        <x:v>Not included: no official standardized source; cutoff-derived proxy excluded</x:v>
      </x:c>
      <x:c r="AG40" s="49" t="str">
        <x:v>https://dse2025.mahacet.org.in/dse25/admin/allotment/cap2/2136_4.pdf</x:v>
      </x:c>
      <x:c r="AH40" s="49" t="str">
        <x:v>https://fe2025.mahacet.org/StaticPages/frmInstituteSummary.aspx?InstituteCode=02136</x:v>
      </x:c>
      <x:c r="AI40" s="49"/>
      <x:c r="AJ40" s="49" t="str"/>
      <x:c r="AK40" s="69" t="n">
        <x:f>IF(W40&lt;&gt;"",50,IF(X40="101-150",45,IF(X40="151-200",40,IF(X40="201-300",35,0))))+IF(H40="Autonomous",20,0)+IF(OR(G40="Government",G40="Government-Aided",G40="University Department",G40="University",G40="University Autonomous"),15,0)+MIN(K40,10)+IF(AA40&lt;&gt;"",3,0)+IF(U40&lt;&gt;"",2,0)</x:f>
        <x:v>10</x:v>
      </x:c>
      <x:c r="AL40" s="49" t="str">
        <x:f>IF(AK40&gt;=70,"Official/high-evidence reference",IF(AK40&gt;=40,"Planning reference","Broader option"))</x:f>
        <x:v>Broader option</x:v>
      </x:c>
    </x:row>
    <x:row r="41">
      <x:c r="A41" s="63" t="n">
        <x:v>2137</x:v>
      </x:c>
      <x:c r="B41" s="49" t="str">
        <x:v>Nagnathappa Halge Engineering College, Parli, Beed</x:v>
      </x:c>
      <x:c r="C41" s="49" t="str">
        <x:v>Maharashtra</x:v>
      </x:c>
      <x:c r="D41" s="49" t="str">
        <x:v>Aurangabad</x:v>
      </x:c>
      <x:c r="E41" s="49" t="str">
        <x:v>Beed</x:v>
      </x:c>
      <x:c r="F41" s="49" t="str">
        <x:v>At Brahmwadi , Post Tokwadi, Parli-Beed State Highway, Parli Vaijnath Dist. Beed</x:v>
      </x:c>
      <x:c r="G41" s="49" t="str">
        <x:v>Un-Aided</x:v>
      </x:c>
      <x:c r="H41" s="49" t="str">
        <x:v>Non-Autonomous</x:v>
      </x:c>
      <x:c r="I41" s="49" t="str">
        <x:v>Non-Minority</x:v>
      </x:c>
      <x:c r="J41" s="49" t="str">
        <x:v>Dr. Babasaheb Ambedkar Marathwada University</x:v>
      </x:c>
      <x:c r="K41" s="49" t="n">
        <x:v>4</x:v>
      </x:c>
      <x:c r="L41" s="49" t="n">
        <x:v>272</x:v>
      </x:c>
      <x:c r="M41" s="49" t="n">
        <x:v>246</x:v>
      </x:c>
      <x:c r="N41" s="49" t="n">
        <x:v>26</x:v>
      </x:c>
      <x:c r="O41" s="49"/>
      <x:c r="P41" s="49"/>
      <x:c r="Q41" s="49" t="str">
        <x:v>Parsed from official 2025-26 PDF</x:v>
      </x:c>
      <x:c r="R41" s="49" t="str">
        <x:v>2024-25</x:v>
      </x:c>
      <x:c r="S41" s="64" t="n">
        <x:v>47187</x:v>
      </x:c>
      <x:c r="T41" s="64" t="n">
        <x:v>4813</x:v>
      </x:c>
      <x:c r="U41" s="64" t="n">
        <x:v>52000</x:v>
      </x:c>
      <x:c r="V41" s="49" t="str">
        <x:v>Normal FRA-approved annual tuition + development fee; not seat-type-specific</x:v>
      </x:c>
      <x:c r="W41" s="49"/>
      <x:c r="X41" s="49"/>
      <x:c r="Y41" s="68"/>
      <x:c r="Z41" s="49"/>
      <x:c r="AA41" s="49"/>
      <x:c r="AB41" s="49" t="str">
        <x:v>Not centrally verified</x:v>
      </x:c>
      <x:c r="AC41" s="49" t="str">
        <x:v>Not centrally verified</x:v>
      </x:c>
      <x:c r="AD41" s="49" t="str">
        <x:v>Not centrally verified</x:v>
      </x:c>
      <x:c r="AE41" s="49" t="str">
        <x:v>Not available in a standardized official source</x:v>
      </x:c>
      <x:c r="AF41" s="49" t="str">
        <x:v>Not included: no official standardized source; cutoff-derived proxy excluded</x:v>
      </x:c>
      <x:c r="AG41" s="49" t="str">
        <x:v>https://dse2025.mahacet.org.in/dse25/admin/allotment/cap2/2137_4.pdf</x:v>
      </x:c>
      <x:c r="AH41" s="49" t="str">
        <x:v>https://fe2025.mahacet.org/StaticPages/frmInstituteSummary.aspx?InstituteCode=02137</x:v>
      </x:c>
      <x:c r="AI41" s="49"/>
      <x:c r="AJ41" s="49" t="str"/>
      <x:c r="AK41" s="69" t="n">
        <x:f>IF(W41&lt;&gt;"",50,IF(X41="101-150",45,IF(X41="151-200",40,IF(X41="201-300",35,0))))+IF(H41="Autonomous",20,0)+IF(OR(G41="Government",G41="Government-Aided",G41="University Department",G41="University",G41="University Autonomous"),15,0)+MIN(K41,10)+IF(AA41&lt;&gt;"",3,0)+IF(U41&lt;&gt;"",2,0)</x:f>
        <x:v>6</x:v>
      </x:c>
      <x:c r="AL41" s="49" t="str">
        <x:f>IF(AK41&gt;=70,"Official/high-evidence reference",IF(AK41&gt;=40,"Planning reference","Broader option"))</x:f>
        <x:v>Broader option</x:v>
      </x:c>
    </x:row>
    <x:row r="42">
      <x:c r="A42" s="63" t="n">
        <x:v>2138</x:v>
      </x:c>
      <x:c r="B42" s="49" t="str">
        <x:v>Matsyodari Shikshan Sansatha's College of Engineering and Technology, Jalna</x:v>
      </x:c>
      <x:c r="C42" s="49" t="str">
        <x:v>Maharashtra</x:v>
      </x:c>
      <x:c r="D42" s="49" t="str">
        <x:v>Aurangabad</x:v>
      </x:c>
      <x:c r="E42" s="49" t="str">
        <x:v>Jalna</x:v>
      </x:c>
      <x:c r="F42" s="49" t="str">
        <x:v>Jalna-Aurangabad Road, Nagewadi, Jalna</x:v>
      </x:c>
      <x:c r="G42" s="49" t="str">
        <x:v>Un-Aided</x:v>
      </x:c>
      <x:c r="H42" s="49" t="str">
        <x:v>Non-Autonomous</x:v>
      </x:c>
      <x:c r="I42" s="49" t="str">
        <x:v>Non-Minority</x:v>
      </x:c>
      <x:c r="J42" s="49" t="str">
        <x:v>Dr. Babasaheb Ambedkar Technological University,Lonere</x:v>
      </x:c>
      <x:c r="K42" s="49" t="n">
        <x:v>4</x:v>
      </x:c>
      <x:c r="L42" s="49" t="n">
        <x:v>129</x:v>
      </x:c>
      <x:c r="M42" s="49" t="n">
        <x:v>110</x:v>
      </x:c>
      <x:c r="N42" s="49" t="n">
        <x:v>19</x:v>
      </x:c>
      <x:c r="O42" s="49"/>
      <x:c r="P42" s="49"/>
      <x:c r="Q42" s="49" t="str">
        <x:v>Parsed from official 2025-26 PDF</x:v>
      </x:c>
      <x:c r="R42" s="49" t="str">
        <x:v>2024-25</x:v>
      </x:c>
      <x:c r="S42" s="64" t="n">
        <x:v>68000</x:v>
      </x:c>
      <x:c r="T42" s="64" t="n">
        <x:v>8500</x:v>
      </x:c>
      <x:c r="U42" s="64" t="n">
        <x:v>76500</x:v>
      </x:c>
      <x:c r="V42" s="49" t="str">
        <x:v>Normal FRA-approved annual tuition + development fee; not seat-type-specific</x:v>
      </x:c>
      <x:c r="W42" s="49"/>
      <x:c r="X42" s="49"/>
      <x:c r="Y42" s="68"/>
      <x:c r="Z42" s="49"/>
      <x:c r="AA42" s="49"/>
      <x:c r="AB42" s="49" t="str">
        <x:v>Not centrally verified</x:v>
      </x:c>
      <x:c r="AC42" s="49" t="str">
        <x:v>Not centrally verified</x:v>
      </x:c>
      <x:c r="AD42" s="49" t="str">
        <x:v>Not centrally verified</x:v>
      </x:c>
      <x:c r="AE42" s="49" t="str">
        <x:v>Not available in a standardized official source</x:v>
      </x:c>
      <x:c r="AF42" s="49" t="str">
        <x:v>Not included: no official standardized source; cutoff-derived proxy excluded</x:v>
      </x:c>
      <x:c r="AG42" s="49" t="str">
        <x:v>https://dse2025.mahacet.org.in/dse25/admin/allotment/cap2/2138_4.pdf</x:v>
      </x:c>
      <x:c r="AH42" s="49" t="str">
        <x:v>https://fe2025.mahacet.org/StaticPages/frmInstituteSummary.aspx?InstituteCode=02138</x:v>
      </x:c>
      <x:c r="AI42" s="49"/>
      <x:c r="AJ42" s="49" t="str"/>
      <x:c r="AK42" s="69" t="n">
        <x:f>IF(W42&lt;&gt;"",50,IF(X42="101-150",45,IF(X42="151-200",40,IF(X42="201-300",35,0))))+IF(H42="Autonomous",20,0)+IF(OR(G42="Government",G42="Government-Aided",G42="University Department",G42="University",G42="University Autonomous"),15,0)+MIN(K42,10)+IF(AA42&lt;&gt;"",3,0)+IF(U42&lt;&gt;"",2,0)</x:f>
        <x:v>6</x:v>
      </x:c>
      <x:c r="AL42" s="49" t="str">
        <x:f>IF(AK42&gt;=70,"Official/high-evidence reference",IF(AK42&gt;=40,"Planning reference","Broader option"))</x:f>
        <x:v>Broader option</x:v>
      </x:c>
    </x:row>
    <x:row r="43">
      <x:c r="A43" s="63" t="n">
        <x:v>2146</x:v>
      </x:c>
      <x:c r="B43" s="49" t="str">
        <x:v>Adarsh Shikshan Prasarak Mandal's K. T. Patil College of Engineering and Technology, Osmanabad</x:v>
      </x:c>
      <x:c r="C43" s="49" t="str">
        <x:v>Maharashtra</x:v>
      </x:c>
      <x:c r="D43" s="49" t="str">
        <x:v>Aurangabad</x:v>
      </x:c>
      <x:c r="E43" s="49" t="str">
        <x:v>Dharashiv</x:v>
      </x:c>
      <x:c r="F43" s="49" t="str">
        <x:v>Keshav Nagar, Jadahavwadi Road, Osmanabad.Tal. &amp; Dist. Osmanabad</x:v>
      </x:c>
      <x:c r="G43" s="49" t="str">
        <x:v>Un-Aided</x:v>
      </x:c>
      <x:c r="H43" s="49" t="str">
        <x:v>Non-Autonomous</x:v>
      </x:c>
      <x:c r="I43" s="49" t="str">
        <x:v>Non-Minority</x:v>
      </x:c>
      <x:c r="J43" s="49" t="str">
        <x:v>Dr. Babasaheb Ambedkar Marathwada University</x:v>
      </x:c>
      <x:c r="K43" s="49" t="n">
        <x:v>5</x:v>
      </x:c>
      <x:c r="L43" s="49" t="n">
        <x:v>149</x:v>
      </x:c>
      <x:c r="M43" s="49" t="n">
        <x:v>134</x:v>
      </x:c>
      <x:c r="N43" s="49" t="n">
        <x:v>15</x:v>
      </x:c>
      <x:c r="O43" s="49"/>
      <x:c r="P43" s="49"/>
      <x:c r="Q43" s="49" t="str">
        <x:v>Parsed from official 2025-26 PDF</x:v>
      </x:c>
      <x:c r="R43" s="49" t="str">
        <x:v>2024-25</x:v>
      </x:c>
      <x:c r="S43" s="64" t="n">
        <x:v>33968</x:v>
      </x:c>
      <x:c r="T43" s="64" t="n">
        <x:v>3532</x:v>
      </x:c>
      <x:c r="U43" s="64" t="n">
        <x:v>37500</x:v>
      </x:c>
      <x:c r="V43" s="49" t="str">
        <x:v>Normal FRA-approved annual tuition + development fee; not seat-type-specific</x:v>
      </x:c>
      <x:c r="W43" s="49"/>
      <x:c r="X43" s="49"/>
      <x:c r="Y43" s="68"/>
      <x:c r="Z43" s="49"/>
      <x:c r="AA43" s="49"/>
      <x:c r="AB43" s="49" t="str">
        <x:v>Not centrally verified</x:v>
      </x:c>
      <x:c r="AC43" s="49" t="str">
        <x:v>Not centrally verified</x:v>
      </x:c>
      <x:c r="AD43" s="49" t="str">
        <x:v>Not centrally verified</x:v>
      </x:c>
      <x:c r="AE43" s="49" t="str">
        <x:v>Not available in a standardized official source</x:v>
      </x:c>
      <x:c r="AF43" s="49" t="str">
        <x:v>Not included: no official standardized source; cutoff-derived proxy excluded</x:v>
      </x:c>
      <x:c r="AG43" s="49" t="str">
        <x:v>https://dse2025.mahacet.org.in/dse25/admin/allotment/cap2/2146_4.pdf</x:v>
      </x:c>
      <x:c r="AH43" s="49" t="str">
        <x:v>https://fe2025.mahacet.org/StaticPages/frmInstituteSummary.aspx?InstituteCode=02146</x:v>
      </x:c>
      <x:c r="AI43" s="49"/>
      <x:c r="AJ43" s="49" t="str"/>
      <x:c r="AK43" s="69" t="n">
        <x:f>IF(W43&lt;&gt;"",50,IF(X43="101-150",45,IF(X43="151-200",40,IF(X43="201-300",35,0))))+IF(H43="Autonomous",20,0)+IF(OR(G43="Government",G43="Government-Aided",G43="University Department",G43="University",G43="University Autonomous"),15,0)+MIN(K43,10)+IF(AA43&lt;&gt;"",3,0)+IF(U43&lt;&gt;"",2,0)</x:f>
        <x:v>7</x:v>
      </x:c>
      <x:c r="AL43" s="49" t="str">
        <x:f>IF(AK43&gt;=70,"Official/high-evidence reference",IF(AK43&gt;=40,"Planning reference","Broader option"))</x:f>
        <x:v>Broader option</x:v>
      </x:c>
    </x:row>
    <x:row r="44">
      <x:c r="A44" s="63" t="n">
        <x:v>2250</x:v>
      </x:c>
      <x:c r="B44" s="49" t="str">
        <x:v>Aurangabad College of Engineering, Naygaon Savangi, Aurangabad</x:v>
      </x:c>
      <x:c r="C44" s="49" t="str">
        <x:v>Maharashtra</x:v>
      </x:c>
      <x:c r="D44" s="49" t="str">
        <x:v>Aurangabad</x:v>
      </x:c>
      <x:c r="E44" s="49" t="str">
        <x:v>Chhatrapati Sambhajinagar</x:v>
      </x:c>
      <x:c r="F44" s="49" t="str">
        <x:v>GatT No 52, TUljapur Shivar, Naygoan Savangi, Aurangabad</x:v>
      </x:c>
      <x:c r="G44" s="49" t="str">
        <x:v>Un-Aided</x:v>
      </x:c>
      <x:c r="H44" s="49" t="str">
        <x:v>Non-Autonomous</x:v>
      </x:c>
      <x:c r="I44" s="49" t="str">
        <x:v>Non-Minority</x:v>
      </x:c>
      <x:c r="J44" s="49" t="str">
        <x:v>Dr. Babasaheb Ambedkar Technological University,Lonere</x:v>
      </x:c>
      <x:c r="K44" s="49" t="n">
        <x:v>5</x:v>
      </x:c>
      <x:c r="L44" s="49" t="n">
        <x:v>160</x:v>
      </x:c>
      <x:c r="M44" s="49" t="n">
        <x:v>141</x:v>
      </x:c>
      <x:c r="N44" s="49" t="n">
        <x:v>19</x:v>
      </x:c>
      <x:c r="O44" s="49"/>
      <x:c r="P44" s="49"/>
      <x:c r="Q44" s="49" t="str">
        <x:v>Parsed from official 2025-26 PDF</x:v>
      </x:c>
      <x:c r="R44" s="49" t="str">
        <x:v>2024-25</x:v>
      </x:c>
      <x:c r="S44" s="64" t="n">
        <x:v>61539</x:v>
      </x:c>
      <x:c r="T44" s="64" t="n">
        <x:v>6461</x:v>
      </x:c>
      <x:c r="U44" s="64" t="n">
        <x:v>68000</x:v>
      </x:c>
      <x:c r="V44" s="49" t="str">
        <x:v>Normal FRA-approved annual tuition + development fee; not seat-type-specific</x:v>
      </x:c>
      <x:c r="W44" s="49"/>
      <x:c r="X44" s="49"/>
      <x:c r="Y44" s="68"/>
      <x:c r="Z44" s="49"/>
      <x:c r="AA44" s="49"/>
      <x:c r="AB44" s="49" t="str">
        <x:v>Not centrally verified</x:v>
      </x:c>
      <x:c r="AC44" s="49" t="str">
        <x:v>Not centrally verified</x:v>
      </x:c>
      <x:c r="AD44" s="49" t="str">
        <x:v>Not centrally verified</x:v>
      </x:c>
      <x:c r="AE44" s="49" t="str">
        <x:v>Not available in a standardized official source</x:v>
      </x:c>
      <x:c r="AF44" s="49" t="str">
        <x:v>Not included: no official standardized source; cutoff-derived proxy excluded</x:v>
      </x:c>
      <x:c r="AG44" s="49" t="str">
        <x:v>https://dse2025.mahacet.org.in/dse25/admin/allotment/cap2/2250_4.pdf</x:v>
      </x:c>
      <x:c r="AH44" s="49" t="str">
        <x:v>https://fe2025.mahacet.org/StaticPages/frmInstituteSummary.aspx?InstituteCode=02250</x:v>
      </x:c>
      <x:c r="AI44" s="49"/>
      <x:c r="AJ44" s="49" t="str"/>
      <x:c r="AK44" s="69" t="n">
        <x:f>IF(W44&lt;&gt;"",50,IF(X44="101-150",45,IF(X44="151-200",40,IF(X44="201-300",35,0))))+IF(H44="Autonomous",20,0)+IF(OR(G44="Government",G44="Government-Aided",G44="University Department",G44="University",G44="University Autonomous"),15,0)+MIN(K44,10)+IF(AA44&lt;&gt;"",3,0)+IF(U44&lt;&gt;"",2,0)</x:f>
        <x:v>7</x:v>
      </x:c>
      <x:c r="AL44" s="49" t="str">
        <x:f>IF(AK44&gt;=70,"Official/high-evidence reference",IF(AK44&gt;=40,"Planning reference","Broader option"))</x:f>
        <x:v>Broader option</x:v>
      </x:c>
    </x:row>
    <x:row r="45">
      <x:c r="A45" s="63" t="n">
        <x:v>2252</x:v>
      </x:c>
      <x:c r="B45" s="49" t="str">
        <x:v>Marathwada Shikshan Prasarak Mandal's Shri Shivaji Institute of Engineering and Management Studies, Parbhani</x:v>
      </x:c>
      <x:c r="C45" s="49" t="str">
        <x:v>Maharashtra</x:v>
      </x:c>
      <x:c r="D45" s="49" t="str">
        <x:v>Aurangabad</x:v>
      </x:c>
      <x:c r="E45" s="49" t="str">
        <x:v>Parbhani</x:v>
      </x:c>
      <x:c r="F45" s="49" t="str">
        <x:v>Vasmat Road,Parbhani</x:v>
      </x:c>
      <x:c r="G45" s="49" t="str">
        <x:v>Un-Aided</x:v>
      </x:c>
      <x:c r="H45" s="49" t="str">
        <x:v>Non-Autonomous</x:v>
      </x:c>
      <x:c r="I45" s="49" t="str">
        <x:v>Non-Minority</x:v>
      </x:c>
      <x:c r="J45" s="49" t="str">
        <x:v>Dr. Babasaheb Ambedkar Technological University,Lonere</x:v>
      </x:c>
      <x:c r="K45" s="49" t="n">
        <x:v>4</x:v>
      </x:c>
      <x:c r="L45" s="49" t="n">
        <x:v>92</x:v>
      </x:c>
      <x:c r="M45" s="49" t="n">
        <x:v>79</x:v>
      </x:c>
      <x:c r="N45" s="49" t="n">
        <x:v>13</x:v>
      </x:c>
      <x:c r="O45" s="49"/>
      <x:c r="P45" s="49"/>
      <x:c r="Q45" s="49" t="str">
        <x:v>Parsed from official 2025-26 PDF</x:v>
      </x:c>
      <x:c r="R45" s="49" t="str">
        <x:v>2024-25</x:v>
      </x:c>
      <x:c r="S45" s="64" t="n">
        <x:v>35455</x:v>
      </x:c>
      <x:c r="T45" s="64" t="n">
        <x:v>3545</x:v>
      </x:c>
      <x:c r="U45" s="64" t="n">
        <x:v>39000</x:v>
      </x:c>
      <x:c r="V45" s="49" t="str">
        <x:v>Normal FRA-approved annual tuition + development fee; not seat-type-specific</x:v>
      </x:c>
      <x:c r="W45" s="49"/>
      <x:c r="X45" s="49"/>
      <x:c r="Y45" s="68"/>
      <x:c r="Z45" s="49"/>
      <x:c r="AA45" s="49"/>
      <x:c r="AB45" s="49" t="str">
        <x:v>Not centrally verified</x:v>
      </x:c>
      <x:c r="AC45" s="49" t="str">
        <x:v>Not centrally verified</x:v>
      </x:c>
      <x:c r="AD45" s="49" t="str">
        <x:v>Not centrally verified</x:v>
      </x:c>
      <x:c r="AE45" s="49" t="str">
        <x:v>Not available in a standardized official source</x:v>
      </x:c>
      <x:c r="AF45" s="49" t="str">
        <x:v>Not included: no official standardized source; cutoff-derived proxy excluded</x:v>
      </x:c>
      <x:c r="AG45" s="49" t="str">
        <x:v>https://dse2025.mahacet.org.in/dse25/admin/allotment/cap2/2252_4.pdf</x:v>
      </x:c>
      <x:c r="AH45" s="49" t="str">
        <x:v>https://fe2025.mahacet.org/StaticPages/frmInstituteSummary.aspx?InstituteCode=02252</x:v>
      </x:c>
      <x:c r="AI45" s="49"/>
      <x:c r="AJ45" s="49" t="str"/>
      <x:c r="AK45" s="69" t="n">
        <x:f>IF(W45&lt;&gt;"",50,IF(X45="101-150",45,IF(X45="151-200",40,IF(X45="201-300",35,0))))+IF(H45="Autonomous",20,0)+IF(OR(G45="Government",G45="Government-Aided",G45="University Department",G45="University",G45="University Autonomous"),15,0)+MIN(K45,10)+IF(AA45&lt;&gt;"",3,0)+IF(U45&lt;&gt;"",2,0)</x:f>
        <x:v>6</x:v>
      </x:c>
      <x:c r="AL45" s="49" t="str">
        <x:f>IF(AK45&gt;=70,"Official/high-evidence reference",IF(AK45&gt;=40,"Planning reference","Broader option"))</x:f>
        <x:v>Broader option</x:v>
      </x:c>
    </x:row>
    <x:row r="46">
      <x:c r="A46" s="63" t="n">
        <x:v>2254</x:v>
      </x:c>
      <x:c r="B46" s="49" t="str">
        <x:v>Vilasrao Deshmukh Foundation Group of Institutions, Latur</x:v>
      </x:c>
      <x:c r="C46" s="49" t="str">
        <x:v>Maharashtra</x:v>
      </x:c>
      <x:c r="D46" s="49" t="str">
        <x:v>Aurangabad</x:v>
      </x:c>
      <x:c r="E46" s="49" t="str">
        <x:v>Latur</x:v>
      </x:c>
      <x:c r="F46" s="49" t="str">
        <x:v>Additional MIDC Area, Plot 165A, Near to Manjara Sugar, Latur</x:v>
      </x:c>
      <x:c r="G46" s="49" t="str">
        <x:v>Un-Aided</x:v>
      </x:c>
      <x:c r="H46" s="49" t="str">
        <x:v>Non-Autonomous</x:v>
      </x:c>
      <x:c r="I46" s="49" t="str">
        <x:v>Non-Minority</x:v>
      </x:c>
      <x:c r="J46" s="49" t="str">
        <x:v>Dr. Babasaheb Ambedkar Technological University,Lonere</x:v>
      </x:c>
      <x:c r="K46" s="49" t="n">
        <x:v>6</x:v>
      </x:c>
      <x:c r="L46" s="49" t="n">
        <x:v>247</x:v>
      </x:c>
      <x:c r="M46" s="49" t="n">
        <x:v>226</x:v>
      </x:c>
      <x:c r="N46" s="49" t="n">
        <x:v>21</x:v>
      </x:c>
      <x:c r="O46" s="49"/>
      <x:c r="P46" s="49"/>
      <x:c r="Q46" s="49" t="str">
        <x:v>Parsed from official 2025-26 PDF</x:v>
      </x:c>
      <x:c r="R46" s="49" t="str">
        <x:v>2024-25</x:v>
      </x:c>
      <x:c r="S46" s="64" t="n">
        <x:v>48241</x:v>
      </x:c>
      <x:c r="T46" s="64" t="n">
        <x:v>5259</x:v>
      </x:c>
      <x:c r="U46" s="64" t="n">
        <x:v>53500</x:v>
      </x:c>
      <x:c r="V46" s="49" t="str">
        <x:v>Normal FRA-approved annual tuition + development fee; not seat-type-specific</x:v>
      </x:c>
      <x:c r="W46" s="49"/>
      <x:c r="X46" s="49"/>
      <x:c r="Y46" s="68"/>
      <x:c r="Z46" s="49"/>
      <x:c r="AA46" s="49"/>
      <x:c r="AB46" s="49" t="str">
        <x:v>Not centrally verified</x:v>
      </x:c>
      <x:c r="AC46" s="49" t="str">
        <x:v>Not centrally verified</x:v>
      </x:c>
      <x:c r="AD46" s="49" t="str">
        <x:v>Not centrally verified</x:v>
      </x:c>
      <x:c r="AE46" s="49" t="str">
        <x:v>Not available in a standardized official source</x:v>
      </x:c>
      <x:c r="AF46" s="49" t="str">
        <x:v>Not included: no official standardized source; cutoff-derived proxy excluded</x:v>
      </x:c>
      <x:c r="AG46" s="49" t="str">
        <x:v>https://dse2025.mahacet.org.in/dse25/admin/allotment/cap2/2254_4.pdf</x:v>
      </x:c>
      <x:c r="AH46" s="49" t="str">
        <x:v>https://fe2025.mahacet.org/StaticPages/frmInstituteSummary.aspx?InstituteCode=02254</x:v>
      </x:c>
      <x:c r="AI46" s="49"/>
      <x:c r="AJ46" s="49" t="str"/>
      <x:c r="AK46" s="69" t="n">
        <x:f>IF(W46&lt;&gt;"",50,IF(X46="101-150",45,IF(X46="151-200",40,IF(X46="201-300",35,0))))+IF(H46="Autonomous",20,0)+IF(OR(G46="Government",G46="Government-Aided",G46="University Department",G46="University",G46="University Autonomous"),15,0)+MIN(K46,10)+IF(AA46&lt;&gt;"",3,0)+IF(U46&lt;&gt;"",2,0)</x:f>
        <x:v>8</x:v>
      </x:c>
      <x:c r="AL46" s="49" t="str">
        <x:f>IF(AK46&gt;=70,"Official/high-evidence reference",IF(AK46&gt;=40,"Planning reference","Broader option"))</x:f>
        <x:v>Broader option</x:v>
      </x:c>
    </x:row>
    <x:row r="47">
      <x:c r="A47" s="63" t="n">
        <x:v>2282</x:v>
      </x:c>
      <x:c r="B47" s="49" t="str">
        <x:v>Mitthulalji Sarada Institute Of Technology, Nalwandi Road, Beed</x:v>
      </x:c>
      <x:c r="C47" s="49" t="str">
        <x:v>Maharashtra</x:v>
      </x:c>
      <x:c r="D47" s="49" t="str">
        <x:v>Aurangabad</x:v>
      </x:c>
      <x:c r="E47" s="49" t="str">
        <x:v>Beed</x:v>
      </x:c>
      <x:c r="F47" s="49" t="str">
        <x:v>Sr. No. 123, Bahirwadi, Nalwandi Road, Beed</x:v>
      </x:c>
      <x:c r="G47" s="49" t="str">
        <x:v>Un-Aided</x:v>
      </x:c>
      <x:c r="H47" s="49" t="str">
        <x:v>Non-Autonomous</x:v>
      </x:c>
      <x:c r="I47" s="49" t="str">
        <x:v>Non-Minority</x:v>
      </x:c>
      <x:c r="J47" s="49" t="str">
        <x:v>Dr. Babasaheb Ambedkar Technological University,Lonere</x:v>
      </x:c>
      <x:c r="K47" s="49" t="n">
        <x:v>6</x:v>
      </x:c>
      <x:c r="L47" s="49" t="n">
        <x:v>325</x:v>
      </x:c>
      <x:c r="M47" s="49" t="n">
        <x:v>297</x:v>
      </x:c>
      <x:c r="N47" s="49" t="n">
        <x:v>28</x:v>
      </x:c>
      <x:c r="O47" s="49"/>
      <x:c r="P47" s="49"/>
      <x:c r="Q47" s="49" t="str">
        <x:v>Parsed from official 2025-26 PDF</x:v>
      </x:c>
      <x:c r="R47" s="49"/>
      <x:c r="S47" s="64"/>
      <x:c r="T47" s="64"/>
      <x:c r="U47" s="64"/>
      <x:c r="V47" s="49" t="str">
        <x:v>No verified FRA match</x:v>
      </x:c>
      <x:c r="W47" s="49"/>
      <x:c r="X47" s="49"/>
      <x:c r="Y47" s="68"/>
      <x:c r="Z47" s="49"/>
      <x:c r="AA47" s="49"/>
      <x:c r="AB47" s="49" t="str">
        <x:v>Not centrally verified</x:v>
      </x:c>
      <x:c r="AC47" s="49" t="str">
        <x:v>Not centrally verified</x:v>
      </x:c>
      <x:c r="AD47" s="49" t="str">
        <x:v>Not centrally verified</x:v>
      </x:c>
      <x:c r="AE47" s="49" t="str">
        <x:v>Not available in a standardized official source</x:v>
      </x:c>
      <x:c r="AF47" s="49" t="str">
        <x:v>Not included: no official standardized source; cutoff-derived proxy excluded</x:v>
      </x:c>
      <x:c r="AG47" s="49" t="str">
        <x:v>https://dse2025.mahacet.org.in/dse25/admin/allotment/cap2/2282_4.pdf</x:v>
      </x:c>
      <x:c r="AH47" s="49" t="str">
        <x:v>https://fe2025.mahacet.org/StaticPages/frmInstituteSummary.aspx?InstituteCode=02282</x:v>
      </x:c>
      <x:c r="AI47" s="49"/>
      <x:c r="AJ47" s="49" t="str"/>
      <x:c r="AK47" s="69" t="n">
        <x:f>IF(W47&lt;&gt;"",50,IF(X47="101-150",45,IF(X47="151-200",40,IF(X47="201-300",35,0))))+IF(H47="Autonomous",20,0)+IF(OR(G47="Government",G47="Government-Aided",G47="University Department",G47="University",G47="University Autonomous"),15,0)+MIN(K47,10)+IF(AA47&lt;&gt;"",3,0)+IF(U47&lt;&gt;"",2,0)</x:f>
        <x:v>6</x:v>
      </x:c>
      <x:c r="AL47" s="49" t="str">
        <x:f>IF(AK47&gt;=70,"Official/high-evidence reference",IF(AK47&gt;=40,"Planning reference","Broader option"))</x:f>
        <x:v>Broader option</x:v>
      </x:c>
    </x:row>
    <x:row r="48">
      <x:c r="A48" s="63" t="n">
        <x:v>2508</x:v>
      </x:c>
      <x:c r="B48" s="49" t="str">
        <x:v>GRAMIN TECHNICAL AND MANAGEMENT CAMPUS NANDED.</x:v>
      </x:c>
      <x:c r="C48" s="49" t="str">
        <x:v>Maharashtra</x:v>
      </x:c>
      <x:c r="D48" s="49" t="str">
        <x:v>Aurangabad</x:v>
      </x:c>
      <x:c r="E48" s="49" t="str">
        <x:v>Nanded</x:v>
      </x:c>
      <x:c r="F48" s="49" t="str">
        <x:v>Vishnupuri,Naiknagar, Nanded , 431606</x:v>
      </x:c>
      <x:c r="G48" s="49" t="str">
        <x:v>Un-Aided</x:v>
      </x:c>
      <x:c r="H48" s="49" t="str">
        <x:v>Non-Autonomous</x:v>
      </x:c>
      <x:c r="I48" s="49" t="str">
        <x:v>Non-Minority</x:v>
      </x:c>
      <x:c r="J48" s="49" t="str">
        <x:v>Dr. Babasaheb Ambedkar Technological University,Lonere</x:v>
      </x:c>
      <x:c r="K48" s="49" t="n">
        <x:v>10</x:v>
      </x:c>
      <x:c r="L48" s="49" t="n">
        <x:v>464</x:v>
      </x:c>
      <x:c r="M48" s="49" t="n">
        <x:v>416</x:v>
      </x:c>
      <x:c r="N48" s="49" t="n">
        <x:v>48</x:v>
      </x:c>
      <x:c r="O48" s="49"/>
      <x:c r="P48" s="49"/>
      <x:c r="Q48" s="49" t="str">
        <x:v>Parsed from official 2025-26 PDF</x:v>
      </x:c>
      <x:c r="R48" s="49"/>
      <x:c r="S48" s="64"/>
      <x:c r="T48" s="64"/>
      <x:c r="U48" s="64"/>
      <x:c r="V48" s="49" t="str">
        <x:v>No verified FRA match</x:v>
      </x:c>
      <x:c r="W48" s="49"/>
      <x:c r="X48" s="49"/>
      <x:c r="Y48" s="68"/>
      <x:c r="Z48" s="49"/>
      <x:c r="AA48" s="49"/>
      <x:c r="AB48" s="49" t="str">
        <x:v>Not centrally verified</x:v>
      </x:c>
      <x:c r="AC48" s="49" t="str">
        <x:v>Not centrally verified</x:v>
      </x:c>
      <x:c r="AD48" s="49" t="str">
        <x:v>Not centrally verified</x:v>
      </x:c>
      <x:c r="AE48" s="49" t="str">
        <x:v>Not available in a standardized official source</x:v>
      </x:c>
      <x:c r="AF48" s="49" t="str">
        <x:v>Not included: no official standardized source; cutoff-derived proxy excluded</x:v>
      </x:c>
      <x:c r="AG48" s="49" t="str">
        <x:v>https://dse2025.mahacet.org.in/dse25/admin/allotment/cap2/2508_4.pdf</x:v>
      </x:c>
      <x:c r="AH48" s="49" t="str">
        <x:v>https://fe2025.mahacet.org/StaticPages/frmInstituteSummary.aspx?InstituteCode=02508</x:v>
      </x:c>
      <x:c r="AI48" s="49"/>
      <x:c r="AJ48" s="49" t="str"/>
      <x:c r="AK48" s="69" t="n">
        <x:f>IF(W48&lt;&gt;"",50,IF(X48="101-150",45,IF(X48="151-200",40,IF(X48="201-300",35,0))))+IF(H48="Autonomous",20,0)+IF(OR(G48="Government",G48="Government-Aided",G48="University Department",G48="University",G48="University Autonomous"),15,0)+MIN(K48,10)+IF(AA48&lt;&gt;"",3,0)+IF(U48&lt;&gt;"",2,0)</x:f>
        <x:v>10</x:v>
      </x:c>
      <x:c r="AL48" s="49" t="str">
        <x:f>IF(AK48&gt;=70,"Official/high-evidence reference",IF(AK48&gt;=40,"Planning reference","Broader option"))</x:f>
        <x:v>Broader option</x:v>
      </x:c>
    </x:row>
    <x:row r="49">
      <x:c r="A49" s="63" t="n">
        <x:v>2516</x:v>
      </x:c>
      <x:c r="B49" s="49" t="str">
        <x:v>International Centre Of Excellence In Engineering and Management (ICEEM)</x:v>
      </x:c>
      <x:c r="C49" s="49" t="str">
        <x:v>Maharashtra</x:v>
      </x:c>
      <x:c r="D49" s="49" t="str">
        <x:v>Aurangabad</x:v>
      </x:c>
      <x:c r="E49" s="49" t="str">
        <x:v>Chhatrapati Sambhajinagar</x:v>
      </x:c>
      <x:c r="F49" s="49" t="str">
        <x:v>Gut No.4,Opp.Bajaj Auto ltd. Infront of MIDC filtration plant,Aurangabad-Pune High way</x:v>
      </x:c>
      <x:c r="G49" s="49" t="str">
        <x:v>Un-Aided</x:v>
      </x:c>
      <x:c r="H49" s="49" t="str">
        <x:v>Non-Autonomous</x:v>
      </x:c>
      <x:c r="I49" s="49" t="str">
        <x:v>Non-Minority</x:v>
      </x:c>
      <x:c r="J49" s="49" t="str">
        <x:v>Dr. Babasaheb Ambedkar Marathwada University</x:v>
      </x:c>
      <x:c r="K49" s="49" t="n">
        <x:v>5</x:v>
      </x:c>
      <x:c r="L49" s="49" t="n">
        <x:v>171</x:v>
      </x:c>
      <x:c r="M49" s="49" t="n">
        <x:v>145</x:v>
      </x:c>
      <x:c r="N49" s="49" t="n">
        <x:v>26</x:v>
      </x:c>
      <x:c r="O49" s="49"/>
      <x:c r="P49" s="49"/>
      <x:c r="Q49" s="49" t="str">
        <x:v>Parsed from official 2025-26 PDF</x:v>
      </x:c>
      <x:c r="R49" s="49" t="str">
        <x:v>2024-25</x:v>
      </x:c>
      <x:c r="S49" s="64" t="n">
        <x:v>46429</x:v>
      </x:c>
      <x:c r="T49" s="64" t="n">
        <x:v>5571</x:v>
      </x:c>
      <x:c r="U49" s="64" t="n">
        <x:v>52000</x:v>
      </x:c>
      <x:c r="V49" s="49" t="str">
        <x:v>Normal FRA-approved annual tuition + development fee; not seat-type-specific</x:v>
      </x:c>
      <x:c r="W49" s="49"/>
      <x:c r="X49" s="49"/>
      <x:c r="Y49" s="68"/>
      <x:c r="Z49" s="49"/>
      <x:c r="AA49" s="49"/>
      <x:c r="AB49" s="49" t="str">
        <x:v>Not centrally verified</x:v>
      </x:c>
      <x:c r="AC49" s="49" t="str">
        <x:v>Not centrally verified</x:v>
      </x:c>
      <x:c r="AD49" s="49" t="str">
        <x:v>Not centrally verified</x:v>
      </x:c>
      <x:c r="AE49" s="49" t="str">
        <x:v>Not available in a standardized official source</x:v>
      </x:c>
      <x:c r="AF49" s="49" t="str">
        <x:v>Not included: no official standardized source; cutoff-derived proxy excluded</x:v>
      </x:c>
      <x:c r="AG49" s="49" t="str">
        <x:v>https://dse2025.mahacet.org.in/dse25/admin/allotment/cap2/2516_4.pdf</x:v>
      </x:c>
      <x:c r="AH49" s="49" t="str">
        <x:v>https://fe2025.mahacet.org/StaticPages/frmInstituteSummary.aspx?InstituteCode=02516</x:v>
      </x:c>
      <x:c r="AI49" s="49"/>
      <x:c r="AJ49" s="49" t="str"/>
      <x:c r="AK49" s="69" t="n">
        <x:f>IF(W49&lt;&gt;"",50,IF(X49="101-150",45,IF(X49="151-200",40,IF(X49="201-300",35,0))))+IF(H49="Autonomous",20,0)+IF(OR(G49="Government",G49="Government-Aided",G49="University Department",G49="University",G49="University Autonomous"),15,0)+MIN(K49,10)+IF(AA49&lt;&gt;"",3,0)+IF(U49&lt;&gt;"",2,0)</x:f>
        <x:v>7</x:v>
      </x:c>
      <x:c r="AL49" s="49" t="str">
        <x:f>IF(AK49&gt;=70,"Official/high-evidence reference",IF(AK49&gt;=40,"Planning reference","Broader option"))</x:f>
        <x:v>Broader option</x:v>
      </x:c>
    </x:row>
    <x:row r="50">
      <x:c r="A50" s="63" t="n">
        <x:v>2522</x:v>
      </x:c>
      <x:c r="B50" s="49" t="str">
        <x:v>STMEI's Sandipani Technical Campus-Faculty of Engineering, Latur.</x:v>
      </x:c>
      <x:c r="C50" s="49" t="str">
        <x:v>Maharashtra</x:v>
      </x:c>
      <x:c r="D50" s="49" t="str">
        <x:v>Aurangabad</x:v>
      </x:c>
      <x:c r="E50" s="49" t="str">
        <x:v>Latur</x:v>
      </x:c>
      <x:c r="F50" s="49" t="str">
        <x:v>Gat No. 23, Kolpa Tq &amp; Dist. Latur</x:v>
      </x:c>
      <x:c r="G50" s="49" t="str">
        <x:v>Un-Aided</x:v>
      </x:c>
      <x:c r="H50" s="49" t="str">
        <x:v>Non-Autonomous</x:v>
      </x:c>
      <x:c r="I50" s="49" t="str">
        <x:v>Non-Minority</x:v>
      </x:c>
      <x:c r="J50" s="49" t="str">
        <x:v>Dr. Babasaheb Ambedkar Technological University,Lonere</x:v>
      </x:c>
      <x:c r="K50" s="49" t="n">
        <x:v>5</x:v>
      </x:c>
      <x:c r="L50" s="49" t="n">
        <x:v>268</x:v>
      </x:c>
      <x:c r="M50" s="49" t="n">
        <x:v>246</x:v>
      </x:c>
      <x:c r="N50" s="49" t="n">
        <x:v>22</x:v>
      </x:c>
      <x:c r="O50" s="49"/>
      <x:c r="P50" s="49"/>
      <x:c r="Q50" s="49" t="str">
        <x:v>Parsed from official 2025-26 PDF</x:v>
      </x:c>
      <x:c r="R50" s="49" t="str">
        <x:v>2024-25</x:v>
      </x:c>
      <x:c r="S50" s="64" t="n">
        <x:v>79372</x:v>
      </x:c>
      <x:c r="T50" s="64" t="n">
        <x:v>9128</x:v>
      </x:c>
      <x:c r="U50" s="64" t="n">
        <x:v>88500</x:v>
      </x:c>
      <x:c r="V50" s="49" t="str">
        <x:v>Normal FRA-approved annual tuition + development fee; not seat-type-specific</x:v>
      </x:c>
      <x:c r="W50" s="49"/>
      <x:c r="X50" s="49"/>
      <x:c r="Y50" s="68"/>
      <x:c r="Z50" s="49"/>
      <x:c r="AA50" s="49"/>
      <x:c r="AB50" s="49" t="str">
        <x:v>Not centrally verified</x:v>
      </x:c>
      <x:c r="AC50" s="49" t="str">
        <x:v>Not centrally verified</x:v>
      </x:c>
      <x:c r="AD50" s="49" t="str">
        <x:v>Not centrally verified</x:v>
      </x:c>
      <x:c r="AE50" s="49" t="str">
        <x:v>Not available in a standardized official source</x:v>
      </x:c>
      <x:c r="AF50" s="49" t="str">
        <x:v>Not included: no official standardized source; cutoff-derived proxy excluded</x:v>
      </x:c>
      <x:c r="AG50" s="49" t="str">
        <x:v>https://dse2025.mahacet.org.in/dse25/admin/allotment/cap2/2522_4.pdf</x:v>
      </x:c>
      <x:c r="AH50" s="49" t="str">
        <x:v>https://fe2025.mahacet.org/StaticPages/frmInstituteSummary.aspx?InstituteCode=02522</x:v>
      </x:c>
      <x:c r="AI50" s="49"/>
      <x:c r="AJ50" s="49" t="str"/>
      <x:c r="AK50" s="69" t="n">
        <x:f>IF(W50&lt;&gt;"",50,IF(X50="101-150",45,IF(X50="151-200",40,IF(X50="201-300",35,0))))+IF(H50="Autonomous",20,0)+IF(OR(G50="Government",G50="Government-Aided",G50="University Department",G50="University",G50="University Autonomous"),15,0)+MIN(K50,10)+IF(AA50&lt;&gt;"",3,0)+IF(U50&lt;&gt;"",2,0)</x:f>
        <x:v>7</x:v>
      </x:c>
      <x:c r="AL50" s="49" t="str">
        <x:f>IF(AK50&gt;=70,"Official/high-evidence reference",IF(AK50&gt;=40,"Planning reference","Broader option"))</x:f>
        <x:v>Broader option</x:v>
      </x:c>
    </x:row>
    <x:row r="51">
      <x:c r="A51" s="63" t="n">
        <x:v>2533</x:v>
      </x:c>
      <x:c r="B51" s="49" t="str">
        <x:v>CSMSS Chh. Shahu College of Engineering, Aurangabad</x:v>
      </x:c>
      <x:c r="C51" s="49" t="str">
        <x:v>Maharashtra</x:v>
      </x:c>
      <x:c r="D51" s="49" t="str">
        <x:v>Aurangabad</x:v>
      </x:c>
      <x:c r="E51" s="49" t="str">
        <x:v>Chhatrapati Sambhajinagar</x:v>
      </x:c>
      <x:c r="F51" s="49" t="str">
        <x:v>Kanchanwadi, Paithan Road, Aurangabad.</x:v>
      </x:c>
      <x:c r="G51" s="49" t="str">
        <x:v>Un-Aided</x:v>
      </x:c>
      <x:c r="H51" s="49" t="str">
        <x:v>Non-Autonomous</x:v>
      </x:c>
      <x:c r="I51" s="49" t="str">
        <x:v>Non-Minority</x:v>
      </x:c>
      <x:c r="J51" s="49" t="str">
        <x:v>Dr. Babasaheb Ambedkar Technological University,Lonere</x:v>
      </x:c>
      <x:c r="K51" s="49" t="n">
        <x:v>8</x:v>
      </x:c>
      <x:c r="L51" s="49" t="n">
        <x:v>182</x:v>
      </x:c>
      <x:c r="M51" s="49" t="n">
        <x:v>153</x:v>
      </x:c>
      <x:c r="N51" s="49" t="n">
        <x:v>29</x:v>
      </x:c>
      <x:c r="O51" s="49"/>
      <x:c r="P51" s="49"/>
      <x:c r="Q51" s="49" t="str">
        <x:v>Parsed from official 2025-26 PDF</x:v>
      </x:c>
      <x:c r="R51" s="49" t="str">
        <x:v>2024-25</x:v>
      </x:c>
      <x:c r="S51" s="64" t="n">
        <x:v>81448</x:v>
      </x:c>
      <x:c r="T51" s="64" t="n">
        <x:v>8552</x:v>
      </x:c>
      <x:c r="U51" s="64" t="n">
        <x:v>90000</x:v>
      </x:c>
      <x:c r="V51" s="49" t="str">
        <x:v>Normal FRA-approved annual tuition + development fee; not seat-type-specific</x:v>
      </x:c>
      <x:c r="W51" s="49"/>
      <x:c r="X51" s="49"/>
      <x:c r="Y51" s="68"/>
      <x:c r="Z51" s="49"/>
      <x:c r="AA51" s="49"/>
      <x:c r="AB51" s="49" t="str">
        <x:v>Not centrally verified</x:v>
      </x:c>
      <x:c r="AC51" s="49" t="str">
        <x:v>Not centrally verified</x:v>
      </x:c>
      <x:c r="AD51" s="49" t="str">
        <x:v>Not centrally verified</x:v>
      </x:c>
      <x:c r="AE51" s="49" t="str">
        <x:v>Not available in a standardized official source</x:v>
      </x:c>
      <x:c r="AF51" s="49" t="str">
        <x:v>Not included: no official standardized source; cutoff-derived proxy excluded</x:v>
      </x:c>
      <x:c r="AG51" s="49" t="str">
        <x:v>https://dse2025.mahacet.org.in/dse25/admin/allotment/cap2/2533_4.pdf</x:v>
      </x:c>
      <x:c r="AH51" s="49" t="str">
        <x:v>https://fe2025.mahacet.org/StaticPages/frmInstituteSummary.aspx?InstituteCode=02533</x:v>
      </x:c>
      <x:c r="AI51" s="49"/>
      <x:c r="AJ51" s="49" t="str"/>
      <x:c r="AK51" s="69" t="n">
        <x:f>IF(W51&lt;&gt;"",50,IF(X51="101-150",45,IF(X51="151-200",40,IF(X51="201-300",35,0))))+IF(H51="Autonomous",20,0)+IF(OR(G51="Government",G51="Government-Aided",G51="University Department",G51="University",G51="University Autonomous"),15,0)+MIN(K51,10)+IF(AA51&lt;&gt;"",3,0)+IF(U51&lt;&gt;"",2,0)</x:f>
        <x:v>10</x:v>
      </x:c>
      <x:c r="AL51" s="49" t="str">
        <x:f>IF(AK51&gt;=70,"Official/high-evidence reference",IF(AK51&gt;=40,"Planning reference","Broader option"))</x:f>
        <x:v>Broader option</x:v>
      </x:c>
    </x:row>
    <x:row r="52">
      <x:c r="A52" s="63" t="n">
        <x:v>2637</x:v>
      </x:c>
      <x:c r="B52" s="49" t="str">
        <x:v>Jijau Institute of Engineering Technology and Management, Khandgaon (Bendri), Taluka Naigaon, District Nanded</x:v>
      </x:c>
      <x:c r="C52" s="49" t="str">
        <x:v>Maharashtra</x:v>
      </x:c>
      <x:c r="D52" s="49" t="str">
        <x:v>Aurangabad</x:v>
      </x:c>
      <x:c r="E52" s="49" t="str">
        <x:v>Nanded</x:v>
      </x:c>
      <x:c r="F52" s="49" t="str">
        <x:v>Khandgaon (Bendri), Taluka Naigaon, District Nanded</x:v>
      </x:c>
      <x:c r="G52" s="49" t="str">
        <x:v>Un-Aided</x:v>
      </x:c>
      <x:c r="H52" s="49" t="str">
        <x:v>Non-Autonomous</x:v>
      </x:c>
      <x:c r="I52" s="49" t="str">
        <x:v>Non-Minority</x:v>
      </x:c>
      <x:c r="J52" s="49" t="str">
        <x:v>Dr. Babasaheb Ambedkar Technological University,Lonere</x:v>
      </x:c>
      <x:c r="K52" s="49" t="n">
        <x:v>5</x:v>
      </x:c>
      <x:c r="L52" s="49" t="n">
        <x:v>394</x:v>
      </x:c>
      <x:c r="M52" s="49" t="n">
        <x:v>356</x:v>
      </x:c>
      <x:c r="N52" s="49" t="n">
        <x:v>38</x:v>
      </x:c>
      <x:c r="O52" s="49"/>
      <x:c r="P52" s="49"/>
      <x:c r="Q52" s="49" t="str">
        <x:v>Parsed from official 2025-26 PDF</x:v>
      </x:c>
      <x:c r="R52" s="49"/>
      <x:c r="S52" s="64"/>
      <x:c r="T52" s="64"/>
      <x:c r="U52" s="64"/>
      <x:c r="V52" s="49" t="str">
        <x:v>No verified FRA match</x:v>
      </x:c>
      <x:c r="W52" s="49"/>
      <x:c r="X52" s="49"/>
      <x:c r="Y52" s="68"/>
      <x:c r="Z52" s="49"/>
      <x:c r="AA52" s="49"/>
      <x:c r="AB52" s="49" t="str">
        <x:v>Not centrally verified</x:v>
      </x:c>
      <x:c r="AC52" s="49" t="str">
        <x:v>Not centrally verified</x:v>
      </x:c>
      <x:c r="AD52" s="49" t="str">
        <x:v>Not centrally verified</x:v>
      </x:c>
      <x:c r="AE52" s="49" t="str">
        <x:v>Not available in a standardized official source</x:v>
      </x:c>
      <x:c r="AF52" s="49" t="str">
        <x:v>Not included: no official standardized source; cutoff-derived proxy excluded</x:v>
      </x:c>
      <x:c r="AG52" s="49" t="str">
        <x:v>https://dse2025.mahacet.org.in/dse25/admin/allotment/cap2/2637_4.pdf</x:v>
      </x:c>
      <x:c r="AH52" s="49" t="str">
        <x:v>https://fe2025.mahacet.org/StaticPages/frmInstituteSummary.aspx?InstituteCode=02637</x:v>
      </x:c>
      <x:c r="AI52" s="49"/>
      <x:c r="AJ52" s="49" t="str"/>
      <x:c r="AK52" s="69" t="n">
        <x:f>IF(W52&lt;&gt;"",50,IF(X52="101-150",45,IF(X52="151-200",40,IF(X52="201-300",35,0))))+IF(H52="Autonomous",20,0)+IF(OR(G52="Government",G52="Government-Aided",G52="University Department",G52="University",G52="University Autonomous"),15,0)+MIN(K52,10)+IF(AA52&lt;&gt;"",3,0)+IF(U52&lt;&gt;"",2,0)</x:f>
        <x:v>5</x:v>
      </x:c>
      <x:c r="AL52" s="49" t="str">
        <x:f>IF(AK52&gt;=70,"Official/high-evidence reference",IF(AK52&gt;=40,"Planning reference","Broader option"))</x:f>
        <x:v>Broader option</x:v>
      </x:c>
    </x:row>
    <x:row r="53">
      <x:c r="A53" s="63" t="n">
        <x:v>2641</x:v>
      </x:c>
      <x:c r="B53" s="49" t="str">
        <x:v>Dr. V.K. Patil College of Engineering &amp; Technology</x:v>
      </x:c>
      <x:c r="C53" s="49" t="str">
        <x:v>Maharashtra</x:v>
      </x:c>
      <x:c r="D53" s="49" t="str">
        <x:v>Aurangabad</x:v>
      </x:c>
      <x:c r="E53" s="49" t="str">
        <x:v>Dharashiv</x:v>
      </x:c>
      <x:c r="F53" s="49" t="str">
        <x:v>N. H. - 52, Aurangabad Road, Gadpati, Osmanabad</x:v>
      </x:c>
      <x:c r="G53" s="49" t="str">
        <x:v>Un-Aided</x:v>
      </x:c>
      <x:c r="H53" s="49" t="str">
        <x:v>Non-Autonomous</x:v>
      </x:c>
      <x:c r="I53" s="49" t="str">
        <x:v>Non-Minority</x:v>
      </x:c>
      <x:c r="J53" s="49" t="str">
        <x:v>Dr. Babasaheb Ambedkar Technological University,Lonere</x:v>
      </x:c>
      <x:c r="K53" s="49" t="n">
        <x:v>5</x:v>
      </x:c>
      <x:c r="L53" s="49" t="n">
        <x:v>246</x:v>
      </x:c>
      <x:c r="M53" s="49" t="n">
        <x:v>227</x:v>
      </x:c>
      <x:c r="N53" s="49" t="n">
        <x:v>19</x:v>
      </x:c>
      <x:c r="O53" s="49"/>
      <x:c r="P53" s="49"/>
      <x:c r="Q53" s="49" t="str">
        <x:v>Parsed from official 2025-26 PDF</x:v>
      </x:c>
      <x:c r="R53" s="49"/>
      <x:c r="S53" s="64"/>
      <x:c r="T53" s="64"/>
      <x:c r="U53" s="64"/>
      <x:c r="V53" s="49" t="str">
        <x:v>No verified FRA match</x:v>
      </x:c>
      <x:c r="W53" s="49"/>
      <x:c r="X53" s="49"/>
      <x:c r="Y53" s="68"/>
      <x:c r="Z53" s="49"/>
      <x:c r="AA53" s="49"/>
      <x:c r="AB53" s="49" t="str">
        <x:v>Not centrally verified</x:v>
      </x:c>
      <x:c r="AC53" s="49" t="str">
        <x:v>Not centrally verified</x:v>
      </x:c>
      <x:c r="AD53" s="49" t="str">
        <x:v>Not centrally verified</x:v>
      </x:c>
      <x:c r="AE53" s="49" t="str">
        <x:v>Not available in a standardized official source</x:v>
      </x:c>
      <x:c r="AF53" s="49" t="str">
        <x:v>Not included: no official standardized source; cutoff-derived proxy excluded</x:v>
      </x:c>
      <x:c r="AG53" s="49" t="str">
        <x:v>https://dse2025.mahacet.org.in/dse25/admin/allotment/cap2/2641_4.pdf</x:v>
      </x:c>
      <x:c r="AH53" s="49" t="str">
        <x:v>https://fe2025.mahacet.org/StaticPages/frmInstituteSummary.aspx?InstituteCode=02641</x:v>
      </x:c>
      <x:c r="AI53" s="49"/>
      <x:c r="AJ53" s="49" t="str"/>
      <x:c r="AK53" s="69" t="n">
        <x:f>IF(W53&lt;&gt;"",50,IF(X53="101-150",45,IF(X53="151-200",40,IF(X53="201-300",35,0))))+IF(H53="Autonomous",20,0)+IF(OR(G53="Government",G53="Government-Aided",G53="University Department",G53="University",G53="University Autonomous"),15,0)+MIN(K53,10)+IF(AA53&lt;&gt;"",3,0)+IF(U53&lt;&gt;"",2,0)</x:f>
        <x:v>5</x:v>
      </x:c>
      <x:c r="AL53" s="49" t="str">
        <x:f>IF(AK53&gt;=70,"Official/high-evidence reference",IF(AK53&gt;=40,"Planning reference","Broader option"))</x:f>
        <x:v>Broader option</x:v>
      </x:c>
    </x:row>
    <x:row r="54">
      <x:c r="A54" s="63" t="n">
        <x:v>2666</x:v>
      </x:c>
      <x:c r="B54" s="49" t="str">
        <x:v>Mangaldeep College of Engineering</x:v>
      </x:c>
      <x:c r="C54" s="49" t="str">
        <x:v>Maharashtra</x:v>
      </x:c>
      <x:c r="D54" s="49" t="str">
        <x:v>Aurangabad</x:v>
      </x:c>
      <x:c r="E54" s="49" t="str">
        <x:v>Chhatrapati Sambhajinagar</x:v>
      </x:c>
      <x:c r="F54" s="49" t="str">
        <x:v>Gut No. 229, Beed Road, Nipani, Chh.Sambhaji Nagar</x:v>
      </x:c>
      <x:c r="G54" s="49" t="str">
        <x:v>Un-Aided</x:v>
      </x:c>
      <x:c r="H54" s="49" t="str">
        <x:v>Non-Autonomous</x:v>
      </x:c>
      <x:c r="I54" s="49" t="str">
        <x:v>Non-Minority</x:v>
      </x:c>
      <x:c r="J54" s="49" t="str">
        <x:v>Dr. Babasaheb Ambedkar Marathwada University</x:v>
      </x:c>
      <x:c r="K54" s="49" t="n">
        <x:v>4</x:v>
      </x:c>
      <x:c r="L54" s="49" t="n">
        <x:v>316</x:v>
      </x:c>
      <x:c r="M54" s="49" t="n">
        <x:v>284</x:v>
      </x:c>
      <x:c r="N54" s="49" t="n">
        <x:v>32</x:v>
      </x:c>
      <x:c r="O54" s="49"/>
      <x:c r="P54" s="49"/>
      <x:c r="Q54" s="49" t="str">
        <x:v>Parsed from official 2025-26 PDF</x:v>
      </x:c>
      <x:c r="R54" s="49"/>
      <x:c r="S54" s="64"/>
      <x:c r="T54" s="64"/>
      <x:c r="U54" s="64"/>
      <x:c r="V54" s="49" t="str">
        <x:v>No verified FRA match</x:v>
      </x:c>
      <x:c r="W54" s="49"/>
      <x:c r="X54" s="49"/>
      <x:c r="Y54" s="68"/>
      <x:c r="Z54" s="49"/>
      <x:c r="AA54" s="49"/>
      <x:c r="AB54" s="49" t="str">
        <x:v>Not centrally verified</x:v>
      </x:c>
      <x:c r="AC54" s="49" t="str">
        <x:v>Not centrally verified</x:v>
      </x:c>
      <x:c r="AD54" s="49" t="str">
        <x:v>Not centrally verified</x:v>
      </x:c>
      <x:c r="AE54" s="49" t="str">
        <x:v>Not available in a standardized official source</x:v>
      </x:c>
      <x:c r="AF54" s="49" t="str">
        <x:v>Not included: no official standardized source; cutoff-derived proxy excluded</x:v>
      </x:c>
      <x:c r="AG54" s="49" t="str">
        <x:v>https://dse2025.mahacet.org.in/dse25/admin/allotment/cap2/2666_4.pdf</x:v>
      </x:c>
      <x:c r="AH54" s="49" t="str">
        <x:v>https://fe2025.mahacet.org/StaticPages/frmInstituteSummary.aspx?InstituteCode=02666</x:v>
      </x:c>
      <x:c r="AI54" s="49"/>
      <x:c r="AJ54" s="49" t="str"/>
      <x:c r="AK54" s="69" t="n">
        <x:f>IF(W54&lt;&gt;"",50,IF(X54="101-150",45,IF(X54="151-200",40,IF(X54="201-300",35,0))))+IF(H54="Autonomous",20,0)+IF(OR(G54="Government",G54="Government-Aided",G54="University Department",G54="University",G54="University Autonomous"),15,0)+MIN(K54,10)+IF(AA54&lt;&gt;"",3,0)+IF(U54&lt;&gt;"",2,0)</x:f>
        <x:v>4</x:v>
      </x:c>
      <x:c r="AL54" s="49" t="str">
        <x:f>IF(AK54&gt;=70,"Official/high-evidence reference",IF(AK54&gt;=40,"Planning reference","Broader option"))</x:f>
        <x:v>Broader option</x:v>
      </x:c>
    </x:row>
    <x:row r="55">
      <x:c r="A55" s="63" t="n">
        <x:v>2758</x:v>
      </x:c>
      <x:c r="B55" s="49" t="str">
        <x:v>Sant Eknath College of Engineering</x:v>
      </x:c>
      <x:c r="C55" s="49" t="str">
        <x:v>Maharashtra</x:v>
      </x:c>
      <x:c r="D55" s="49" t="str">
        <x:v>Aurangabad</x:v>
      </x:c>
      <x:c r="E55" s="49" t="str">
        <x:v>Chhatrapati Sambhajinagar</x:v>
      </x:c>
      <x:c r="F55" s="49" t="str">
        <x:v>Nipani-Bhalgaon, Beed Highway Road, Bhalgaon, Chh. Sambhaji Nagar</x:v>
      </x:c>
      <x:c r="G55" s="49" t="str">
        <x:v>Un-Aided</x:v>
      </x:c>
      <x:c r="H55" s="49" t="str">
        <x:v>Non-Autonomous</x:v>
      </x:c>
      <x:c r="I55" s="49" t="str">
        <x:v>Non-Minority</x:v>
      </x:c>
      <x:c r="J55" s="49" t="str">
        <x:v>Dr. Babasaheb Ambedkar Technological University,Lonere</x:v>
      </x:c>
      <x:c r="K55" s="49" t="n">
        <x:v>4</x:v>
      </x:c>
      <x:c r="L55" s="49" t="n">
        <x:v>351</x:v>
      </x:c>
      <x:c r="M55" s="49" t="n">
        <x:v>316</x:v>
      </x:c>
      <x:c r="N55" s="49" t="n">
        <x:v>35</x:v>
      </x:c>
      <x:c r="O55" s="49"/>
      <x:c r="P55" s="49"/>
      <x:c r="Q55" s="49" t="str">
        <x:v>Parsed from official 2025-26 PDF</x:v>
      </x:c>
      <x:c r="R55" s="49"/>
      <x:c r="S55" s="64"/>
      <x:c r="T55" s="64"/>
      <x:c r="U55" s="64"/>
      <x:c r="V55" s="49" t="str">
        <x:v>No verified FRA match</x:v>
      </x:c>
      <x:c r="W55" s="49"/>
      <x:c r="X55" s="49"/>
      <x:c r="Y55" s="68"/>
      <x:c r="Z55" s="49"/>
      <x:c r="AA55" s="49"/>
      <x:c r="AB55" s="49" t="str">
        <x:v>Not centrally verified</x:v>
      </x:c>
      <x:c r="AC55" s="49" t="str">
        <x:v>Not centrally verified</x:v>
      </x:c>
      <x:c r="AD55" s="49" t="str">
        <x:v>Not centrally verified</x:v>
      </x:c>
      <x:c r="AE55" s="49" t="str">
        <x:v>Not available in a standardized official source</x:v>
      </x:c>
      <x:c r="AF55" s="49" t="str">
        <x:v>Not included: no official standardized source; cutoff-derived proxy excluded</x:v>
      </x:c>
      <x:c r="AG55" s="49" t="str">
        <x:v>https://dse2025.mahacet.org.in/dse25/admin/allotment/cap2/2758_4.pdf</x:v>
      </x:c>
      <x:c r="AH55" s="49" t="str">
        <x:v>https://fe2025.mahacet.org/StaticPages/frmInstituteSummary.aspx?InstituteCode=02758</x:v>
      </x:c>
      <x:c r="AI55" s="49"/>
      <x:c r="AJ55" s="49" t="str"/>
      <x:c r="AK55" s="69" t="n">
        <x:f>IF(W55&lt;&gt;"",50,IF(X55="101-150",45,IF(X55="151-200",40,IF(X55="201-300",35,0))))+IF(H55="Autonomous",20,0)+IF(OR(G55="Government",G55="Government-Aided",G55="University Department",G55="University",G55="University Autonomous"),15,0)+MIN(K55,10)+IF(AA55&lt;&gt;"",3,0)+IF(U55&lt;&gt;"",2,0)</x:f>
        <x:v>4</x:v>
      </x:c>
      <x:c r="AL55" s="49" t="str">
        <x:f>IF(AK55&gt;=70,"Official/high-evidence reference",IF(AK55&gt;=40,"Planning reference","Broader option"))</x:f>
        <x:v>Broader option</x:v>
      </x:c>
    </x:row>
    <x:row r="56">
      <x:c r="A56" s="63" t="n">
        <x:v>3012</x:v>
      </x:c>
      <x:c r="B56" s="49" t="str">
        <x:v>Veermata Jijabai Technological Institute(VJTI), Matunga, Mumbai</x:v>
      </x:c>
      <x:c r="C56" s="49" t="str">
        <x:v>Maharashtra</x:v>
      </x:c>
      <x:c r="D56" s="49" t="str">
        <x:v>Mumbai</x:v>
      </x:c>
      <x:c r="E56" s="49" t="str">
        <x:v>Mumbai City</x:v>
      </x:c>
      <x:c r="F56" s="49" t="str">
        <x:v>H.R. Mahajani Marg, Matunga, Mumbai</x:v>
      </x:c>
      <x:c r="G56" s="49" t="str">
        <x:v>Government-Aided</x:v>
      </x:c>
      <x:c r="H56" s="49" t="str">
        <x:v>Autonomous</x:v>
      </x:c>
      <x:c r="I56" s="49" t="str">
        <x:v>Non-Minority</x:v>
      </x:c>
      <x:c r="J56" s="49" t="str">
        <x:v>Mumbai University</x:v>
      </x:c>
      <x:c r="K56" s="49" t="n">
        <x:v>9</x:v>
      </x:c>
      <x:c r="L56" s="49" t="n">
        <x:v>81</x:v>
      </x:c>
      <x:c r="M56" s="49" t="n">
        <x:v>67</x:v>
      </x:c>
      <x:c r="N56" s="49" t="n">
        <x:v>14</x:v>
      </x:c>
      <x:c r="O56" s="49"/>
      <x:c r="P56" s="49"/>
      <x:c r="Q56" s="49" t="str">
        <x:v>Parsed from official 2025-26 PDF</x:v>
      </x:c>
      <x:c r="R56" s="49"/>
      <x:c r="S56" s="64"/>
      <x:c r="T56" s="64"/>
      <x:c r="U56" s="64"/>
      <x:c r="V56" s="49" t="str">
        <x:v>No verified FRA match</x:v>
      </x:c>
      <x:c r="W56" s="49"/>
      <x:c r="X56" s="49" t="str">
        <x:v>101-150</x:v>
      </x:c>
      <x:c r="Y56" s="68"/>
      <x:c r="Z56" s="49" t="str">
        <x:v>Veermata Jijabai Technological Institute</x:v>
      </x:c>
      <x:c r="AA56" s="49" t="str">
        <x:v>https://vjti.ac.in/</x:v>
      </x:c>
      <x:c r="AB56" s="49" t="str">
        <x:v>Verified official domain</x:v>
      </x:c>
      <x:c r="AC56" s="49" t="str">
        <x:v>Not centrally verified</x:v>
      </x:c>
      <x:c r="AD56" s="49" t="str">
        <x:v>Not centrally verified</x:v>
      </x:c>
      <x:c r="AE56" s="49" t="str">
        <x:v>Not available in a standardized official source</x:v>
      </x:c>
      <x:c r="AF56" s="49" t="str">
        <x:v>Not included: no official standardized source; cutoff-derived proxy excluded</x:v>
      </x:c>
      <x:c r="AG56" s="49" t="str">
        <x:v>https://dse2025.mahacet.org.in/dse25/admin/allotment/cap2/3012_4.pdf</x:v>
      </x:c>
      <x:c r="AH56" s="49" t="str">
        <x:v>https://fe2025.mahacet.org/StaticPages/frmInstituteSummary.aspx?InstituteCode=03012</x:v>
      </x:c>
      <x:c r="AI56" s="49" t="str">
        <x:v>https://www.nirfindia.org/Rankings/2025/EngineeringRanking150.html</x:v>
      </x:c>
      <x:c r="AJ56" s="49" t="str"/>
      <x:c r="AK56" s="69" t="n">
        <x:f>IF(W56&lt;&gt;"",50,IF(X56="101-150",45,IF(X56="151-200",40,IF(X56="201-300",35,0))))+IF(H56="Autonomous",20,0)+IF(OR(G56="Government",G56="Government-Aided",G56="University Department",G56="University",G56="University Autonomous"),15,0)+MIN(K56,10)+IF(AA56&lt;&gt;"",3,0)+IF(U56&lt;&gt;"",2,0)</x:f>
        <x:v>92</x:v>
      </x:c>
      <x:c r="AL56" s="49" t="str">
        <x:f>IF(AK56&gt;=70,"Official/high-evidence reference",IF(AK56&gt;=40,"Planning reference","Broader option"))</x:f>
        <x:v>Official/high-evidence reference</x:v>
      </x:c>
    </x:row>
    <x:row r="57">
      <x:c r="A57" s="63" t="n">
        <x:v>3014</x:v>
      </x:c>
      <x:c r="B57" s="49" t="str">
        <x:v>Sardar Patel College of Engineering, Andheri</x:v>
      </x:c>
      <x:c r="C57" s="49" t="str">
        <x:v>Maharashtra</x:v>
      </x:c>
      <x:c r="D57" s="49" t="str">
        <x:v>Mumbai</x:v>
      </x:c>
      <x:c r="E57" s="49" t="str">
        <x:v>Mumbai Suburban</x:v>
      </x:c>
      <x:c r="F57" s="49" t="str">
        <x:v>Munshi Nagar, Andheri (West), Mumbai - Suburban ,Mumbai</x:v>
      </x:c>
      <x:c r="G57" s="49" t="str">
        <x:v>Government-Aided</x:v>
      </x:c>
      <x:c r="H57" s="49" t="str">
        <x:v>Autonomous</x:v>
      </x:c>
      <x:c r="I57" s="49" t="str">
        <x:v>Non-Minority</x:v>
      </x:c>
      <x:c r="J57" s="49" t="str">
        <x:v>Mumbai University</x:v>
      </x:c>
      <x:c r="K57" s="49" t="n">
        <x:v>3</x:v>
      </x:c>
      <x:c r="L57" s="49" t="n">
        <x:v>31</x:v>
      </x:c>
      <x:c r="M57" s="49" t="n">
        <x:v>23</x:v>
      </x:c>
      <x:c r="N57" s="49" t="n">
        <x:v>8</x:v>
      </x:c>
      <x:c r="O57" s="49"/>
      <x:c r="P57" s="49"/>
      <x:c r="Q57" s="49" t="str">
        <x:v>Parsed from official 2025-26 PDF</x:v>
      </x:c>
      <x:c r="R57" s="49"/>
      <x:c r="S57" s="64"/>
      <x:c r="T57" s="64"/>
      <x:c r="U57" s="64"/>
      <x:c r="V57" s="49" t="str">
        <x:v>No verified FRA match</x:v>
      </x:c>
      <x:c r="W57" s="49"/>
      <x:c r="X57" s="49"/>
      <x:c r="Y57" s="68"/>
      <x:c r="Z57" s="49"/>
      <x:c r="AA57" s="49" t="str">
        <x:v>https://www.spce.ac.in/</x:v>
      </x:c>
      <x:c r="AB57" s="49" t="str">
        <x:v>Verified official domain</x:v>
      </x:c>
      <x:c r="AC57" s="49" t="str">
        <x:v>Not centrally verified</x:v>
      </x:c>
      <x:c r="AD57" s="49" t="str">
        <x:v>Not centrally verified</x:v>
      </x:c>
      <x:c r="AE57" s="49" t="str">
        <x:v>Not available in a standardized official source</x:v>
      </x:c>
      <x:c r="AF57" s="49" t="str">
        <x:v>Not included: no official standardized source; cutoff-derived proxy excluded</x:v>
      </x:c>
      <x:c r="AG57" s="49" t="str">
        <x:v>https://dse2025.mahacet.org.in/dse25/admin/allotment/cap2/3014_4.pdf</x:v>
      </x:c>
      <x:c r="AH57" s="49" t="str">
        <x:v>https://fe2025.mahacet.org/StaticPages/frmInstituteSummary.aspx?InstituteCode=03014</x:v>
      </x:c>
      <x:c r="AI57" s="49"/>
      <x:c r="AJ57" s="49" t="str"/>
      <x:c r="AK57" s="69" t="n">
        <x:f>IF(W57&lt;&gt;"",50,IF(X57="101-150",45,IF(X57="151-200",40,IF(X57="201-300",35,0))))+IF(H57="Autonomous",20,0)+IF(OR(G57="Government",G57="Government-Aided",G57="University Department",G57="University",G57="University Autonomous"),15,0)+MIN(K57,10)+IF(AA57&lt;&gt;"",3,0)+IF(U57&lt;&gt;"",2,0)</x:f>
        <x:v>41</x:v>
      </x:c>
      <x:c r="AL57" s="49" t="str">
        <x:f>IF(AK57&gt;=70,"Official/high-evidence reference",IF(AK57&gt;=40,"Planning reference","Broader option"))</x:f>
        <x:v>Planning reference</x:v>
      </x:c>
    </x:row>
    <x:row r="58">
      <x:c r="A58" s="63" t="n">
        <x:v>3025</x:v>
      </x:c>
      <x:c r="B58" s="49" t="str">
        <x:v>Svkm's Shri Bhagubhai Mafatlal Polytechnic &amp; College of Engineering</x:v>
      </x:c>
      <x:c r="C58" s="49" t="str">
        <x:v>Maharashtra</x:v>
      </x:c>
      <x:c r="D58" s="49" t="str">
        <x:v>Mumbai</x:v>
      </x:c>
      <x:c r="E58" s="49" t="str">
        <x:v>Mumbai City</x:v>
      </x:c>
      <x:c r="F58" s="49" t="str">
        <x:v>N.R.G. Gadkari Marg, Mumbai , 400056</x:v>
      </x:c>
      <x:c r="G58" s="49" t="str">
        <x:v>Government-Aided</x:v>
      </x:c>
      <x:c r="H58" s="49" t="str">
        <x:v>Non-Autonomous</x:v>
      </x:c>
      <x:c r="I58" s="49" t="str">
        <x:v>Linguistic Minority - Gujarathi</x:v>
      </x:c>
      <x:c r="J58" s="49" t="str">
        <x:v>Dr. Babasaheb Ambedkar Technological University,Lonere</x:v>
      </x:c>
      <x:c r="K58" s="49" t="n">
        <x:v>4</x:v>
      </x:c>
      <x:c r="L58" s="49" t="n">
        <x:v>27</x:v>
      </x:c>
      <x:c r="M58" s="49" t="n">
        <x:v>10</x:v>
      </x:c>
      <x:c r="N58" s="49"/>
      <x:c r="O58" s="49" t="n">
        <x:v>17</x:v>
      </x:c>
      <x:c r="P58" s="49"/>
      <x:c r="Q58" s="49" t="str">
        <x:v>Parsed from official 2025-26 PDF</x:v>
      </x:c>
      <x:c r="R58" s="49"/>
      <x:c r="S58" s="64"/>
      <x:c r="T58" s="64"/>
      <x:c r="U58" s="64"/>
      <x:c r="V58" s="49" t="str">
        <x:v>No verified FRA match</x:v>
      </x:c>
      <x:c r="W58" s="49"/>
      <x:c r="X58" s="49"/>
      <x:c r="Y58" s="68"/>
      <x:c r="Z58" s="49"/>
      <x:c r="AA58" s="49"/>
      <x:c r="AB58" s="49" t="str">
        <x:v>Not centrally verified</x:v>
      </x:c>
      <x:c r="AC58" s="49" t="str">
        <x:v>Not centrally verified</x:v>
      </x:c>
      <x:c r="AD58" s="49" t="str">
        <x:v>Not centrally verified</x:v>
      </x:c>
      <x:c r="AE58" s="49" t="str">
        <x:v>Not available in a standardized official source</x:v>
      </x:c>
      <x:c r="AF58" s="49" t="str">
        <x:v>Not included: no official standardized source; cutoff-derived proxy excluded</x:v>
      </x:c>
      <x:c r="AG58" s="49" t="str">
        <x:v>https://dse2025.mahacet.org.in/dse25/admin/allotment/cap2/3025_4.pdf</x:v>
      </x:c>
      <x:c r="AH58" s="49" t="str">
        <x:v>https://fe2025.mahacet.org/StaticPages/frmInstituteSummary.aspx?InstituteCode=03025</x:v>
      </x:c>
      <x:c r="AI58" s="49"/>
      <x:c r="AJ58" s="49" t="str"/>
      <x:c r="AK58" s="69" t="n">
        <x:f>IF(W58&lt;&gt;"",50,IF(X58="101-150",45,IF(X58="151-200",40,IF(X58="201-300",35,0))))+IF(H58="Autonomous",20,0)+IF(OR(G58="Government",G58="Government-Aided",G58="University Department",G58="University",G58="University Autonomous"),15,0)+MIN(K58,10)+IF(AA58&lt;&gt;"",3,0)+IF(U58&lt;&gt;"",2,0)</x:f>
        <x:v>19</x:v>
      </x:c>
      <x:c r="AL58" s="49" t="str">
        <x:f>IF(AK58&gt;=70,"Official/high-evidence reference",IF(AK58&gt;=40,"Planning reference","Broader option"))</x:f>
        <x:v>Broader option</x:v>
      </x:c>
    </x:row>
    <x:row r="59">
      <x:c r="A59" s="63" t="n">
        <x:v>3033</x:v>
      </x:c>
      <x:c r="B59" s="49" t="str">
        <x:v>Dr. Babasaheb Ambedkar Technological University, Lonere</x:v>
      </x:c>
      <x:c r="C59" s="49" t="str">
        <x:v>Maharashtra</x:v>
      </x:c>
      <x:c r="D59" s="49" t="str">
        <x:v>Mumbai</x:v>
      </x:c>
      <x:c r="E59" s="49" t="str">
        <x:v>Raigad</x:v>
      </x:c>
      <x:c r="F59" s="49" t="str">
        <x:v>Vidyavihar, P.O. Lonere, Ta-Mangaon Dist. Raigad</x:v>
      </x:c>
      <x:c r="G59" s="49" t="str">
        <x:v>University</x:v>
      </x:c>
      <x:c r="H59" s="49" t="str">
        <x:v>Non-Autonomous</x:v>
      </x:c>
      <x:c r="I59" s="49" t="str">
        <x:v>Non-Minority</x:v>
      </x:c>
      <x:c r="J59" s="49" t="str">
        <x:v>Dr. Babasaheb Ambedkar Technological University,Lonere</x:v>
      </x:c>
      <x:c r="K59" s="49" t="n">
        <x:v>11</x:v>
      </x:c>
      <x:c r="L59" s="49" t="n">
        <x:v>156</x:v>
      </x:c>
      <x:c r="M59" s="49" t="n">
        <x:v>126</x:v>
      </x:c>
      <x:c r="N59" s="49" t="n">
        <x:v>30</x:v>
      </x:c>
      <x:c r="O59" s="49"/>
      <x:c r="P59" s="49"/>
      <x:c r="Q59" s="49" t="str">
        <x:v>Parsed from official 2025-26 PDF</x:v>
      </x:c>
      <x:c r="R59" s="49"/>
      <x:c r="S59" s="64"/>
      <x:c r="T59" s="64"/>
      <x:c r="U59" s="64"/>
      <x:c r="V59" s="49" t="str">
        <x:v>No verified FRA match</x:v>
      </x:c>
      <x:c r="W59" s="49"/>
      <x:c r="X59" s="49"/>
      <x:c r="Y59" s="68"/>
      <x:c r="Z59" s="49"/>
      <x:c r="AA59" s="49"/>
      <x:c r="AB59" s="49" t="str">
        <x:v>Not centrally verified</x:v>
      </x:c>
      <x:c r="AC59" s="49" t="str">
        <x:v>Not centrally verified</x:v>
      </x:c>
      <x:c r="AD59" s="49" t="str">
        <x:v>Not centrally verified</x:v>
      </x:c>
      <x:c r="AE59" s="49" t="str">
        <x:v>Not available in a standardized official source</x:v>
      </x:c>
      <x:c r="AF59" s="49" t="str">
        <x:v>Not included: no official standardized source; cutoff-derived proxy excluded</x:v>
      </x:c>
      <x:c r="AG59" s="49" t="str">
        <x:v>https://dse2025.mahacet.org.in/dse25/admin/allotment/cap2/3033_4.pdf</x:v>
      </x:c>
      <x:c r="AH59" s="49" t="str">
        <x:v>https://fe2025.mahacet.org/StaticPages/frmInstituteSummary.aspx?InstituteCode=03033</x:v>
      </x:c>
      <x:c r="AI59" s="49"/>
      <x:c r="AJ59" s="49" t="str"/>
      <x:c r="AK59" s="69" t="n">
        <x:f>IF(W59&lt;&gt;"",50,IF(X59="101-150",45,IF(X59="151-200",40,IF(X59="201-300",35,0))))+IF(H59="Autonomous",20,0)+IF(OR(G59="Government",G59="Government-Aided",G59="University Department",G59="University",G59="University Autonomous"),15,0)+MIN(K59,10)+IF(AA59&lt;&gt;"",3,0)+IF(U59&lt;&gt;"",2,0)</x:f>
        <x:v>25</x:v>
      </x:c>
      <x:c r="AL59" s="49" t="str">
        <x:f>IF(AK59&gt;=70,"Official/high-evidence reference",IF(AK59&gt;=40,"Planning reference","Broader option"))</x:f>
        <x:v>Broader option</x:v>
      </x:c>
    </x:row>
    <x:row r="60">
      <x:c r="A60" s="63" t="n">
        <x:v>3042</x:v>
      </x:c>
      <x:c r="B60" s="49" t="str">
        <x:v>Loknete Shamrao Peje Government College of Engineering, Ratnagiri</x:v>
      </x:c>
      <x:c r="C60" s="49" t="str">
        <x:v>Maharashtra</x:v>
      </x:c>
      <x:c r="D60" s="49" t="str">
        <x:v>Mumbai</x:v>
      </x:c>
      <x:c r="E60" s="49" t="str">
        <x:v>Ratnagiri</x:v>
      </x:c>
      <x:c r="F60" s="49" t="str">
        <x:v>Government Polytechnic Campus, Near Thiba Palace, Ratnagiri</x:v>
      </x:c>
      <x:c r="G60" s="49" t="str">
        <x:v>Government</x:v>
      </x:c>
      <x:c r="H60" s="49" t="str">
        <x:v>Non-Autonomous</x:v>
      </x:c>
      <x:c r="I60" s="49" t="str">
        <x:v>Non-Minority</x:v>
      </x:c>
      <x:c r="J60" s="49" t="str">
        <x:v>Dr. Babasaheb Ambedkar Technological University,Lonere</x:v>
      </x:c>
      <x:c r="K60" s="49" t="n">
        <x:v>5</x:v>
      </x:c>
      <x:c r="L60" s="49" t="n">
        <x:v>197</x:v>
      </x:c>
      <x:c r="M60" s="49" t="n">
        <x:v>172</x:v>
      </x:c>
      <x:c r="N60" s="49" t="n">
        <x:v>25</x:v>
      </x:c>
      <x:c r="O60" s="49"/>
      <x:c r="P60" s="49"/>
      <x:c r="Q60" s="49" t="str">
        <x:v>Parsed from official 2025-26 PDF</x:v>
      </x:c>
      <x:c r="R60" s="49"/>
      <x:c r="S60" s="64"/>
      <x:c r="T60" s="64"/>
      <x:c r="U60" s="64"/>
      <x:c r="V60" s="49" t="str">
        <x:v>No verified FRA match</x:v>
      </x:c>
      <x:c r="W60" s="49"/>
      <x:c r="X60" s="49"/>
      <x:c r="Y60" s="68"/>
      <x:c r="Z60" s="49"/>
      <x:c r="AA60" s="49"/>
      <x:c r="AB60" s="49" t="str">
        <x:v>Not centrally verified</x:v>
      </x:c>
      <x:c r="AC60" s="49" t="str">
        <x:v>Not centrally verified</x:v>
      </x:c>
      <x:c r="AD60" s="49" t="str">
        <x:v>Not centrally verified</x:v>
      </x:c>
      <x:c r="AE60" s="49" t="str">
        <x:v>Not available in a standardized official source</x:v>
      </x:c>
      <x:c r="AF60" s="49" t="str">
        <x:v>Not included: no official standardized source; cutoff-derived proxy excluded</x:v>
      </x:c>
      <x:c r="AG60" s="49" t="str">
        <x:v>https://dse2025.mahacet.org.in/dse25/admin/allotment/cap2/3042_4.pdf</x:v>
      </x:c>
      <x:c r="AH60" s="49" t="str">
        <x:v>https://fe2025.mahacet.org/StaticPages/frmInstituteSummary.aspx?InstituteCode=03042</x:v>
      </x:c>
      <x:c r="AI60" s="49"/>
      <x:c r="AJ60" s="49" t="str"/>
      <x:c r="AK60" s="69" t="n">
        <x:f>IF(W60&lt;&gt;"",50,IF(X60="101-150",45,IF(X60="151-200",40,IF(X60="201-300",35,0))))+IF(H60="Autonomous",20,0)+IF(OR(G60="Government",G60="Government-Aided",G60="University Department",G60="University",G60="University Autonomous"),15,0)+MIN(K60,10)+IF(AA60&lt;&gt;"",3,0)+IF(U60&lt;&gt;"",2,0)</x:f>
        <x:v>20</x:v>
      </x:c>
      <x:c r="AL60" s="49" t="str">
        <x:f>IF(AK60&gt;=70,"Official/high-evidence reference",IF(AK60&gt;=40,"Planning reference","Broader option"))</x:f>
        <x:v>Broader option</x:v>
      </x:c>
    </x:row>
    <x:row r="61">
      <x:c r="A61" s="63" t="n">
        <x:v>3135</x:v>
      </x:c>
      <x:c r="B61" s="49" t="str">
        <x:v>Manjara Charitable Trust's Rajiv Gandhi Institute of Technology, Mumbai</x:v>
      </x:c>
      <x:c r="C61" s="49" t="str">
        <x:v>Maharashtra</x:v>
      </x:c>
      <x:c r="D61" s="49" t="str">
        <x:v>Mumbai</x:v>
      </x:c>
      <x:c r="E61" s="49" t="str">
        <x:v>Mumbai Suburban</x:v>
      </x:c>
      <x:c r="F61" s="49" t="str">
        <x:v>Off. Juhu Versova Link Road, Versova, Andheri(W) Mumbai</x:v>
      </x:c>
      <x:c r="G61" s="49" t="str">
        <x:v>Un-Aided</x:v>
      </x:c>
      <x:c r="H61" s="49" t="str">
        <x:v>Non-Autonomous</x:v>
      </x:c>
      <x:c r="I61" s="49" t="str">
        <x:v>Non-Minority</x:v>
      </x:c>
      <x:c r="J61" s="49" t="str">
        <x:v>Mumbai University</x:v>
      </x:c>
      <x:c r="K61" s="49" t="n">
        <x:v>5</x:v>
      </x:c>
      <x:c r="L61" s="49" t="n">
        <x:v>92</x:v>
      </x:c>
      <x:c r="M61" s="49" t="n">
        <x:v>69</x:v>
      </x:c>
      <x:c r="N61" s="49" t="n">
        <x:v>23</x:v>
      </x:c>
      <x:c r="O61" s="49"/>
      <x:c r="P61" s="49"/>
      <x:c r="Q61" s="49" t="str">
        <x:v>Parsed from official 2025-26 PDF</x:v>
      </x:c>
      <x:c r="R61" s="49" t="str">
        <x:v>2024-25</x:v>
      </x:c>
      <x:c r="S61" s="64" t="n">
        <x:v>106060</x:v>
      </x:c>
      <x:c r="T61" s="64" t="n">
        <x:v>12940</x:v>
      </x:c>
      <x:c r="U61" s="64" t="n">
        <x:v>119000</x:v>
      </x:c>
      <x:c r="V61" s="49" t="str">
        <x:v>Normal FRA-approved annual tuition + development fee; not seat-type-specific</x:v>
      </x:c>
      <x:c r="W61" s="49"/>
      <x:c r="X61" s="49"/>
      <x:c r="Y61" s="68"/>
      <x:c r="Z61" s="49"/>
      <x:c r="AA61" s="49"/>
      <x:c r="AB61" s="49" t="str">
        <x:v>Not centrally verified</x:v>
      </x:c>
      <x:c r="AC61" s="49" t="str">
        <x:v>Not centrally verified</x:v>
      </x:c>
      <x:c r="AD61" s="49" t="str">
        <x:v>Not centrally verified</x:v>
      </x:c>
      <x:c r="AE61" s="49" t="str">
        <x:v>Not available in a standardized official source</x:v>
      </x:c>
      <x:c r="AF61" s="49" t="str">
        <x:v>Not included: no official standardized source; cutoff-derived proxy excluded</x:v>
      </x:c>
      <x:c r="AG61" s="49" t="str">
        <x:v>https://dse2025.mahacet.org.in/dse25/admin/allotment/cap2/3135_4.pdf</x:v>
      </x:c>
      <x:c r="AH61" s="49" t="str">
        <x:v>https://fe2025.mahacet.org/StaticPages/frmInstituteSummary.aspx?InstituteCode=03135</x:v>
      </x:c>
      <x:c r="AI61" s="49"/>
      <x:c r="AJ61" s="49" t="str"/>
      <x:c r="AK61" s="69" t="n">
        <x:f>IF(W61&lt;&gt;"",50,IF(X61="101-150",45,IF(X61="151-200",40,IF(X61="201-300",35,0))))+IF(H61="Autonomous",20,0)+IF(OR(G61="Government",G61="Government-Aided",G61="University Department",G61="University",G61="University Autonomous"),15,0)+MIN(K61,10)+IF(AA61&lt;&gt;"",3,0)+IF(U61&lt;&gt;"",2,0)</x:f>
        <x:v>7</x:v>
      </x:c>
      <x:c r="AL61" s="49" t="str">
        <x:f>IF(AK61&gt;=70,"Official/high-evidence reference",IF(AK61&gt;=40,"Planning reference","Broader option"))</x:f>
        <x:v>Broader option</x:v>
      </x:c>
    </x:row>
    <x:row r="62">
      <x:c r="A62" s="63" t="n">
        <x:v>3139</x:v>
      </x:c>
      <x:c r="B62" s="49" t="str">
        <x:v>Vidyalankar Institute of Technology,Wadala, Mumbai</x:v>
      </x:c>
      <x:c r="C62" s="49" t="str">
        <x:v>Maharashtra</x:v>
      </x:c>
      <x:c r="D62" s="49" t="str">
        <x:v>Mumbai</x:v>
      </x:c>
      <x:c r="E62" s="49" t="str">
        <x:v>Mumbai City</x:v>
      </x:c>
      <x:c r="F62" s="49" t="str">
        <x:v>Vidyalankar Educational Campus,Vidyalankar College Marg, Wadala(E), Mumbai</x:v>
      </x:c>
      <x:c r="G62" s="49" t="str">
        <x:v>Un-Aided</x:v>
      </x:c>
      <x:c r="H62" s="49" t="str">
        <x:v>Autonomous</x:v>
      </x:c>
      <x:c r="I62" s="49" t="str">
        <x:v>Non-Minority</x:v>
      </x:c>
      <x:c r="J62" s="49" t="str">
        <x:v>Mumbai University</x:v>
      </x:c>
      <x:c r="K62" s="49" t="n">
        <x:v>5</x:v>
      </x:c>
      <x:c r="L62" s="49" t="n">
        <x:v>111</x:v>
      </x:c>
      <x:c r="M62" s="49" t="n">
        <x:v>78</x:v>
      </x:c>
      <x:c r="N62" s="49" t="n">
        <x:v>33</x:v>
      </x:c>
      <x:c r="O62" s="49"/>
      <x:c r="P62" s="49"/>
      <x:c r="Q62" s="49" t="str">
        <x:v>Parsed from official 2025-26 PDF</x:v>
      </x:c>
      <x:c r="R62" s="49" t="str">
        <x:v>2024-25</x:v>
      </x:c>
      <x:c r="S62" s="64" t="n">
        <x:v>132609</x:v>
      </x:c>
      <x:c r="T62" s="64" t="n">
        <x:v>19891</x:v>
      </x:c>
      <x:c r="U62" s="64" t="n">
        <x:v>152500</x:v>
      </x:c>
      <x:c r="V62" s="49" t="str">
        <x:v>Normal FRA-approved annual tuition + development fee; not seat-type-specific</x:v>
      </x:c>
      <x:c r="W62" s="49"/>
      <x:c r="X62" s="49"/>
      <x:c r="Y62" s="68"/>
      <x:c r="Z62" s="49"/>
      <x:c r="AA62" s="49"/>
      <x:c r="AB62" s="49" t="str">
        <x:v>Not centrally verified</x:v>
      </x:c>
      <x:c r="AC62" s="49" t="str">
        <x:v>Not centrally verified</x:v>
      </x:c>
      <x:c r="AD62" s="49" t="str">
        <x:v>Not centrally verified</x:v>
      </x:c>
      <x:c r="AE62" s="49" t="str">
        <x:v>Not available in a standardized official source</x:v>
      </x:c>
      <x:c r="AF62" s="49" t="str">
        <x:v>Not included: no official standardized source; cutoff-derived proxy excluded</x:v>
      </x:c>
      <x:c r="AG62" s="49" t="str">
        <x:v>https://dse2025.mahacet.org.in/dse25/admin/allotment/cap2/3139_4.pdf</x:v>
      </x:c>
      <x:c r="AH62" s="49" t="str">
        <x:v>https://fe2025.mahacet.org/StaticPages/frmInstituteSummary.aspx?InstituteCode=03139</x:v>
      </x:c>
      <x:c r="AI62" s="49"/>
      <x:c r="AJ62" s="49" t="str"/>
      <x:c r="AK62" s="69" t="n">
        <x:f>IF(W62&lt;&gt;"",50,IF(X62="101-150",45,IF(X62="151-200",40,IF(X62="201-300",35,0))))+IF(H62="Autonomous",20,0)+IF(OR(G62="Government",G62="Government-Aided",G62="University Department",G62="University",G62="University Autonomous"),15,0)+MIN(K62,10)+IF(AA62&lt;&gt;"",3,0)+IF(U62&lt;&gt;"",2,0)</x:f>
        <x:v>27</x:v>
      </x:c>
      <x:c r="AL62" s="49" t="str">
        <x:f>IF(AK62&gt;=70,"Official/high-evidence reference",IF(AK62&gt;=40,"Planning reference","Broader option"))</x:f>
        <x:v>Broader option</x:v>
      </x:c>
    </x:row>
    <x:row r="63">
      <x:c r="A63" s="63" t="n">
        <x:v>3143</x:v>
      </x:c>
      <x:c r="B63" s="49" t="str">
        <x:v>Thakur Shyamnarayan Engineering College, Mumbai</x:v>
      </x:c>
      <x:c r="C63" s="49" t="str">
        <x:v>Maharashtra</x:v>
      </x:c>
      <x:c r="D63" s="49" t="str">
        <x:v>Mumbai</x:v>
      </x:c>
      <x:c r="E63" s="49" t="str">
        <x:v>Mumbai Suburban</x:v>
      </x:c>
      <x:c r="F63" s="49" t="str">
        <x:v>Thakur Complex, West To Western Express Highway Kandivali East, Mumbai</x:v>
      </x:c>
      <x:c r="G63" s="49" t="str">
        <x:v>Un-Aided</x:v>
      </x:c>
      <x:c r="H63" s="49" t="str">
        <x:v>Non-Autonomous</x:v>
      </x:c>
      <x:c r="I63" s="49" t="str">
        <x:v>Linguistic Minority - Hindi</x:v>
      </x:c>
      <x:c r="J63" s="49" t="str">
        <x:v>Mumbai University</x:v>
      </x:c>
      <x:c r="K63" s="49" t="n">
        <x:v>5</x:v>
      </x:c>
      <x:c r="L63" s="49" t="n">
        <x:v>47</x:v>
      </x:c>
      <x:c r="M63" s="49" t="n">
        <x:v>19</x:v>
      </x:c>
      <x:c r="N63" s="49"/>
      <x:c r="O63" s="49" t="n">
        <x:v>28</x:v>
      </x:c>
      <x:c r="P63" s="49"/>
      <x:c r="Q63" s="49" t="str">
        <x:v>Parsed from official 2025-26 PDF</x:v>
      </x:c>
      <x:c r="R63" s="49"/>
      <x:c r="S63" s="64"/>
      <x:c r="T63" s="64"/>
      <x:c r="U63" s="64"/>
      <x:c r="V63" s="49" t="str">
        <x:v>No verified FRA match</x:v>
      </x:c>
      <x:c r="W63" s="49"/>
      <x:c r="X63" s="49"/>
      <x:c r="Y63" s="68"/>
      <x:c r="Z63" s="49"/>
      <x:c r="AA63" s="49"/>
      <x:c r="AB63" s="49" t="str">
        <x:v>Not centrally verified</x:v>
      </x:c>
      <x:c r="AC63" s="49" t="str">
        <x:v>Not centrally verified</x:v>
      </x:c>
      <x:c r="AD63" s="49" t="str">
        <x:v>Not centrally verified</x:v>
      </x:c>
      <x:c r="AE63" s="49" t="str">
        <x:v>Not available in a standardized official source</x:v>
      </x:c>
      <x:c r="AF63" s="49" t="str">
        <x:v>Not included: no official standardized source; cutoff-derived proxy excluded</x:v>
      </x:c>
      <x:c r="AG63" s="49" t="str">
        <x:v>https://dse2025.mahacet.org.in/dse25/admin/allotment/cap2/3143_4.pdf</x:v>
      </x:c>
      <x:c r="AH63" s="49" t="str">
        <x:v>https://fe2025.mahacet.org/StaticPages/frmInstituteSummary.aspx?InstituteCode=03143</x:v>
      </x:c>
      <x:c r="AI63" s="49"/>
      <x:c r="AJ63" s="49" t="str"/>
      <x:c r="AK63" s="69" t="n">
        <x:f>IF(W63&lt;&gt;"",50,IF(X63="101-150",45,IF(X63="151-200",40,IF(X63="201-300",35,0))))+IF(H63="Autonomous",20,0)+IF(OR(G63="Government",G63="Government-Aided",G63="University Department",G63="University",G63="University Autonomous"),15,0)+MIN(K63,10)+IF(AA63&lt;&gt;"",3,0)+IF(U63&lt;&gt;"",2,0)</x:f>
        <x:v>5</x:v>
      </x:c>
      <x:c r="AL63" s="49" t="str">
        <x:f>IF(AK63&gt;=70,"Official/high-evidence reference",IF(AK63&gt;=40,"Planning reference","Broader option"))</x:f>
        <x:v>Broader option</x:v>
      </x:c>
    </x:row>
    <x:row r="64">
      <x:c r="A64" s="63" t="n">
        <x:v>3146</x:v>
      </x:c>
      <x:c r="B64" s="49" t="str">
        <x:v>Jawahar Education Society's Annasaheb Chudaman Patil College of Engineering,Kharghar, Navi Mumbai</x:v>
      </x:c>
      <x:c r="C64" s="49" t="str">
        <x:v>Maharashtra</x:v>
      </x:c>
      <x:c r="D64" s="49" t="str">
        <x:v>Mumbai</x:v>
      </x:c>
      <x:c r="E64" s="49" t="str">
        <x:v>Raigad</x:v>
      </x:c>
      <x:c r="F64" s="49" t="str">
        <x:v>Sector 4,Ploat No-17,Kharghar, Navi Mumbai. Dist. Raigad</x:v>
      </x:c>
      <x:c r="G64" s="49" t="str">
        <x:v>Un-Aided</x:v>
      </x:c>
      <x:c r="H64" s="49" t="str">
        <x:v>Non-Autonomous</x:v>
      </x:c>
      <x:c r="I64" s="49" t="str">
        <x:v>Non-Minority</x:v>
      </x:c>
      <x:c r="J64" s="49" t="str">
        <x:v>Mumbai University</x:v>
      </x:c>
      <x:c r="K64" s="49" t="n">
        <x:v>7</x:v>
      </x:c>
      <x:c r="L64" s="49" t="n">
        <x:v>109</x:v>
      </x:c>
      <x:c r="M64" s="49" t="n">
        <x:v>79</x:v>
      </x:c>
      <x:c r="N64" s="49" t="n">
        <x:v>30</x:v>
      </x:c>
      <x:c r="O64" s="49"/>
      <x:c r="P64" s="49"/>
      <x:c r="Q64" s="49" t="str">
        <x:v>Parsed from official 2025-26 PDF</x:v>
      </x:c>
      <x:c r="R64" s="49" t="str">
        <x:v>2024-25</x:v>
      </x:c>
      <x:c r="S64" s="64" t="n">
        <x:v>101423</x:v>
      </x:c>
      <x:c r="T64" s="64" t="n">
        <x:v>12577</x:v>
      </x:c>
      <x:c r="U64" s="64" t="n">
        <x:v>114000</x:v>
      </x:c>
      <x:c r="V64" s="49" t="str">
        <x:v>Normal FRA-approved annual tuition + development fee; not seat-type-specific</x:v>
      </x:c>
      <x:c r="W64" s="49"/>
      <x:c r="X64" s="49"/>
      <x:c r="Y64" s="68"/>
      <x:c r="Z64" s="49"/>
      <x:c r="AA64" s="49"/>
      <x:c r="AB64" s="49" t="str">
        <x:v>Not centrally verified</x:v>
      </x:c>
      <x:c r="AC64" s="49" t="str">
        <x:v>Not centrally verified</x:v>
      </x:c>
      <x:c r="AD64" s="49" t="str">
        <x:v>Not centrally verified</x:v>
      </x:c>
      <x:c r="AE64" s="49" t="str">
        <x:v>Not available in a standardized official source</x:v>
      </x:c>
      <x:c r="AF64" s="49" t="str">
        <x:v>Not included: no official standardized source; cutoff-derived proxy excluded</x:v>
      </x:c>
      <x:c r="AG64" s="49" t="str">
        <x:v>https://dse2025.mahacet.org.in/dse25/admin/allotment/cap2/3146_4.pdf</x:v>
      </x:c>
      <x:c r="AH64" s="49" t="str">
        <x:v>https://fe2025.mahacet.org/StaticPages/frmInstituteSummary.aspx?InstituteCode=03146</x:v>
      </x:c>
      <x:c r="AI64" s="49"/>
      <x:c r="AJ64" s="49" t="str"/>
      <x:c r="AK64" s="69" t="n">
        <x:f>IF(W64&lt;&gt;"",50,IF(X64="101-150",45,IF(X64="151-200",40,IF(X64="201-300",35,0))))+IF(H64="Autonomous",20,0)+IF(OR(G64="Government",G64="Government-Aided",G64="University Department",G64="University",G64="University Autonomous"),15,0)+MIN(K64,10)+IF(AA64&lt;&gt;"",3,0)+IF(U64&lt;&gt;"",2,0)</x:f>
        <x:v>9</x:v>
      </x:c>
      <x:c r="AL64" s="49" t="str">
        <x:f>IF(AK64&gt;=70,"Official/high-evidence reference",IF(AK64&gt;=40,"Planning reference","Broader option"))</x:f>
        <x:v>Broader option</x:v>
      </x:c>
    </x:row>
    <x:row r="65">
      <x:c r="A65" s="63" t="n">
        <x:v>3147</x:v>
      </x:c>
      <x:c r="B65" s="49" t="str">
        <x:v>Saraswati Education Society, Yadavrao Tasgaonkar Institute of Engineering &amp; Technology, Karjat</x:v>
      </x:c>
      <x:c r="C65" s="49" t="str">
        <x:v>Maharashtra</x:v>
      </x:c>
      <x:c r="D65" s="49" t="str">
        <x:v>Mumbai</x:v>
      </x:c>
      <x:c r="E65" s="49" t="str">
        <x:v>Raigad</x:v>
      </x:c>
      <x:c r="F65" s="49" t="str">
        <x:v>Near Bhiv puri Road Railway statiion Chandai ,Tal Karjat, Dist Raigad</x:v>
      </x:c>
      <x:c r="G65" s="49" t="str">
        <x:v>Un-Aided</x:v>
      </x:c>
      <x:c r="H65" s="49" t="str">
        <x:v>Non-Autonomous</x:v>
      </x:c>
      <x:c r="I65" s="49" t="str">
        <x:v>Non-Minority</x:v>
      </x:c>
      <x:c r="J65" s="49" t="str">
        <x:v>Mumbai University</x:v>
      </x:c>
      <x:c r="K65" s="49" t="n">
        <x:v>7</x:v>
      </x:c>
      <x:c r="L65" s="49" t="n">
        <x:v>293</x:v>
      </x:c>
      <x:c r="M65" s="49" t="n">
        <x:v>259</x:v>
      </x:c>
      <x:c r="N65" s="49" t="n">
        <x:v>34</x:v>
      </x:c>
      <x:c r="O65" s="49"/>
      <x:c r="P65" s="49"/>
      <x:c r="Q65" s="49" t="str">
        <x:v>Parsed from official 2025-26 PDF</x:v>
      </x:c>
      <x:c r="R65" s="49" t="str">
        <x:v>2024-25</x:v>
      </x:c>
      <x:c r="S65" s="64" t="n">
        <x:v>47273</x:v>
      </x:c>
      <x:c r="T65" s="64" t="n">
        <x:v>4727</x:v>
      </x:c>
      <x:c r="U65" s="64" t="n">
        <x:v>52000</x:v>
      </x:c>
      <x:c r="V65" s="49" t="str">
        <x:v>Normal FRA-approved annual tuition + development fee; not seat-type-specific</x:v>
      </x:c>
      <x:c r="W65" s="49"/>
      <x:c r="X65" s="49"/>
      <x:c r="Y65" s="68"/>
      <x:c r="Z65" s="49"/>
      <x:c r="AA65" s="49"/>
      <x:c r="AB65" s="49" t="str">
        <x:v>Not centrally verified</x:v>
      </x:c>
      <x:c r="AC65" s="49" t="str">
        <x:v>Not centrally verified</x:v>
      </x:c>
      <x:c r="AD65" s="49" t="str">
        <x:v>Not centrally verified</x:v>
      </x:c>
      <x:c r="AE65" s="49" t="str">
        <x:v>Not available in a standardized official source</x:v>
      </x:c>
      <x:c r="AF65" s="49" t="str">
        <x:v>Not included: no official standardized source; cutoff-derived proxy excluded</x:v>
      </x:c>
      <x:c r="AG65" s="49" t="str">
        <x:v>https://dse2025.mahacet.org.in/dse25/admin/allotment/cap2/3147_4.pdf</x:v>
      </x:c>
      <x:c r="AH65" s="49" t="str">
        <x:v>https://fe2025.mahacet.org/StaticPages/frmInstituteSummary.aspx?InstituteCode=03147</x:v>
      </x:c>
      <x:c r="AI65" s="49"/>
      <x:c r="AJ65" s="49" t="str"/>
      <x:c r="AK65" s="69" t="n">
        <x:f>IF(W65&lt;&gt;"",50,IF(X65="101-150",45,IF(X65="151-200",40,IF(X65="201-300",35,0))))+IF(H65="Autonomous",20,0)+IF(OR(G65="Government",G65="Government-Aided",G65="University Department",G65="University",G65="University Autonomous"),15,0)+MIN(K65,10)+IF(AA65&lt;&gt;"",3,0)+IF(U65&lt;&gt;"",2,0)</x:f>
        <x:v>9</x:v>
      </x:c>
      <x:c r="AL65" s="49" t="str">
        <x:f>IF(AK65&gt;=70,"Official/high-evidence reference",IF(AK65&gt;=40,"Planning reference","Broader option"))</x:f>
        <x:v>Broader option</x:v>
      </x:c>
    </x:row>
    <x:row r="66">
      <x:c r="A66" s="63" t="n">
        <x:v>3148</x:v>
      </x:c>
      <x:c r="B66" s="49" t="str">
        <x:v>Mahavir Education Trust's Shah &amp; Anchor Kutchhi Engineering College, Mumbai</x:v>
      </x:c>
      <x:c r="C66" s="49" t="str">
        <x:v>Maharashtra</x:v>
      </x:c>
      <x:c r="D66" s="49" t="str">
        <x:v>Mumbai</x:v>
      </x:c>
      <x:c r="E66" s="49" t="str">
        <x:v>Mumbai Suburban</x:v>
      </x:c>
      <x:c r="F66" s="49" t="str">
        <x:v>Vaman Tukaram Patil Marg, Chembur, Mumbai</x:v>
      </x:c>
      <x:c r="G66" s="49" t="str">
        <x:v>Un-Aided</x:v>
      </x:c>
      <x:c r="H66" s="49" t="str">
        <x:v>Autonomous</x:v>
      </x:c>
      <x:c r="I66" s="49" t="str">
        <x:v>Linguistic Minority - Gujarathi(Jain)</x:v>
      </x:c>
      <x:c r="J66" s="49" t="str">
        <x:v>Mumbai University</x:v>
      </x:c>
      <x:c r="K66" s="49" t="n">
        <x:v>8</x:v>
      </x:c>
      <x:c r="L66" s="49" t="n">
        <x:v>74</x:v>
      </x:c>
      <x:c r="M66" s="49" t="n">
        <x:v>30</x:v>
      </x:c>
      <x:c r="N66" s="49"/>
      <x:c r="O66" s="49" t="n">
        <x:v>44</x:v>
      </x:c>
      <x:c r="P66" s="49"/>
      <x:c r="Q66" s="49" t="str">
        <x:v>Parsed from official 2025-26 PDF</x:v>
      </x:c>
      <x:c r="R66" s="49" t="str">
        <x:v>2024-25</x:v>
      </x:c>
      <x:c r="S66" s="64" t="n">
        <x:v>132314</x:v>
      </x:c>
      <x:c r="T66" s="64" t="n">
        <x:v>19186</x:v>
      </x:c>
      <x:c r="U66" s="64" t="n">
        <x:v>151500</x:v>
      </x:c>
      <x:c r="V66" s="49" t="str">
        <x:v>Normal FRA-approved annual tuition + development fee; not seat-type-specific</x:v>
      </x:c>
      <x:c r="W66" s="49"/>
      <x:c r="X66" s="49"/>
      <x:c r="Y66" s="68"/>
      <x:c r="Z66" s="49"/>
      <x:c r="AA66" s="49"/>
      <x:c r="AB66" s="49" t="str">
        <x:v>Not centrally verified</x:v>
      </x:c>
      <x:c r="AC66" s="49" t="str">
        <x:v>Not centrally verified</x:v>
      </x:c>
      <x:c r="AD66" s="49" t="str">
        <x:v>Not centrally verified</x:v>
      </x:c>
      <x:c r="AE66" s="49" t="str">
        <x:v>Not available in a standardized official source</x:v>
      </x:c>
      <x:c r="AF66" s="49" t="str">
        <x:v>Not included: no official standardized source; cutoff-derived proxy excluded</x:v>
      </x:c>
      <x:c r="AG66" s="49" t="str">
        <x:v>https://dse2025.mahacet.org.in/dse25/admin/allotment/cap2/3148_4.pdf</x:v>
      </x:c>
      <x:c r="AH66" s="49" t="str">
        <x:v>https://fe2025.mahacet.org/StaticPages/frmInstituteSummary.aspx?InstituteCode=03148</x:v>
      </x:c>
      <x:c r="AI66" s="49"/>
      <x:c r="AJ66" s="49" t="str"/>
      <x:c r="AK66" s="69" t="n">
        <x:f>IF(W66&lt;&gt;"",50,IF(X66="101-150",45,IF(X66="151-200",40,IF(X66="201-300",35,0))))+IF(H66="Autonomous",20,0)+IF(OR(G66="Government",G66="Government-Aided",G66="University Department",G66="University",G66="University Autonomous"),15,0)+MIN(K66,10)+IF(AA66&lt;&gt;"",3,0)+IF(U66&lt;&gt;"",2,0)</x:f>
        <x:v>30</x:v>
      </x:c>
      <x:c r="AL66" s="49" t="str">
        <x:f>IF(AK66&gt;=70,"Official/high-evidence reference",IF(AK66&gt;=40,"Planning reference","Broader option"))</x:f>
        <x:v>Broader option</x:v>
      </x:c>
    </x:row>
    <x:row r="67">
      <x:c r="A67" s="63" t="n">
        <x:v>3154</x:v>
      </x:c>
      <x:c r="B67" s="49" t="str">
        <x:v>Saraswati Education Society's Saraswati College of Engineering,Kharghar Navi Mumbai</x:v>
      </x:c>
      <x:c r="C67" s="49" t="str">
        <x:v>Maharashtra</x:v>
      </x:c>
      <x:c r="D67" s="49" t="str">
        <x:v>Mumbai</x:v>
      </x:c>
      <x:c r="E67" s="49" t="str">
        <x:v>Raigad</x:v>
      </x:c>
      <x:c r="F67" s="49" t="str">
        <x:v>Plot No 46/46 A, Sector 5 Near MSEB Sub Station Kharghar Navi Mumbai Dist. Raigad</x:v>
      </x:c>
      <x:c r="G67" s="49" t="str">
        <x:v>Un-Aided</x:v>
      </x:c>
      <x:c r="H67" s="49" t="str">
        <x:v>Autonomous</x:v>
      </x:c>
      <x:c r="I67" s="49" t="str">
        <x:v>Non-Minority</x:v>
      </x:c>
      <x:c r="J67" s="49" t="str">
        <x:v>Mumbai University</x:v>
      </x:c>
      <x:c r="K67" s="49" t="n">
        <x:v>7</x:v>
      </x:c>
      <x:c r="L67" s="49" t="n">
        <x:v>167</x:v>
      </x:c>
      <x:c r="M67" s="49" t="n">
        <x:v>127</x:v>
      </x:c>
      <x:c r="N67" s="49" t="n">
        <x:v>40</x:v>
      </x:c>
      <x:c r="O67" s="49"/>
      <x:c r="P67" s="49"/>
      <x:c r="Q67" s="49" t="str">
        <x:v>Parsed from official 2025-26 PDF</x:v>
      </x:c>
      <x:c r="R67" s="49" t="str">
        <x:v>2024-25</x:v>
      </x:c>
      <x:c r="S67" s="64" t="n">
        <x:v>85005</x:v>
      </x:c>
      <x:c r="T67" s="64" t="n">
        <x:v>12495</x:v>
      </x:c>
      <x:c r="U67" s="64" t="n">
        <x:v>97500</x:v>
      </x:c>
      <x:c r="V67" s="49" t="str">
        <x:v>Normal FRA-approved annual tuition + development fee; not seat-type-specific</x:v>
      </x:c>
      <x:c r="W67" s="49"/>
      <x:c r="X67" s="49"/>
      <x:c r="Y67" s="68"/>
      <x:c r="Z67" s="49"/>
      <x:c r="AA67" s="49"/>
      <x:c r="AB67" s="49" t="str">
        <x:v>Not centrally verified</x:v>
      </x:c>
      <x:c r="AC67" s="49" t="str">
        <x:v>Not centrally verified</x:v>
      </x:c>
      <x:c r="AD67" s="49" t="str">
        <x:v>Not centrally verified</x:v>
      </x:c>
      <x:c r="AE67" s="49" t="str">
        <x:v>Not available in a standardized official source</x:v>
      </x:c>
      <x:c r="AF67" s="49" t="str">
        <x:v>Not included: no official standardized source; cutoff-derived proxy excluded</x:v>
      </x:c>
      <x:c r="AG67" s="49" t="str">
        <x:v>https://dse2025.mahacet.org.in/dse25/admin/allotment/cap2/3154_4.pdf</x:v>
      </x:c>
      <x:c r="AH67" s="49" t="str">
        <x:v>https://fe2025.mahacet.org/StaticPages/frmInstituteSummary.aspx?InstituteCode=03154</x:v>
      </x:c>
      <x:c r="AI67" s="49"/>
      <x:c r="AJ67" s="49" t="str"/>
      <x:c r="AK67" s="69" t="n">
        <x:f>IF(W67&lt;&gt;"",50,IF(X67="101-150",45,IF(X67="151-200",40,IF(X67="201-300",35,0))))+IF(H67="Autonomous",20,0)+IF(OR(G67="Government",G67="Government-Aided",G67="University Department",G67="University",G67="University Autonomous"),15,0)+MIN(K67,10)+IF(AA67&lt;&gt;"",3,0)+IF(U67&lt;&gt;"",2,0)</x:f>
        <x:v>29</x:v>
      </x:c>
      <x:c r="AL67" s="49" t="str">
        <x:f>IF(AK67&gt;=70,"Official/high-evidence reference",IF(AK67&gt;=40,"Planning reference","Broader option"))</x:f>
        <x:v>Broader option</x:v>
      </x:c>
    </x:row>
    <x:row r="68">
      <x:c r="A68" s="63" t="n">
        <x:v>3175</x:v>
      </x:c>
      <x:c r="B68" s="49" t="str">
        <x:v>M.G.M.'s College of Engineering and Technology, Kamothe, Navi Mumbai</x:v>
      </x:c>
      <x:c r="C68" s="49" t="str">
        <x:v>Maharashtra</x:v>
      </x:c>
      <x:c r="D68" s="49" t="str">
        <x:v>Mumbai</x:v>
      </x:c>
      <x:c r="E68" s="49" t="str">
        <x:v>Raigad</x:v>
      </x:c>
      <x:c r="F68" s="49" t="str">
        <x:v>At Junction of NH4 &amp; Sion-Panvel Expressway, Kamothe, Navi Mumbai</x:v>
      </x:c>
      <x:c r="G68" s="49" t="str">
        <x:v>Un-Aided</x:v>
      </x:c>
      <x:c r="H68" s="49" t="str">
        <x:v>Non-Autonomous</x:v>
      </x:c>
      <x:c r="I68" s="49" t="str">
        <x:v>Non-Minority</x:v>
      </x:c>
      <x:c r="J68" s="49" t="str">
        <x:v>Mumbai University</x:v>
      </x:c>
      <x:c r="K68" s="49" t="n">
        <x:v>11</x:v>
      </x:c>
      <x:c r="L68" s="49" t="n">
        <x:v>302</x:v>
      </x:c>
      <x:c r="M68" s="49" t="n">
        <x:v>250</x:v>
      </x:c>
      <x:c r="N68" s="49" t="n">
        <x:v>52</x:v>
      </x:c>
      <x:c r="O68" s="49"/>
      <x:c r="P68" s="49"/>
      <x:c r="Q68" s="49" t="str">
        <x:v>Parsed from official 2025-26 PDF</x:v>
      </x:c>
      <x:c r="R68" s="49" t="str">
        <x:v>2024-25</x:v>
      </x:c>
      <x:c r="S68" s="64" t="n">
        <x:v>82597</x:v>
      </x:c>
      <x:c r="T68" s="64" t="n">
        <x:v>10903</x:v>
      </x:c>
      <x:c r="U68" s="64" t="n">
        <x:v>93500</x:v>
      </x:c>
      <x:c r="V68" s="49" t="str">
        <x:v>Normal FRA-approved annual tuition + development fee; not seat-type-specific</x:v>
      </x:c>
      <x:c r="W68" s="49"/>
      <x:c r="X68" s="49"/>
      <x:c r="Y68" s="68"/>
      <x:c r="Z68" s="49"/>
      <x:c r="AA68" s="49"/>
      <x:c r="AB68" s="49" t="str">
        <x:v>Not centrally verified</x:v>
      </x:c>
      <x:c r="AC68" s="49" t="str">
        <x:v>Not centrally verified</x:v>
      </x:c>
      <x:c r="AD68" s="49" t="str">
        <x:v>Not centrally verified</x:v>
      </x:c>
      <x:c r="AE68" s="49" t="str">
        <x:v>Not available in a standardized official source</x:v>
      </x:c>
      <x:c r="AF68" s="49" t="str">
        <x:v>Not included: no official standardized source; cutoff-derived proxy excluded</x:v>
      </x:c>
      <x:c r="AG68" s="49" t="str">
        <x:v>https://dse2025.mahacet.org.in/dse25/admin/allotment/cap2/3175_4.pdf</x:v>
      </x:c>
      <x:c r="AH68" s="49" t="str">
        <x:v>https://fe2025.mahacet.org/StaticPages/frmInstituteSummary.aspx?InstituteCode=03175</x:v>
      </x:c>
      <x:c r="AI68" s="49"/>
      <x:c r="AJ68" s="49" t="str"/>
      <x:c r="AK68" s="69" t="n">
        <x:f>IF(W68&lt;&gt;"",50,IF(X68="101-150",45,IF(X68="151-200",40,IF(X68="201-300",35,0))))+IF(H68="Autonomous",20,0)+IF(OR(G68="Government",G68="Government-Aided",G68="University Department",G68="University",G68="University Autonomous"),15,0)+MIN(K68,10)+IF(AA68&lt;&gt;"",3,0)+IF(U68&lt;&gt;"",2,0)</x:f>
        <x:v>12</x:v>
      </x:c>
      <x:c r="AL68" s="49" t="str">
        <x:f>IF(AK68&gt;=70,"Official/high-evidence reference",IF(AK68&gt;=40,"Planning reference","Broader option"))</x:f>
        <x:v>Broader option</x:v>
      </x:c>
    </x:row>
    <x:row r="69">
      <x:c r="A69" s="63" t="n">
        <x:v>3176</x:v>
      </x:c>
      <x:c r="B69" s="49" t="str">
        <x:v>Thakur College of Engineering and Technology, Kandivali, Mumbai</x:v>
      </x:c>
      <x:c r="C69" s="49" t="str">
        <x:v>Maharashtra</x:v>
      </x:c>
      <x:c r="D69" s="49" t="str">
        <x:v>Mumbai</x:v>
      </x:c>
      <x:c r="E69" s="49" t="str">
        <x:v>Mumbai Suburban</x:v>
      </x:c>
      <x:c r="F69" s="49" t="str">
        <x:v>Thakur Shyamnarayan Marg,Thakur Village,Kandivali(E), Mumbai</x:v>
      </x:c>
      <x:c r="G69" s="49" t="str">
        <x:v>Un-Aided</x:v>
      </x:c>
      <x:c r="H69" s="49" t="str">
        <x:v>Autonomous</x:v>
      </x:c>
      <x:c r="I69" s="49" t="str">
        <x:v>Linguistic Minority - Hindi</x:v>
      </x:c>
      <x:c r="J69" s="49" t="str">
        <x:v>Mumbai University</x:v>
      </x:c>
      <x:c r="K69" s="49" t="n">
        <x:v>11</x:v>
      </x:c>
      <x:c r="L69" s="49" t="n">
        <x:v>129</x:v>
      </x:c>
      <x:c r="M69" s="49" t="n">
        <x:v>56</x:v>
      </x:c>
      <x:c r="N69" s="49"/>
      <x:c r="O69" s="49" t="n">
        <x:v>73</x:v>
      </x:c>
      <x:c r="P69" s="49"/>
      <x:c r="Q69" s="49" t="str">
        <x:v>Parsed from official 2025-26 PDF</x:v>
      </x:c>
      <x:c r="R69" s="49" t="str">
        <x:v>2024-25</x:v>
      </x:c>
      <x:c r="S69" s="64" t="n">
        <x:v>134348</x:v>
      </x:c>
      <x:c r="T69" s="64" t="n">
        <x:v>20152</x:v>
      </x:c>
      <x:c r="U69" s="64" t="n">
        <x:v>154500</x:v>
      </x:c>
      <x:c r="V69" s="49" t="str">
        <x:v>Normal FRA-approved annual tuition + development fee; not seat-type-specific</x:v>
      </x:c>
      <x:c r="W69" s="49"/>
      <x:c r="X69" s="49"/>
      <x:c r="Y69" s="68"/>
      <x:c r="Z69" s="49"/>
      <x:c r="AA69" s="49"/>
      <x:c r="AB69" s="49" t="str">
        <x:v>Not centrally verified</x:v>
      </x:c>
      <x:c r="AC69" s="49" t="str">
        <x:v>Not centrally verified</x:v>
      </x:c>
      <x:c r="AD69" s="49" t="str">
        <x:v>Not centrally verified</x:v>
      </x:c>
      <x:c r="AE69" s="49" t="str">
        <x:v>Not available in a standardized official source</x:v>
      </x:c>
      <x:c r="AF69" s="49" t="str">
        <x:v>Not included: no official standardized source; cutoff-derived proxy excluded</x:v>
      </x:c>
      <x:c r="AG69" s="49" t="str">
        <x:v>https://dse2025.mahacet.org.in/dse25/admin/allotment/cap2/3176_4.pdf</x:v>
      </x:c>
      <x:c r="AH69" s="49" t="str">
        <x:v>https://fe2025.mahacet.org/StaticPages/frmInstituteSummary.aspx?InstituteCode=03176</x:v>
      </x:c>
      <x:c r="AI69" s="49"/>
      <x:c r="AJ69" s="49" t="str"/>
      <x:c r="AK69" s="69" t="n">
        <x:f>IF(W69&lt;&gt;"",50,IF(X69="101-150",45,IF(X69="151-200",40,IF(X69="201-300",35,0))))+IF(H69="Autonomous",20,0)+IF(OR(G69="Government",G69="Government-Aided",G69="University Department",G69="University",G69="University Autonomous"),15,0)+MIN(K69,10)+IF(AA69&lt;&gt;"",3,0)+IF(U69&lt;&gt;"",2,0)</x:f>
        <x:v>32</x:v>
      </x:c>
      <x:c r="AL69" s="49" t="str">
        <x:f>IF(AK69&gt;=70,"Official/high-evidence reference",IF(AK69&gt;=40,"Planning reference","Broader option"))</x:f>
        <x:v>Broader option</x:v>
      </x:c>
    </x:row>
    <x:row r="70">
      <x:c r="A70" s="63" t="n">
        <x:v>3182</x:v>
      </x:c>
      <x:c r="B70" s="49" t="str">
        <x:v>Thadomal Shahani Engineering College, Bandra, Mumbai</x:v>
      </x:c>
      <x:c r="C70" s="49" t="str">
        <x:v>Maharashtra</x:v>
      </x:c>
      <x:c r="D70" s="49" t="str">
        <x:v>Mumbai</x:v>
      </x:c>
      <x:c r="E70" s="49" t="str">
        <x:v>Mumbai Suburban</x:v>
      </x:c>
      <x:c r="F70" s="49" t="str">
        <x:v>37th Road, Off Linking Road, (Near National), Bandra (West), Mumbai</x:v>
      </x:c>
      <x:c r="G70" s="49" t="str">
        <x:v>Un-Aided</x:v>
      </x:c>
      <x:c r="H70" s="49" t="str">
        <x:v>Non-Autonomous</x:v>
      </x:c>
      <x:c r="I70" s="49" t="str">
        <x:v>Linguistic Minority - Sindhi</x:v>
      </x:c>
      <x:c r="J70" s="49" t="str">
        <x:v>Mumbai University</x:v>
      </x:c>
      <x:c r="K70" s="49" t="n">
        <x:v>5</x:v>
      </x:c>
      <x:c r="L70" s="49" t="n">
        <x:v>61</x:v>
      </x:c>
      <x:c r="M70" s="49" t="n">
        <x:v>27</x:v>
      </x:c>
      <x:c r="N70" s="49"/>
      <x:c r="O70" s="49" t="n">
        <x:v>34</x:v>
      </x:c>
      <x:c r="P70" s="49"/>
      <x:c r="Q70" s="49" t="str">
        <x:v>Parsed from official 2025-26 PDF</x:v>
      </x:c>
      <x:c r="R70" s="49" t="str">
        <x:v>2024-25</x:v>
      </x:c>
      <x:c r="S70" s="64" t="n">
        <x:v>174782</x:v>
      </x:c>
      <x:c r="T70" s="64" t="n">
        <x:v>26218</x:v>
      </x:c>
      <x:c r="U70" s="64" t="n">
        <x:v>201000</x:v>
      </x:c>
      <x:c r="V70" s="49" t="str">
        <x:v>Normal FRA-approved annual tuition + development fee; not seat-type-specific</x:v>
      </x:c>
      <x:c r="W70" s="49"/>
      <x:c r="X70" s="49"/>
      <x:c r="Y70" s="68"/>
      <x:c r="Z70" s="49"/>
      <x:c r="AA70" s="49" t="str">
        <x:v>https://tsec.edu/</x:v>
      </x:c>
      <x:c r="AB70" s="49" t="str">
        <x:v>Verified official domain</x:v>
      </x:c>
      <x:c r="AC70" s="49" t="str">
        <x:v>Not centrally verified</x:v>
      </x:c>
      <x:c r="AD70" s="49" t="str">
        <x:v>Not centrally verified</x:v>
      </x:c>
      <x:c r="AE70" s="49" t="str">
        <x:v>Not available in a standardized official source</x:v>
      </x:c>
      <x:c r="AF70" s="49" t="str">
        <x:v>Not included: no official standardized source; cutoff-derived proxy excluded</x:v>
      </x:c>
      <x:c r="AG70" s="49" t="str">
        <x:v>https://dse2025.mahacet.org.in/dse25/admin/allotment/cap2/3182_4.pdf</x:v>
      </x:c>
      <x:c r="AH70" s="49" t="str">
        <x:v>https://fe2025.mahacet.org/StaticPages/frmInstituteSummary.aspx?InstituteCode=03182</x:v>
      </x:c>
      <x:c r="AI70" s="49"/>
      <x:c r="AJ70" s="49" t="str"/>
      <x:c r="AK70" s="69" t="n">
        <x:f>IF(W70&lt;&gt;"",50,IF(X70="101-150",45,IF(X70="151-200",40,IF(X70="201-300",35,0))))+IF(H70="Autonomous",20,0)+IF(OR(G70="Government",G70="Government-Aided",G70="University Department",G70="University",G70="University Autonomous"),15,0)+MIN(K70,10)+IF(AA70&lt;&gt;"",3,0)+IF(U70&lt;&gt;"",2,0)</x:f>
        <x:v>10</x:v>
      </x:c>
      <x:c r="AL70" s="49" t="str">
        <x:f>IF(AK70&gt;=70,"Official/high-evidence reference",IF(AK70&gt;=40,"Planning reference","Broader option"))</x:f>
        <x:v>Broader option</x:v>
      </x:c>
    </x:row>
    <x:row r="71">
      <x:c r="A71" s="63" t="n">
        <x:v>3183</x:v>
      </x:c>
      <x:c r="B71" s="49" t="str">
        <x:v>Anjuman-I-Islam's M.H. Saboo Siddik College of Engineering, Byculla, Mumbai</x:v>
      </x:c>
      <x:c r="C71" s="49" t="str">
        <x:v>Maharashtra</x:v>
      </x:c>
      <x:c r="D71" s="49" t="str">
        <x:v>Mumbai</x:v>
      </x:c>
      <x:c r="E71" s="49" t="str">
        <x:v>Mumbai City</x:v>
      </x:c>
      <x:c r="F71" s="49" t="str">
        <x:v>8, M.H.Saboo Siddik Polytechnic Road, P.O.Box: 4627, Byculla ,Mumbai</x:v>
      </x:c>
      <x:c r="G71" s="49" t="str">
        <x:v>Un-Aided</x:v>
      </x:c>
      <x:c r="H71" s="49" t="str">
        <x:v>Non-Autonomous</x:v>
      </x:c>
      <x:c r="I71" s="49" t="str">
        <x:v>Religious Minority - Muslim</x:v>
      </x:c>
      <x:c r="J71" s="49" t="str">
        <x:v>Mumbai University</x:v>
      </x:c>
      <x:c r="K71" s="49" t="n">
        <x:v>8</x:v>
      </x:c>
      <x:c r="L71" s="49" t="n">
        <x:v>99</x:v>
      </x:c>
      <x:c r="M71" s="49"/>
      <x:c r="N71" s="49"/>
      <x:c r="O71" s="49" t="n">
        <x:v>99</x:v>
      </x:c>
      <x:c r="P71" s="49"/>
      <x:c r="Q71" s="49" t="str">
        <x:v>Parsed from official 2025-26 PDF</x:v>
      </x:c>
      <x:c r="R71" s="49" t="str">
        <x:v>2024-25</x:v>
      </x:c>
      <x:c r="S71" s="64" t="n">
        <x:v>125564</x:v>
      </x:c>
      <x:c r="T71" s="64" t="n">
        <x:v>13436</x:v>
      </x:c>
      <x:c r="U71" s="64" t="n">
        <x:v>139000</x:v>
      </x:c>
      <x:c r="V71" s="49" t="str">
        <x:v>Normal FRA-approved annual tuition + development fee; not seat-type-specific</x:v>
      </x:c>
      <x:c r="W71" s="49"/>
      <x:c r="X71" s="49"/>
      <x:c r="Y71" s="68"/>
      <x:c r="Z71" s="49"/>
      <x:c r="AA71" s="49"/>
      <x:c r="AB71" s="49" t="str">
        <x:v>Not centrally verified</x:v>
      </x:c>
      <x:c r="AC71" s="49" t="str">
        <x:v>Not centrally verified</x:v>
      </x:c>
      <x:c r="AD71" s="49" t="str">
        <x:v>Not centrally verified</x:v>
      </x:c>
      <x:c r="AE71" s="49" t="str">
        <x:v>Not available in a standardized official source</x:v>
      </x:c>
      <x:c r="AF71" s="49" t="str">
        <x:v>Not included: no official standardized source; cutoff-derived proxy excluded</x:v>
      </x:c>
      <x:c r="AG71" s="49" t="str">
        <x:v>https://dse2025.mahacet.org.in/dse25/admin/allotment/cap2/3183_4.pdf</x:v>
      </x:c>
      <x:c r="AH71" s="49" t="str">
        <x:v>https://fe2025.mahacet.org/StaticPages/frmInstituteSummary.aspx?InstituteCode=03183</x:v>
      </x:c>
      <x:c r="AI71" s="49"/>
      <x:c r="AJ71" s="49" t="str"/>
      <x:c r="AK71" s="69" t="n">
        <x:f>IF(W71&lt;&gt;"",50,IF(X71="101-150",45,IF(X71="151-200",40,IF(X71="201-300",35,0))))+IF(H71="Autonomous",20,0)+IF(OR(G71="Government",G71="Government-Aided",G71="University Department",G71="University",G71="University Autonomous"),15,0)+MIN(K71,10)+IF(AA71&lt;&gt;"",3,0)+IF(U71&lt;&gt;"",2,0)</x:f>
        <x:v>10</x:v>
      </x:c>
      <x:c r="AL71" s="49" t="str">
        <x:f>IF(AK71&gt;=70,"Official/high-evidence reference",IF(AK71&gt;=40,"Planning reference","Broader option"))</x:f>
        <x:v>Broader option</x:v>
      </x:c>
    </x:row>
    <x:row r="72">
      <x:c r="A72" s="63" t="n">
        <x:v>3184</x:v>
      </x:c>
      <x:c r="B72" s="49" t="str">
        <x:v>Fr. Conceicao Rodrigues College of Engineering, Bandra,Mumbai</x:v>
      </x:c>
      <x:c r="C72" s="49" t="str">
        <x:v>Maharashtra</x:v>
      </x:c>
      <x:c r="D72" s="49" t="str">
        <x:v>Mumbai</x:v>
      </x:c>
      <x:c r="E72" s="49" t="str">
        <x:v>Mumbai Suburban</x:v>
      </x:c>
      <x:c r="F72" s="49" t="str">
        <x:v>Father Agnel Ashram , Band-stand, Bandra (West), Mumbai</x:v>
      </x:c>
      <x:c r="G72" s="49" t="str">
        <x:v>Un-Aided</x:v>
      </x:c>
      <x:c r="H72" s="49" t="str">
        <x:v>Autonomous</x:v>
      </x:c>
      <x:c r="I72" s="49" t="str">
        <x:v>Religious Minority - Christian</x:v>
      </x:c>
      <x:c r="J72" s="49" t="str">
        <x:v>Mumbai University</x:v>
      </x:c>
      <x:c r="K72" s="49" t="n">
        <x:v>4</x:v>
      </x:c>
      <x:c r="L72" s="49" t="n">
        <x:v>46</x:v>
      </x:c>
      <x:c r="M72" s="49" t="n">
        <x:v>20</x:v>
      </x:c>
      <x:c r="N72" s="49"/>
      <x:c r="O72" s="49" t="n">
        <x:v>26</x:v>
      </x:c>
      <x:c r="P72" s="49"/>
      <x:c r="Q72" s="49" t="str">
        <x:v>Parsed from official 2025-26 PDF</x:v>
      </x:c>
      <x:c r="R72" s="49" t="str">
        <x:v>2024-25</x:v>
      </x:c>
      <x:c r="S72" s="64" t="n">
        <x:v>158077</x:v>
      </x:c>
      <x:c r="T72" s="64" t="n">
        <x:v>22923</x:v>
      </x:c>
      <x:c r="U72" s="64" t="n">
        <x:v>181000</x:v>
      </x:c>
      <x:c r="V72" s="49" t="str">
        <x:v>Normal FRA-approved annual tuition + development fee; not seat-type-specific</x:v>
      </x:c>
      <x:c r="W72" s="49"/>
      <x:c r="X72" s="49"/>
      <x:c r="Y72" s="68"/>
      <x:c r="Z72" s="49"/>
      <x:c r="AA72" s="49"/>
      <x:c r="AB72" s="49" t="str">
        <x:v>Not centrally verified</x:v>
      </x:c>
      <x:c r="AC72" s="49" t="str">
        <x:v>Not centrally verified</x:v>
      </x:c>
      <x:c r="AD72" s="49" t="str">
        <x:v>Not centrally verified</x:v>
      </x:c>
      <x:c r="AE72" s="49" t="str">
        <x:v>Not available in a standardized official source</x:v>
      </x:c>
      <x:c r="AF72" s="49" t="str">
        <x:v>Not included: no official standardized source; cutoff-derived proxy excluded</x:v>
      </x:c>
      <x:c r="AG72" s="49" t="str">
        <x:v>https://dse2025.mahacet.org.in/dse25/admin/allotment/cap2/3184_4.pdf</x:v>
      </x:c>
      <x:c r="AH72" s="49" t="str">
        <x:v>https://fe2025.mahacet.org/StaticPages/frmInstituteSummary.aspx?InstituteCode=03184</x:v>
      </x:c>
      <x:c r="AI72" s="49"/>
      <x:c r="AJ72" s="49" t="str"/>
      <x:c r="AK72" s="69" t="n">
        <x:f>IF(W72&lt;&gt;"",50,IF(X72="101-150",45,IF(X72="151-200",40,IF(X72="201-300",35,0))))+IF(H72="Autonomous",20,0)+IF(OR(G72="Government",G72="Government-Aided",G72="University Department",G72="University",G72="University Autonomous"),15,0)+MIN(K72,10)+IF(AA72&lt;&gt;"",3,0)+IF(U72&lt;&gt;"",2,0)</x:f>
        <x:v>26</x:v>
      </x:c>
      <x:c r="AL72" s="49" t="str">
        <x:f>IF(AK72&gt;=70,"Official/high-evidence reference",IF(AK72&gt;=40,"Planning reference","Broader option"))</x:f>
        <x:v>Broader option</x:v>
      </x:c>
    </x:row>
    <x:row r="73">
      <x:c r="A73" s="63" t="n">
        <x:v>3185</x:v>
      </x:c>
      <x:c r="B73" s="49" t="str">
        <x:v>Vivekanand Education Society's Institute of Technology, Chembur, Mumbai</x:v>
      </x:c>
      <x:c r="C73" s="49" t="str">
        <x:v>Maharashtra</x:v>
      </x:c>
      <x:c r="D73" s="49" t="str">
        <x:v>Mumbai</x:v>
      </x:c>
      <x:c r="E73" s="49" t="str">
        <x:v>Mumbai Suburban</x:v>
      </x:c>
      <x:c r="F73" s="49" t="str">
        <x:v>Hashu Advani Memorial Complex, Behind Collector Colony, R.C. Marg, Chembur, Mumbai</x:v>
      </x:c>
      <x:c r="G73" s="49" t="str">
        <x:v>Un-Aided</x:v>
      </x:c>
      <x:c r="H73" s="49" t="str">
        <x:v>Autonomous</x:v>
      </x:c>
      <x:c r="I73" s="49" t="str">
        <x:v>Linguistic Minority - Sindhi</x:v>
      </x:c>
      <x:c r="J73" s="49" t="str">
        <x:v>Mumbai University</x:v>
      </x:c>
      <x:c r="K73" s="49" t="n">
        <x:v>6</x:v>
      </x:c>
      <x:c r="L73" s="49" t="n">
        <x:v>79</x:v>
      </x:c>
      <x:c r="M73" s="49" t="n">
        <x:v>34</x:v>
      </x:c>
      <x:c r="N73" s="49"/>
      <x:c r="O73" s="49" t="n">
        <x:v>45</x:v>
      </x:c>
      <x:c r="P73" s="49"/>
      <x:c r="Q73" s="49" t="str">
        <x:v>Parsed from official 2025-26 PDF</x:v>
      </x:c>
      <x:c r="R73" s="49" t="str">
        <x:v>2024-25</x:v>
      </x:c>
      <x:c r="S73" s="64" t="n">
        <x:v>123684</x:v>
      </x:c>
      <x:c r="T73" s="64" t="n">
        <x:v>17316</x:v>
      </x:c>
      <x:c r="U73" s="64" t="n">
        <x:v>141000</x:v>
      </x:c>
      <x:c r="V73" s="49" t="str">
        <x:v>Normal FRA-approved annual tuition + development fee; not seat-type-specific</x:v>
      </x:c>
      <x:c r="W73" s="49"/>
      <x:c r="X73" s="49"/>
      <x:c r="Y73" s="68"/>
      <x:c r="Z73" s="49"/>
      <x:c r="AA73" s="49"/>
      <x:c r="AB73" s="49" t="str">
        <x:v>Not centrally verified</x:v>
      </x:c>
      <x:c r="AC73" s="49" t="str">
        <x:v>Not centrally verified</x:v>
      </x:c>
      <x:c r="AD73" s="49" t="str">
        <x:v>Not centrally verified</x:v>
      </x:c>
      <x:c r="AE73" s="49" t="str">
        <x:v>Not available in a standardized official source</x:v>
      </x:c>
      <x:c r="AF73" s="49" t="str">
        <x:v>Not included: no official standardized source; cutoff-derived proxy excluded</x:v>
      </x:c>
      <x:c r="AG73" s="49" t="str">
        <x:v>https://dse2025.mahacet.org.in/dse25/admin/allotment/cap2/3185_4.pdf</x:v>
      </x:c>
      <x:c r="AH73" s="49" t="str">
        <x:v>https://fe2025.mahacet.org/StaticPages/frmInstituteSummary.aspx?InstituteCode=03185</x:v>
      </x:c>
      <x:c r="AI73" s="49"/>
      <x:c r="AJ73" s="49" t="str"/>
      <x:c r="AK73" s="69" t="n">
        <x:f>IF(W73&lt;&gt;"",50,IF(X73="101-150",45,IF(X73="151-200",40,IF(X73="201-300",35,0))))+IF(H73="Autonomous",20,0)+IF(OR(G73="Government",G73="Government-Aided",G73="University Department",G73="University",G73="University Autonomous"),15,0)+MIN(K73,10)+IF(AA73&lt;&gt;"",3,0)+IF(U73&lt;&gt;"",2,0)</x:f>
        <x:v>28</x:v>
      </x:c>
      <x:c r="AL73" s="49" t="str">
        <x:f>IF(AK73&gt;=70,"Official/high-evidence reference",IF(AK73&gt;=40,"Planning reference","Broader option"))</x:f>
        <x:v>Broader option</x:v>
      </x:c>
    </x:row>
    <x:row r="74">
      <x:c r="A74" s="63" t="n">
        <x:v>3187</x:v>
      </x:c>
      <x:c r="B74" s="49" t="str">
        <x:v>N.Y.S.S.'s Datta Meghe College of Engineering, Airoli, Navi Mumbai</x:v>
      </x:c>
      <x:c r="C74" s="49" t="str">
        <x:v>Maharashtra</x:v>
      </x:c>
      <x:c r="D74" s="49" t="str">
        <x:v>Mumbai</x:v>
      </x:c>
      <x:c r="E74" s="49" t="str">
        <x:v>Thane</x:v>
      </x:c>
      <x:c r="F74" s="49" t="str">
        <x:v>P.B. No. 15, CIDCO Colony, Plot No. 98, Sector 3, Airoli, Navi Mumbai</x:v>
      </x:c>
      <x:c r="G74" s="49" t="str">
        <x:v>Un-Aided</x:v>
      </x:c>
      <x:c r="H74" s="49" t="str">
        <x:v>Non-Autonomous</x:v>
      </x:c>
      <x:c r="I74" s="49" t="str">
        <x:v>Non-Minority</x:v>
      </x:c>
      <x:c r="J74" s="49" t="str">
        <x:v>Mumbai University</x:v>
      </x:c>
      <x:c r="K74" s="49" t="n">
        <x:v>8</x:v>
      </x:c>
      <x:c r="L74" s="49" t="n">
        <x:v>299</x:v>
      </x:c>
      <x:c r="M74" s="49" t="n">
        <x:v>239</x:v>
      </x:c>
      <x:c r="N74" s="49" t="n">
        <x:v>60</x:v>
      </x:c>
      <x:c r="O74" s="49"/>
      <x:c r="P74" s="49"/>
      <x:c r="Q74" s="49" t="str">
        <x:v>Parsed from official 2025-26 PDF</x:v>
      </x:c>
      <x:c r="R74" s="49" t="str">
        <x:v>2024-25</x:v>
      </x:c>
      <x:c r="S74" s="64" t="n">
        <x:v>78601</x:v>
      </x:c>
      <x:c r="T74" s="64" t="n">
        <x:v>11399</x:v>
      </x:c>
      <x:c r="U74" s="64" t="n">
        <x:v>90000</x:v>
      </x:c>
      <x:c r="V74" s="49" t="str">
        <x:v>Normal FRA-approved annual tuition + development fee; not seat-type-specific</x:v>
      </x:c>
      <x:c r="W74" s="49"/>
      <x:c r="X74" s="49"/>
      <x:c r="Y74" s="68"/>
      <x:c r="Z74" s="49"/>
      <x:c r="AA74" s="49"/>
      <x:c r="AB74" s="49" t="str">
        <x:v>Not centrally verified</x:v>
      </x:c>
      <x:c r="AC74" s="49" t="str">
        <x:v>Not centrally verified</x:v>
      </x:c>
      <x:c r="AD74" s="49" t="str">
        <x:v>Not centrally verified</x:v>
      </x:c>
      <x:c r="AE74" s="49" t="str">
        <x:v>Not available in a standardized official source</x:v>
      </x:c>
      <x:c r="AF74" s="49" t="str">
        <x:v>Not included: no official standardized source; cutoff-derived proxy excluded</x:v>
      </x:c>
      <x:c r="AG74" s="49" t="str">
        <x:v>https://dse2025.mahacet.org.in/dse25/admin/allotment/cap2/3187_4.pdf</x:v>
      </x:c>
      <x:c r="AH74" s="49" t="str">
        <x:v>https://fe2025.mahacet.org/StaticPages/frmInstituteSummary.aspx?InstituteCode=03187</x:v>
      </x:c>
      <x:c r="AI74" s="49"/>
      <x:c r="AJ74" s="49" t="str"/>
      <x:c r="AK74" s="69" t="n">
        <x:f>IF(W74&lt;&gt;"",50,IF(X74="101-150",45,IF(X74="151-200",40,IF(X74="201-300",35,0))))+IF(H74="Autonomous",20,0)+IF(OR(G74="Government",G74="Government-Aided",G74="University Department",G74="University",G74="University Autonomous"),15,0)+MIN(K74,10)+IF(AA74&lt;&gt;"",3,0)+IF(U74&lt;&gt;"",2,0)</x:f>
        <x:v>10</x:v>
      </x:c>
      <x:c r="AL74" s="49" t="str">
        <x:f>IF(AK74&gt;=70,"Official/high-evidence reference",IF(AK74&gt;=40,"Planning reference","Broader option"))</x:f>
        <x:v>Broader option</x:v>
      </x:c>
    </x:row>
    <x:row r="75">
      <x:c r="A75" s="63" t="n">
        <x:v>3188</x:v>
      </x:c>
      <x:c r="B75" s="49" t="str">
        <x:v>Vasantdada Patil Pratishthan's College Of Engineering and Visual Arts, Sion, Mumbai</x:v>
      </x:c>
      <x:c r="C75" s="49" t="str">
        <x:v>Maharashtra</x:v>
      </x:c>
      <x:c r="D75" s="49" t="str">
        <x:v>Mumbai</x:v>
      </x:c>
      <x:c r="E75" s="49" t="str">
        <x:v>Mumbai City</x:v>
      </x:c>
      <x:c r="F75" s="49" t="str">
        <x:v>Padmabhushan Vasantdada Patil Education Complex, Eastern Express Highway, Near Everard Nagar, Sion-Chunabhatti Mumbai</x:v>
      </x:c>
      <x:c r="G75" s="49" t="str">
        <x:v>Un-Aided</x:v>
      </x:c>
      <x:c r="H75" s="49" t="str">
        <x:v>Non-Autonomous</x:v>
      </x:c>
      <x:c r="I75" s="49" t="str">
        <x:v>Non-Minority</x:v>
      </x:c>
      <x:c r="J75" s="49" t="str">
        <x:v>Mumbai University</x:v>
      </x:c>
      <x:c r="K75" s="49" t="n">
        <x:v>5</x:v>
      </x:c>
      <x:c r="L75" s="49" t="n">
        <x:v>86</x:v>
      </x:c>
      <x:c r="M75" s="49" t="n">
        <x:v>58</x:v>
      </x:c>
      <x:c r="N75" s="49" t="n">
        <x:v>28</x:v>
      </x:c>
      <x:c r="O75" s="49"/>
      <x:c r="P75" s="49"/>
      <x:c r="Q75" s="49" t="str">
        <x:v>Parsed from official 2025-26 PDF</x:v>
      </x:c>
      <x:c r="R75" s="49" t="str">
        <x:v>2024-25</x:v>
      </x:c>
      <x:c r="S75" s="64" t="n">
        <x:v>116166</x:v>
      </x:c>
      <x:c r="T75" s="64" t="n">
        <x:v>15334</x:v>
      </x:c>
      <x:c r="U75" s="64" t="n">
        <x:v>131500</x:v>
      </x:c>
      <x:c r="V75" s="49" t="str">
        <x:v>Normal FRA-approved annual tuition + development fee; not seat-type-specific</x:v>
      </x:c>
      <x:c r="W75" s="49"/>
      <x:c r="X75" s="49"/>
      <x:c r="Y75" s="68"/>
      <x:c r="Z75" s="49"/>
      <x:c r="AA75" s="49"/>
      <x:c r="AB75" s="49" t="str">
        <x:v>Not centrally verified</x:v>
      </x:c>
      <x:c r="AC75" s="49" t="str">
        <x:v>Not centrally verified</x:v>
      </x:c>
      <x:c r="AD75" s="49" t="str">
        <x:v>Not centrally verified</x:v>
      </x:c>
      <x:c r="AE75" s="49" t="str">
        <x:v>Not available in a standardized official source</x:v>
      </x:c>
      <x:c r="AF75" s="49" t="str">
        <x:v>Not included: no official standardized source; cutoff-derived proxy excluded</x:v>
      </x:c>
      <x:c r="AG75" s="49" t="str">
        <x:v>https://dse2025.mahacet.org.in/dse25/admin/allotment/cap2/3188_4.pdf</x:v>
      </x:c>
      <x:c r="AH75" s="49" t="str">
        <x:v>https://fe2025.mahacet.org/StaticPages/frmInstituteSummary.aspx?InstituteCode=03188</x:v>
      </x:c>
      <x:c r="AI75" s="49"/>
      <x:c r="AJ75" s="49" t="str"/>
      <x:c r="AK75" s="69" t="n">
        <x:f>IF(W75&lt;&gt;"",50,IF(X75="101-150",45,IF(X75="151-200",40,IF(X75="201-300",35,0))))+IF(H75="Autonomous",20,0)+IF(OR(G75="Government",G75="Government-Aided",G75="University Department",G75="University",G75="University Autonomous"),15,0)+MIN(K75,10)+IF(AA75&lt;&gt;"",3,0)+IF(U75&lt;&gt;"",2,0)</x:f>
        <x:v>7</x:v>
      </x:c>
      <x:c r="AL75" s="49" t="str">
        <x:f>IF(AK75&gt;=70,"Official/high-evidence reference",IF(AK75&gt;=40,"Planning reference","Broader option"))</x:f>
        <x:v>Broader option</x:v>
      </x:c>
    </x:row>
    <x:row r="76">
      <x:c r="A76" s="63" t="n">
        <x:v>3189</x:v>
      </x:c>
      <x:c r="B76" s="49" t="str">
        <x:v>Bharati Vidyapeeth College of Engineering, Navi Mumbai</x:v>
      </x:c>
      <x:c r="C76" s="49" t="str">
        <x:v>Maharashtra</x:v>
      </x:c>
      <x:c r="D76" s="49" t="str">
        <x:v>Mumbai</x:v>
      </x:c>
      <x:c r="E76" s="49" t="str">
        <x:v>Thane</x:v>
      </x:c>
      <x:c r="F76" s="49" t="str">
        <x:v>Sector - 7,CBD- Belpur, Navi Mumbai 400614</x:v>
      </x:c>
      <x:c r="G76" s="49" t="str">
        <x:v>Un-Aided</x:v>
      </x:c>
      <x:c r="H76" s="49" t="str">
        <x:v>Non-Autonomous</x:v>
      </x:c>
      <x:c r="I76" s="49" t="str">
        <x:v>Non-Minority</x:v>
      </x:c>
      <x:c r="J76" s="49" t="str">
        <x:v>Mumbai University</x:v>
      </x:c>
      <x:c r="K76" s="49" t="n">
        <x:v>6</x:v>
      </x:c>
      <x:c r="L76" s="49" t="n">
        <x:v>100</x:v>
      </x:c>
      <x:c r="M76" s="49" t="n">
        <x:v>64</x:v>
      </x:c>
      <x:c r="N76" s="49" t="n">
        <x:v>36</x:v>
      </x:c>
      <x:c r="O76" s="49"/>
      <x:c r="P76" s="49"/>
      <x:c r="Q76" s="49" t="str">
        <x:v>Parsed from official 2025-26 PDF</x:v>
      </x:c>
      <x:c r="R76" s="49" t="str">
        <x:v>2024-25</x:v>
      </x:c>
      <x:c r="S76" s="64" t="n">
        <x:v>97391</x:v>
      </x:c>
      <x:c r="T76" s="64" t="n">
        <x:v>14609</x:v>
      </x:c>
      <x:c r="U76" s="64" t="n">
        <x:v>112000</x:v>
      </x:c>
      <x:c r="V76" s="49" t="str">
        <x:v>Normal FRA-approved annual tuition + development fee; not seat-type-specific</x:v>
      </x:c>
      <x:c r="W76" s="49"/>
      <x:c r="X76" s="49"/>
      <x:c r="Y76" s="68"/>
      <x:c r="Z76" s="49"/>
      <x:c r="AA76" s="49"/>
      <x:c r="AB76" s="49" t="str">
        <x:v>Not centrally verified</x:v>
      </x:c>
      <x:c r="AC76" s="49" t="str">
        <x:v>Not centrally verified</x:v>
      </x:c>
      <x:c r="AD76" s="49" t="str">
        <x:v>Not centrally verified</x:v>
      </x:c>
      <x:c r="AE76" s="49" t="str">
        <x:v>Not available in a standardized official source</x:v>
      </x:c>
      <x:c r="AF76" s="49" t="str">
        <x:v>Not included: no official standardized source; cutoff-derived proxy excluded</x:v>
      </x:c>
      <x:c r="AG76" s="49" t="str">
        <x:v>https://dse2025.mahacet.org.in/dse25/admin/allotment/cap2/3189_4.pdf</x:v>
      </x:c>
      <x:c r="AH76" s="49" t="str">
        <x:v>https://fe2025.mahacet.org/StaticPages/frmInstituteSummary.aspx?InstituteCode=03189</x:v>
      </x:c>
      <x:c r="AI76" s="49"/>
      <x:c r="AJ76" s="49" t="str"/>
      <x:c r="AK76" s="69" t="n">
        <x:f>IF(W76&lt;&gt;"",50,IF(X76="101-150",45,IF(X76="151-200",40,IF(X76="201-300",35,0))))+IF(H76="Autonomous",20,0)+IF(OR(G76="Government",G76="Government-Aided",G76="University Department",G76="University",G76="University Autonomous"),15,0)+MIN(K76,10)+IF(AA76&lt;&gt;"",3,0)+IF(U76&lt;&gt;"",2,0)</x:f>
        <x:v>8</x:v>
      </x:c>
      <x:c r="AL76" s="49" t="str">
        <x:f>IF(AK76&gt;=70,"Official/high-evidence reference",IF(AK76&gt;=40,"Planning reference","Broader option"))</x:f>
        <x:v>Broader option</x:v>
      </x:c>
    </x:row>
    <x:row r="77">
      <x:c r="A77" s="63" t="n">
        <x:v>3190</x:v>
      </x:c>
      <x:c r="B77" s="49" t="str">
        <x:v>Terna Engineering College, Nerul, Navi Mumbai</x:v>
      </x:c>
      <x:c r="C77" s="49" t="str">
        <x:v>Maharashtra</x:v>
      </x:c>
      <x:c r="D77" s="49" t="str">
        <x:v>Mumbai</x:v>
      </x:c>
      <x:c r="E77" s="49" t="str">
        <x:v>Thane</x:v>
      </x:c>
      <x:c r="F77" s="49" t="str">
        <x:v>Plot No. 12, Sector-22,Opp. Nerul Railway Station,Phase-II, Nerul (W),Navi Mumbai</x:v>
      </x:c>
      <x:c r="G77" s="49" t="str">
        <x:v>Un-Aided</x:v>
      </x:c>
      <x:c r="H77" s="49" t="str">
        <x:v>Non-Autonomous</x:v>
      </x:c>
      <x:c r="I77" s="49" t="str">
        <x:v>Non-Minority</x:v>
      </x:c>
      <x:c r="J77" s="49" t="str">
        <x:v>Mumbai University</x:v>
      </x:c>
      <x:c r="K77" s="49" t="n">
        <x:v>8</x:v>
      </x:c>
      <x:c r="L77" s="49" t="n">
        <x:v>208</x:v>
      </x:c>
      <x:c r="M77" s="49" t="n">
        <x:v>166</x:v>
      </x:c>
      <x:c r="N77" s="49" t="n">
        <x:v>42</x:v>
      </x:c>
      <x:c r="O77" s="49"/>
      <x:c r="P77" s="49"/>
      <x:c r="Q77" s="49" t="str">
        <x:v>Parsed from official 2025-26 PDF</x:v>
      </x:c>
      <x:c r="R77" s="49" t="str">
        <x:v>2024-25</x:v>
      </x:c>
      <x:c r="S77" s="64" t="n">
        <x:v>128829</x:v>
      </x:c>
      <x:c r="T77" s="64" t="n">
        <x:v>14171</x:v>
      </x:c>
      <x:c r="U77" s="64" t="n">
        <x:v>143000</x:v>
      </x:c>
      <x:c r="V77" s="49" t="str">
        <x:v>Normal FRA-approved annual tuition + development fee; not seat-type-specific</x:v>
      </x:c>
      <x:c r="W77" s="49"/>
      <x:c r="X77" s="49"/>
      <x:c r="Y77" s="68"/>
      <x:c r="Z77" s="49"/>
      <x:c r="AA77" s="49"/>
      <x:c r="AB77" s="49" t="str">
        <x:v>Not centrally verified</x:v>
      </x:c>
      <x:c r="AC77" s="49" t="str">
        <x:v>Not centrally verified</x:v>
      </x:c>
      <x:c r="AD77" s="49" t="str">
        <x:v>Not centrally verified</x:v>
      </x:c>
      <x:c r="AE77" s="49" t="str">
        <x:v>Not available in a standardized official source</x:v>
      </x:c>
      <x:c r="AF77" s="49" t="str">
        <x:v>Not included: no official standardized source; cutoff-derived proxy excluded</x:v>
      </x:c>
      <x:c r="AG77" s="49" t="str">
        <x:v>https://dse2025.mahacet.org.in/dse25/admin/allotment/cap2/3190_4.pdf</x:v>
      </x:c>
      <x:c r="AH77" s="49" t="str">
        <x:v>https://fe2025.mahacet.org/StaticPages/frmInstituteSummary.aspx?InstituteCode=03190</x:v>
      </x:c>
      <x:c r="AI77" s="49"/>
      <x:c r="AJ77" s="49" t="str"/>
      <x:c r="AK77" s="69" t="n">
        <x:f>IF(W77&lt;&gt;"",50,IF(X77="101-150",45,IF(X77="151-200",40,IF(X77="201-300",35,0))))+IF(H77="Autonomous",20,0)+IF(OR(G77="Government",G77="Government-Aided",G77="University Department",G77="University",G77="University Autonomous"),15,0)+MIN(K77,10)+IF(AA77&lt;&gt;"",3,0)+IF(U77&lt;&gt;"",2,0)</x:f>
        <x:v>10</x:v>
      </x:c>
      <x:c r="AL77" s="49" t="str">
        <x:f>IF(AK77&gt;=70,"Official/high-evidence reference",IF(AK77&gt;=40,"Planning reference","Broader option"))</x:f>
        <x:v>Broader option</x:v>
      </x:c>
    </x:row>
    <x:row r="78">
      <x:c r="A78" s="63" t="n">
        <x:v>3192</x:v>
      </x:c>
      <x:c r="B78" s="49" t="str">
        <x:v>Smt. Indira Gandhi College of Engineering, Navi Mumbai</x:v>
      </x:c>
      <x:c r="C78" s="49" t="str">
        <x:v>Maharashtra</x:v>
      </x:c>
      <x:c r="D78" s="49" t="str">
        <x:v>Mumbai</x:v>
      </x:c>
      <x:c r="E78" s="49" t="str">
        <x:v>Thane</x:v>
      </x:c>
      <x:c r="F78" s="49" t="str">
        <x:v>Plot No.1, Sector No. 08, Ghansoli , Navi Mumbai 400 701</x:v>
      </x:c>
      <x:c r="G78" s="49" t="str">
        <x:v>Un-Aided</x:v>
      </x:c>
      <x:c r="H78" s="49" t="str">
        <x:v>Autonomous</x:v>
      </x:c>
      <x:c r="I78" s="49" t="str">
        <x:v>Non-Minority</x:v>
      </x:c>
      <x:c r="J78" s="49" t="str">
        <x:v>Mumbai University</x:v>
      </x:c>
      <x:c r="K78" s="49" t="n">
        <x:v>6</x:v>
      </x:c>
      <x:c r="L78" s="49" t="n">
        <x:v>127</x:v>
      </x:c>
      <x:c r="M78" s="49" t="n">
        <x:v>93</x:v>
      </x:c>
      <x:c r="N78" s="49" t="n">
        <x:v>34</x:v>
      </x:c>
      <x:c r="O78" s="49"/>
      <x:c r="P78" s="49"/>
      <x:c r="Q78" s="49" t="str">
        <x:v>Parsed from official 2025-26 PDF</x:v>
      </x:c>
      <x:c r="R78" s="49" t="str">
        <x:v>2024-25</x:v>
      </x:c>
      <x:c r="S78" s="64" t="n">
        <x:v>86919</x:v>
      </x:c>
      <x:c r="T78" s="64" t="n">
        <x:v>12081</x:v>
      </x:c>
      <x:c r="U78" s="64" t="n">
        <x:v>99000</x:v>
      </x:c>
      <x:c r="V78" s="49" t="str">
        <x:v>Normal FRA-approved annual tuition + development fee; not seat-type-specific</x:v>
      </x:c>
      <x:c r="W78" s="49"/>
      <x:c r="X78" s="49"/>
      <x:c r="Y78" s="68"/>
      <x:c r="Z78" s="49"/>
      <x:c r="AA78" s="49"/>
      <x:c r="AB78" s="49" t="str">
        <x:v>Not centrally verified</x:v>
      </x:c>
      <x:c r="AC78" s="49" t="str">
        <x:v>Not centrally verified</x:v>
      </x:c>
      <x:c r="AD78" s="49" t="str">
        <x:v>Not centrally verified</x:v>
      </x:c>
      <x:c r="AE78" s="49" t="str">
        <x:v>Not available in a standardized official source</x:v>
      </x:c>
      <x:c r="AF78" s="49" t="str">
        <x:v>Not included: no official standardized source; cutoff-derived proxy excluded</x:v>
      </x:c>
      <x:c r="AG78" s="49" t="str">
        <x:v>https://dse2025.mahacet.org.in/dse25/admin/allotment/cap2/3192_4.pdf</x:v>
      </x:c>
      <x:c r="AH78" s="49" t="str">
        <x:v>https://fe2025.mahacet.org/StaticPages/frmInstituteSummary.aspx?InstituteCode=03192</x:v>
      </x:c>
      <x:c r="AI78" s="49"/>
      <x:c r="AJ78" s="49" t="str"/>
      <x:c r="AK78" s="69" t="n">
        <x:f>IF(W78&lt;&gt;"",50,IF(X78="101-150",45,IF(X78="151-200",40,IF(X78="201-300",35,0))))+IF(H78="Autonomous",20,0)+IF(OR(G78="Government",G78="Government-Aided",G78="University Department",G78="University",G78="University Autonomous"),15,0)+MIN(K78,10)+IF(AA78&lt;&gt;"",3,0)+IF(U78&lt;&gt;"",2,0)</x:f>
        <x:v>28</x:v>
      </x:c>
      <x:c r="AL78" s="49" t="str">
        <x:f>IF(AK78&gt;=70,"Official/high-evidence reference",IF(AK78&gt;=40,"Planning reference","Broader option"))</x:f>
        <x:v>Broader option</x:v>
      </x:c>
    </x:row>
    <x:row r="79">
      <x:c r="A79" s="63" t="n">
        <x:v>3193</x:v>
      </x:c>
      <x:c r="B79" s="49" t="str">
        <x:v>Shivajirao S. Jondhale College of Engineering, Dombivali,Mumbai</x:v>
      </x:c>
      <x:c r="C79" s="49" t="str">
        <x:v>Maharashtra</x:v>
      </x:c>
      <x:c r="D79" s="49" t="str">
        <x:v>Mumbai</x:v>
      </x:c>
      <x:c r="E79" s="49" t="str">
        <x:v>Thane</x:v>
      </x:c>
      <x:c r="F79" s="49" t="str">
        <x:v>Sheel Kalyan Highway, Behind Venkatesh Petrolpump, Sonarpada, Manpada Post, Dombivali (E) Thane</x:v>
      </x:c>
      <x:c r="G79" s="49" t="str">
        <x:v>Un-Aided</x:v>
      </x:c>
      <x:c r="H79" s="49" t="str">
        <x:v>Non-Autonomous</x:v>
      </x:c>
      <x:c r="I79" s="49" t="str">
        <x:v>Non-Minority</x:v>
      </x:c>
      <x:c r="J79" s="49" t="str">
        <x:v>Mumbai University</x:v>
      </x:c>
      <x:c r="K79" s="49" t="n">
        <x:v>6</x:v>
      </x:c>
      <x:c r="L79" s="49" t="n">
        <x:v>165</x:v>
      </x:c>
      <x:c r="M79" s="49" t="n">
        <x:v>138</x:v>
      </x:c>
      <x:c r="N79" s="49" t="n">
        <x:v>27</x:v>
      </x:c>
      <x:c r="O79" s="49"/>
      <x:c r="P79" s="49"/>
      <x:c r="Q79" s="49" t="str">
        <x:v>Parsed from official 2025-26 PDF</x:v>
      </x:c>
      <x:c r="R79" s="49" t="str">
        <x:v>2024-25</x:v>
      </x:c>
      <x:c r="S79" s="64" t="n">
        <x:v>90747</x:v>
      </x:c>
      <x:c r="T79" s="64" t="n">
        <x:v>11253</x:v>
      </x:c>
      <x:c r="U79" s="64" t="n">
        <x:v>102000</x:v>
      </x:c>
      <x:c r="V79" s="49" t="str">
        <x:v>Normal FRA-approved annual tuition + development fee; not seat-type-specific</x:v>
      </x:c>
      <x:c r="W79" s="49"/>
      <x:c r="X79" s="49"/>
      <x:c r="Y79" s="68"/>
      <x:c r="Z79" s="49"/>
      <x:c r="AA79" s="49"/>
      <x:c r="AB79" s="49" t="str">
        <x:v>Not centrally verified</x:v>
      </x:c>
      <x:c r="AC79" s="49" t="str">
        <x:v>Not centrally verified</x:v>
      </x:c>
      <x:c r="AD79" s="49" t="str">
        <x:v>Not centrally verified</x:v>
      </x:c>
      <x:c r="AE79" s="49" t="str">
        <x:v>Not available in a standardized official source</x:v>
      </x:c>
      <x:c r="AF79" s="49" t="str">
        <x:v>Not included: no official standardized source; cutoff-derived proxy excluded</x:v>
      </x:c>
      <x:c r="AG79" s="49" t="str">
        <x:v>https://dse2025.mahacet.org.in/dse25/admin/allotment/cap2/3193_4.pdf</x:v>
      </x:c>
      <x:c r="AH79" s="49" t="str">
        <x:v>https://fe2025.mahacet.org/StaticPages/frmInstituteSummary.aspx?InstituteCode=03193</x:v>
      </x:c>
      <x:c r="AI79" s="49"/>
      <x:c r="AJ79" s="49" t="str"/>
      <x:c r="AK79" s="69" t="n">
        <x:f>IF(W79&lt;&gt;"",50,IF(X79="101-150",45,IF(X79="151-200",40,IF(X79="201-300",35,0))))+IF(H79="Autonomous",20,0)+IF(OR(G79="Government",G79="Government-Aided",G79="University Department",G79="University",G79="University Autonomous"),15,0)+MIN(K79,10)+IF(AA79&lt;&gt;"",3,0)+IF(U79&lt;&gt;"",2,0)</x:f>
        <x:v>8</x:v>
      </x:c>
      <x:c r="AL79" s="49" t="str">
        <x:f>IF(AK79&gt;=70,"Official/high-evidence reference",IF(AK79&gt;=40,"Planning reference","Broader option"))</x:f>
        <x:v>Broader option</x:v>
      </x:c>
    </x:row>
    <x:row r="80">
      <x:c r="A80" s="63" t="n">
        <x:v>3194</x:v>
      </x:c>
      <x:c r="B80" s="49" t="str">
        <x:v>Vidyavardhini's College of Engineering and Technology, Vasai</x:v>
      </x:c>
      <x:c r="C80" s="49" t="str">
        <x:v>Maharashtra</x:v>
      </x:c>
      <x:c r="D80" s="49" t="str">
        <x:v>Mumbai</x:v>
      </x:c>
      <x:c r="E80" s="49" t="str">
        <x:v>Palghar</x:v>
      </x:c>
      <x:c r="F80" s="49" t="str">
        <x:v>Vasai Road (W Rly), Tal: Vasai, District Palghar</x:v>
      </x:c>
      <x:c r="G80" s="49" t="str">
        <x:v>Un-Aided</x:v>
      </x:c>
      <x:c r="H80" s="49" t="str">
        <x:v>Non-Autonomous</x:v>
      </x:c>
      <x:c r="I80" s="49" t="str">
        <x:v>Non-Minority</x:v>
      </x:c>
      <x:c r="J80" s="49" t="str">
        <x:v>Mumbai University</x:v>
      </x:c>
      <x:c r="K80" s="49" t="n">
        <x:v>8</x:v>
      </x:c>
      <x:c r="L80" s="49" t="n">
        <x:v>173</x:v>
      </x:c>
      <x:c r="M80" s="49" t="n">
        <x:v>135</x:v>
      </x:c>
      <x:c r="N80" s="49" t="n">
        <x:v>38</x:v>
      </x:c>
      <x:c r="O80" s="49"/>
      <x:c r="P80" s="49"/>
      <x:c r="Q80" s="49" t="str">
        <x:v>Parsed from official 2025-26 PDF</x:v>
      </x:c>
      <x:c r="R80" s="49" t="str">
        <x:v>2024-25</x:v>
      </x:c>
      <x:c r="S80" s="64" t="n">
        <x:v>108619</x:v>
      </x:c>
      <x:c r="T80" s="64" t="n">
        <x:v>14881</x:v>
      </x:c>
      <x:c r="U80" s="64" t="n">
        <x:v>123500</x:v>
      </x:c>
      <x:c r="V80" s="49" t="str">
        <x:v>Normal FRA-approved annual tuition + development fee; not seat-type-specific</x:v>
      </x:c>
      <x:c r="W80" s="49"/>
      <x:c r="X80" s="49"/>
      <x:c r="Y80" s="68"/>
      <x:c r="Z80" s="49"/>
      <x:c r="AA80" s="49"/>
      <x:c r="AB80" s="49" t="str">
        <x:v>Not centrally verified</x:v>
      </x:c>
      <x:c r="AC80" s="49" t="str">
        <x:v>Not centrally verified</x:v>
      </x:c>
      <x:c r="AD80" s="49" t="str">
        <x:v>Not centrally verified</x:v>
      </x:c>
      <x:c r="AE80" s="49" t="str">
        <x:v>Not available in a standardized official source</x:v>
      </x:c>
      <x:c r="AF80" s="49" t="str">
        <x:v>Not included: no official standardized source; cutoff-derived proxy excluded</x:v>
      </x:c>
      <x:c r="AG80" s="49" t="str">
        <x:v>https://dse2025.mahacet.org.in/dse25/admin/allotment/cap2/3194_4.pdf</x:v>
      </x:c>
      <x:c r="AH80" s="49" t="str">
        <x:v>https://fe2025.mahacet.org/StaticPages/frmInstituteSummary.aspx?InstituteCode=03194</x:v>
      </x:c>
      <x:c r="AI80" s="49"/>
      <x:c r="AJ80" s="49" t="str"/>
      <x:c r="AK80" s="69" t="n">
        <x:f>IF(W80&lt;&gt;"",50,IF(X80="101-150",45,IF(X80="151-200",40,IF(X80="201-300",35,0))))+IF(H80="Autonomous",20,0)+IF(OR(G80="Government",G80="Government-Aided",G80="University Department",G80="University",G80="University Autonomous"),15,0)+MIN(K80,10)+IF(AA80&lt;&gt;"",3,0)+IF(U80&lt;&gt;"",2,0)</x:f>
        <x:v>10</x:v>
      </x:c>
      <x:c r="AL80" s="49" t="str">
        <x:f>IF(AK80&gt;=70,"Official/high-evidence reference",IF(AK80&gt;=40,"Planning reference","Broader option"))</x:f>
        <x:v>Broader option</x:v>
      </x:c>
    </x:row>
    <x:row r="81">
      <x:c r="A81" s="63" t="n">
        <x:v>3196</x:v>
      </x:c>
      <x:c r="B81" s="49" t="str">
        <x:v>Lokmanya Tilak College of Engineering, Kopar Khairane, Navi Mumbai</x:v>
      </x:c>
      <x:c r="C81" s="49" t="str">
        <x:v>Maharashtra</x:v>
      </x:c>
      <x:c r="D81" s="49" t="str">
        <x:v>Mumbai</x:v>
      </x:c>
      <x:c r="E81" s="49" t="str">
        <x:v>Thane</x:v>
      </x:c>
      <x:c r="F81" s="49" t="str">
        <x:v>Sector - 4, Plot N0 17 &amp; 18, Vikas Nagar, Koparkhairane, Navi Mumbai</x:v>
      </x:c>
      <x:c r="G81" s="49" t="str">
        <x:v>Un-Aided</x:v>
      </x:c>
      <x:c r="H81" s="49" t="str">
        <x:v>Autonomous</x:v>
      </x:c>
      <x:c r="I81" s="49" t="str">
        <x:v>Linguistic Minority - Hindi</x:v>
      </x:c>
      <x:c r="J81" s="49" t="str">
        <x:v>Mumbai University</x:v>
      </x:c>
      <x:c r="K81" s="49" t="n">
        <x:v>7</x:v>
      </x:c>
      <x:c r="L81" s="49" t="n">
        <x:v>80</x:v>
      </x:c>
      <x:c r="M81" s="49" t="n">
        <x:v>34</x:v>
      </x:c>
      <x:c r="N81" s="49"/>
      <x:c r="O81" s="49" t="n">
        <x:v>46</x:v>
      </x:c>
      <x:c r="P81" s="49"/>
      <x:c r="Q81" s="49" t="str">
        <x:v>Parsed from official 2025-26 PDF</x:v>
      </x:c>
      <x:c r="R81" s="49" t="str">
        <x:v>2024-25</x:v>
      </x:c>
      <x:c r="S81" s="64" t="n">
        <x:v>122270</x:v>
      </x:c>
      <x:c r="T81" s="64" t="n">
        <x:v>17730</x:v>
      </x:c>
      <x:c r="U81" s="64" t="n">
        <x:v>140000</x:v>
      </x:c>
      <x:c r="V81" s="49" t="str">
        <x:v>Normal FRA-approved annual tuition + development fee; not seat-type-specific</x:v>
      </x:c>
      <x:c r="W81" s="49"/>
      <x:c r="X81" s="49"/>
      <x:c r="Y81" s="68"/>
      <x:c r="Z81" s="49"/>
      <x:c r="AA81" s="49"/>
      <x:c r="AB81" s="49" t="str">
        <x:v>Not centrally verified</x:v>
      </x:c>
      <x:c r="AC81" s="49" t="str">
        <x:v>Not centrally verified</x:v>
      </x:c>
      <x:c r="AD81" s="49" t="str">
        <x:v>Not centrally verified</x:v>
      </x:c>
      <x:c r="AE81" s="49" t="str">
        <x:v>Not available in a standardized official source</x:v>
      </x:c>
      <x:c r="AF81" s="49" t="str">
        <x:v>Not included: no official standardized source; cutoff-derived proxy excluded</x:v>
      </x:c>
      <x:c r="AG81" s="49" t="str">
        <x:v>https://dse2025.mahacet.org.in/dse25/admin/allotment/cap2/3196_4.pdf</x:v>
      </x:c>
      <x:c r="AH81" s="49" t="str">
        <x:v>https://fe2025.mahacet.org/StaticPages/frmInstituteSummary.aspx?InstituteCode=03196</x:v>
      </x:c>
      <x:c r="AI81" s="49"/>
      <x:c r="AJ81" s="49" t="str"/>
      <x:c r="AK81" s="69" t="n">
        <x:f>IF(W81&lt;&gt;"",50,IF(X81="101-150",45,IF(X81="151-200",40,IF(X81="201-300",35,0))))+IF(H81="Autonomous",20,0)+IF(OR(G81="Government",G81="Government-Aided",G81="University Department",G81="University",G81="University Autonomous"),15,0)+MIN(K81,10)+IF(AA81&lt;&gt;"",3,0)+IF(U81&lt;&gt;"",2,0)</x:f>
        <x:v>29</x:v>
      </x:c>
      <x:c r="AL81" s="49" t="str">
        <x:f>IF(AK81&gt;=70,"Official/high-evidence reference",IF(AK81&gt;=40,"Planning reference","Broader option"))</x:f>
        <x:v>Broader option</x:v>
      </x:c>
    </x:row>
    <x:row r="82">
      <x:c r="A82" s="63" t="n">
        <x:v>3197</x:v>
      </x:c>
      <x:c r="B82" s="49" t="str">
        <x:v>Agnel Charities' FR. C. Rodrigues Institute of Technology, Vashi, Navi Mumbai</x:v>
      </x:c>
      <x:c r="C82" s="49" t="str">
        <x:v>Maharashtra</x:v>
      </x:c>
      <x:c r="D82" s="49" t="str">
        <x:v>Mumbai</x:v>
      </x:c>
      <x:c r="E82" s="49" t="str">
        <x:v>Thane</x:v>
      </x:c>
      <x:c r="F82" s="49" t="str">
        <x:v>Sector 9-A, Vashi, Navi Mumbai,</x:v>
      </x:c>
      <x:c r="G82" s="49" t="str">
        <x:v>Un-Aided</x:v>
      </x:c>
      <x:c r="H82" s="49" t="str">
        <x:v>Autonomous</x:v>
      </x:c>
      <x:c r="I82" s="49" t="str">
        <x:v>Religious Minority - Christian</x:v>
      </x:c>
      <x:c r="J82" s="49" t="str">
        <x:v>Mumbai University</x:v>
      </x:c>
      <x:c r="K82" s="49" t="n">
        <x:v>5</x:v>
      </x:c>
      <x:c r="L82" s="49" t="n">
        <x:v>52</x:v>
      </x:c>
      <x:c r="M82" s="49" t="n">
        <x:v>22</x:v>
      </x:c>
      <x:c r="N82" s="49"/>
      <x:c r="O82" s="49" t="n">
        <x:v>30</x:v>
      </x:c>
      <x:c r="P82" s="49"/>
      <x:c r="Q82" s="49" t="str">
        <x:v>Parsed from official 2025-26 PDF</x:v>
      </x:c>
      <x:c r="R82" s="49" t="str">
        <x:v>2024-25</x:v>
      </x:c>
      <x:c r="S82" s="64" t="n">
        <x:v>133913</x:v>
      </x:c>
      <x:c r="T82" s="64" t="n">
        <x:v>20087</x:v>
      </x:c>
      <x:c r="U82" s="64" t="n">
        <x:v>154000</x:v>
      </x:c>
      <x:c r="V82" s="49" t="str">
        <x:v>Normal FRA-approved annual tuition + development fee; not seat-type-specific</x:v>
      </x:c>
      <x:c r="W82" s="49"/>
      <x:c r="X82" s="49"/>
      <x:c r="Y82" s="68"/>
      <x:c r="Z82" s="49"/>
      <x:c r="AA82" s="49" t="str">
        <x:v>https://www.fcrit.ac.in/</x:v>
      </x:c>
      <x:c r="AB82" s="49" t="str">
        <x:v>Verified official domain</x:v>
      </x:c>
      <x:c r="AC82" s="49" t="str">
        <x:v>Not centrally verified</x:v>
      </x:c>
      <x:c r="AD82" s="49" t="str">
        <x:v>Not centrally verified</x:v>
      </x:c>
      <x:c r="AE82" s="49" t="str">
        <x:v>Not available in a standardized official source</x:v>
      </x:c>
      <x:c r="AF82" s="49" t="str">
        <x:v>Not included: no official standardized source; cutoff-derived proxy excluded</x:v>
      </x:c>
      <x:c r="AG82" s="49" t="str">
        <x:v>https://dse2025.mahacet.org.in/dse25/admin/allotment/cap2/3197_4.pdf</x:v>
      </x:c>
      <x:c r="AH82" s="49" t="str">
        <x:v>https://fe2025.mahacet.org/StaticPages/frmInstituteSummary.aspx?InstituteCode=03197</x:v>
      </x:c>
      <x:c r="AI82" s="49"/>
      <x:c r="AJ82" s="49" t="str"/>
      <x:c r="AK82" s="69" t="n">
        <x:f>IF(W82&lt;&gt;"",50,IF(X82="101-150",45,IF(X82="151-200",40,IF(X82="201-300",35,0))))+IF(H82="Autonomous",20,0)+IF(OR(G82="Government",G82="Government-Aided",G82="University Department",G82="University",G82="University Autonomous"),15,0)+MIN(K82,10)+IF(AA82&lt;&gt;"",3,0)+IF(U82&lt;&gt;"",2,0)</x:f>
        <x:v>30</x:v>
      </x:c>
      <x:c r="AL82" s="49" t="str">
        <x:f>IF(AK82&gt;=70,"Official/high-evidence reference",IF(AK82&gt;=40,"Planning reference","Broader option"))</x:f>
        <x:v>Broader option</x:v>
      </x:c>
    </x:row>
    <x:row r="83">
      <x:c r="A83" s="63" t="n">
        <x:v>3198</x:v>
      </x:c>
      <x:c r="B83" s="49" t="str">
        <x:v>Konkan Gyanpeeth College of Engineering, Karjat</x:v>
      </x:c>
      <x:c r="C83" s="49" t="str">
        <x:v>Maharashtra</x:v>
      </x:c>
      <x:c r="D83" s="49" t="str">
        <x:v>Mumbai</x:v>
      </x:c>
      <x:c r="E83" s="49" t="str">
        <x:v>Raigad</x:v>
      </x:c>
      <x:c r="F83" s="49" t="str">
        <x:v>Vengaon Road, Dahivali, Karjat</x:v>
      </x:c>
      <x:c r="G83" s="49" t="str">
        <x:v>Un-Aided</x:v>
      </x:c>
      <x:c r="H83" s="49" t="str">
        <x:v>Non-Autonomous</x:v>
      </x:c>
      <x:c r="I83" s="49" t="str">
        <x:v>Non-Minority</x:v>
      </x:c>
      <x:c r="J83" s="49" t="str">
        <x:v>Mumbai University</x:v>
      </x:c>
      <x:c r="K83" s="49" t="n">
        <x:v>5</x:v>
      </x:c>
      <x:c r="L83" s="49" t="n">
        <x:v>155</x:v>
      </x:c>
      <x:c r="M83" s="49" t="n">
        <x:v>131</x:v>
      </x:c>
      <x:c r="N83" s="49" t="n">
        <x:v>24</x:v>
      </x:c>
      <x:c r="O83" s="49"/>
      <x:c r="P83" s="49"/>
      <x:c r="Q83" s="49" t="str">
        <x:v>Parsed from official 2025-26 PDF</x:v>
      </x:c>
      <x:c r="R83" s="49" t="str">
        <x:v>2024-25</x:v>
      </x:c>
      <x:c r="S83" s="64" t="n">
        <x:v>84821</x:v>
      </x:c>
      <x:c r="T83" s="64" t="n">
        <x:v>10179</x:v>
      </x:c>
      <x:c r="U83" s="64" t="n">
        <x:v>95000</x:v>
      </x:c>
      <x:c r="V83" s="49" t="str">
        <x:v>Normal FRA-approved annual tuition + development fee; not seat-type-specific</x:v>
      </x:c>
      <x:c r="W83" s="49"/>
      <x:c r="X83" s="49"/>
      <x:c r="Y83" s="68"/>
      <x:c r="Z83" s="49"/>
      <x:c r="AA83" s="49"/>
      <x:c r="AB83" s="49" t="str">
        <x:v>Not centrally verified</x:v>
      </x:c>
      <x:c r="AC83" s="49" t="str">
        <x:v>Not centrally verified</x:v>
      </x:c>
      <x:c r="AD83" s="49" t="str">
        <x:v>Not centrally verified</x:v>
      </x:c>
      <x:c r="AE83" s="49" t="str">
        <x:v>Not available in a standardized official source</x:v>
      </x:c>
      <x:c r="AF83" s="49" t="str">
        <x:v>Not included: no official standardized source; cutoff-derived proxy excluded</x:v>
      </x:c>
      <x:c r="AG83" s="49" t="str">
        <x:v>https://dse2025.mahacet.org.in/dse25/admin/allotment/cap2/3198_4.pdf</x:v>
      </x:c>
      <x:c r="AH83" s="49" t="str">
        <x:v>https://fe2025.mahacet.org/StaticPages/frmInstituteSummary.aspx?InstituteCode=03198</x:v>
      </x:c>
      <x:c r="AI83" s="49"/>
      <x:c r="AJ83" s="49" t="str"/>
      <x:c r="AK83" s="69" t="n">
        <x:f>IF(W83&lt;&gt;"",50,IF(X83="101-150",45,IF(X83="151-200",40,IF(X83="201-300",35,0))))+IF(H83="Autonomous",20,0)+IF(OR(G83="Government",G83="Government-Aided",G83="University Department",G83="University",G83="University Autonomous"),15,0)+MIN(K83,10)+IF(AA83&lt;&gt;"",3,0)+IF(U83&lt;&gt;"",2,0)</x:f>
        <x:v>7</x:v>
      </x:c>
      <x:c r="AL83" s="49" t="str">
        <x:f>IF(AK83&gt;=70,"Official/high-evidence reference",IF(AK83&gt;=40,"Planning reference","Broader option"))</x:f>
        <x:v>Broader option</x:v>
      </x:c>
    </x:row>
    <x:row r="84">
      <x:c r="A84" s="63" t="n">
        <x:v>3199</x:v>
      </x:c>
      <x:c r="B84" s="49" t="str">
        <x:v>Shri Vile Parle Kelvani Mandal's Dwarkadas J. Sanghvi College of Engineering, Vile Parle,Mumbai</x:v>
      </x:c>
      <x:c r="C84" s="49" t="str">
        <x:v>Maharashtra</x:v>
      </x:c>
      <x:c r="D84" s="49" t="str">
        <x:v>Mumbai</x:v>
      </x:c>
      <x:c r="E84" s="49" t="str">
        <x:v>Mumbai Suburban</x:v>
      </x:c>
      <x:c r="F84" s="49" t="str">
        <x:v>Plot No. U-15, J.V.P.D. Scheme, Bhaktivedanta Swami Marg, Vile Parle (West), Mumbai</x:v>
      </x:c>
      <x:c r="G84" s="49" t="str">
        <x:v>Un-Aided</x:v>
      </x:c>
      <x:c r="H84" s="49" t="str">
        <x:v>Autonomous</x:v>
      </x:c>
      <x:c r="I84" s="49" t="str">
        <x:v>Linguistic Minority - Gujarathi</x:v>
      </x:c>
      <x:c r="J84" s="49" t="str">
        <x:v>Mumbai University</x:v>
      </x:c>
      <x:c r="K84" s="49" t="n">
        <x:v>8</x:v>
      </x:c>
      <x:c r="L84" s="49" t="n">
        <x:v>123</x:v>
      </x:c>
      <x:c r="M84" s="49" t="n">
        <x:v>56</x:v>
      </x:c>
      <x:c r="N84" s="49"/>
      <x:c r="O84" s="49" t="n">
        <x:v>67</x:v>
      </x:c>
      <x:c r="P84" s="49"/>
      <x:c r="Q84" s="49" t="str">
        <x:v>Parsed from official 2025-26 PDF</x:v>
      </x:c>
      <x:c r="R84" s="49" t="str">
        <x:v>2024-25</x:v>
      </x:c>
      <x:c r="S84" s="64" t="n">
        <x:v>191304</x:v>
      </x:c>
      <x:c r="T84" s="64" t="n">
        <x:v>28696</x:v>
      </x:c>
      <x:c r="U84" s="64" t="n">
        <x:v>220000</x:v>
      </x:c>
      <x:c r="V84" s="49" t="str">
        <x:v>Normal FRA-approved annual tuition + development fee; not seat-type-specific</x:v>
      </x:c>
      <x:c r="W84" s="49"/>
      <x:c r="X84" s="49" t="str">
        <x:v>201-300</x:v>
      </x:c>
      <x:c r="Y84" s="68"/>
      <x:c r="Z84" s="49" t="str">
        <x:v>Dwarkadas J. Sanghvi College of Engineering</x:v>
      </x:c>
      <x:c r="AA84" s="49" t="str">
        <x:v>https://www.djsce.ac.in/</x:v>
      </x:c>
      <x:c r="AB84" s="49" t="str">
        <x:v>Verified official domain</x:v>
      </x:c>
      <x:c r="AC84" s="49" t="str">
        <x:v>Not centrally verified</x:v>
      </x:c>
      <x:c r="AD84" s="49" t="str">
        <x:v>Not centrally verified</x:v>
      </x:c>
      <x:c r="AE84" s="49" t="str">
        <x:v>Not available in a standardized official source</x:v>
      </x:c>
      <x:c r="AF84" s="49" t="str">
        <x:v>Not included: no official standardized source; cutoff-derived proxy excluded</x:v>
      </x:c>
      <x:c r="AG84" s="49" t="str">
        <x:v>https://dse2025.mahacet.org.in/dse25/admin/allotment/cap2/3199_4.pdf</x:v>
      </x:c>
      <x:c r="AH84" s="49" t="str">
        <x:v>https://fe2025.mahacet.org/StaticPages/frmInstituteSummary.aspx?InstituteCode=03199</x:v>
      </x:c>
      <x:c r="AI84" s="49" t="str">
        <x:v>https://www.nirfindia.org/Rankings/2025/EngineeringRanking300.html</x:v>
      </x:c>
      <x:c r="AJ84" s="49" t="str"/>
      <x:c r="AK84" s="69" t="n">
        <x:f>IF(W84&lt;&gt;"",50,IF(X84="101-150",45,IF(X84="151-200",40,IF(X84="201-300",35,0))))+IF(H84="Autonomous",20,0)+IF(OR(G84="Government",G84="Government-Aided",G84="University Department",G84="University",G84="University Autonomous"),15,0)+MIN(K84,10)+IF(AA84&lt;&gt;"",3,0)+IF(U84&lt;&gt;"",2,0)</x:f>
        <x:v>68</x:v>
      </x:c>
      <x:c r="AL84" s="49" t="str">
        <x:f>IF(AK84&gt;=70,"Official/high-evidence reference",IF(AK84&gt;=40,"Planning reference","Broader option"))</x:f>
        <x:v>Planning reference</x:v>
      </x:c>
    </x:row>
    <x:row r="85">
      <x:c r="A85" s="63" t="n">
        <x:v>3200</x:v>
      </x:c>
      <x:c r="B85" s="49" t="str">
        <x:v>Hope Foundation and research center's Finolex Academy of Management and Technology, Ratnagiri</x:v>
      </x:c>
      <x:c r="C85" s="49" t="str">
        <x:v>Maharashtra</x:v>
      </x:c>
      <x:c r="D85" s="49" t="str">
        <x:v>Mumbai</x:v>
      </x:c>
      <x:c r="E85" s="49" t="str">
        <x:v>Ratnagiri</x:v>
      </x:c>
      <x:c r="F85" s="49" t="str">
        <x:v>P- 60, P-60/1, MIDC, Mirjole Block, Ratnagiri</x:v>
      </x:c>
      <x:c r="G85" s="49" t="str">
        <x:v>Un-Aided</x:v>
      </x:c>
      <x:c r="H85" s="49" t="str">
        <x:v>Non-Autonomous</x:v>
      </x:c>
      <x:c r="I85" s="49" t="str">
        <x:v>Non-Minority</x:v>
      </x:c>
      <x:c r="J85" s="49" t="str">
        <x:v>Mumbai University</x:v>
      </x:c>
      <x:c r="K85" s="49" t="n">
        <x:v>7</x:v>
      </x:c>
      <x:c r="L85" s="49" t="n">
        <x:v>97</x:v>
      </x:c>
      <x:c r="M85" s="49" t="n">
        <x:v>77</x:v>
      </x:c>
      <x:c r="N85" s="49" t="n">
        <x:v>20</x:v>
      </x:c>
      <x:c r="O85" s="49"/>
      <x:c r="P85" s="49"/>
      <x:c r="Q85" s="49" t="str">
        <x:v>Parsed from official 2025-26 PDF</x:v>
      </x:c>
      <x:c r="R85" s="49" t="str">
        <x:v>2024-25</x:v>
      </x:c>
      <x:c r="S85" s="64" t="n">
        <x:v>91872</x:v>
      </x:c>
      <x:c r="T85" s="64" t="n">
        <x:v>12128</x:v>
      </x:c>
      <x:c r="U85" s="64" t="n">
        <x:v>104000</x:v>
      </x:c>
      <x:c r="V85" s="49" t="str">
        <x:v>Normal FRA-approved annual tuition + development fee; not seat-type-specific</x:v>
      </x:c>
      <x:c r="W85" s="49"/>
      <x:c r="X85" s="49"/>
      <x:c r="Y85" s="68"/>
      <x:c r="Z85" s="49"/>
      <x:c r="AA85" s="49"/>
      <x:c r="AB85" s="49" t="str">
        <x:v>Not centrally verified</x:v>
      </x:c>
      <x:c r="AC85" s="49" t="str">
        <x:v>Not centrally verified</x:v>
      </x:c>
      <x:c r="AD85" s="49" t="str">
        <x:v>Not centrally verified</x:v>
      </x:c>
      <x:c r="AE85" s="49" t="str">
        <x:v>Not available in a standardized official source</x:v>
      </x:c>
      <x:c r="AF85" s="49" t="str">
        <x:v>Not included: no official standardized source; cutoff-derived proxy excluded</x:v>
      </x:c>
      <x:c r="AG85" s="49" t="str">
        <x:v>https://dse2025.mahacet.org.in/dse25/admin/allotment/cap2/3200_4.pdf</x:v>
      </x:c>
      <x:c r="AH85" s="49" t="str">
        <x:v>https://fe2025.mahacet.org/StaticPages/frmInstituteSummary.aspx?InstituteCode=03200</x:v>
      </x:c>
      <x:c r="AI85" s="49"/>
      <x:c r="AJ85" s="49" t="str"/>
      <x:c r="AK85" s="69" t="n">
        <x:f>IF(W85&lt;&gt;"",50,IF(X85="101-150",45,IF(X85="151-200",40,IF(X85="201-300",35,0))))+IF(H85="Autonomous",20,0)+IF(OR(G85="Government",G85="Government-Aided",G85="University Department",G85="University",G85="University Autonomous"),15,0)+MIN(K85,10)+IF(AA85&lt;&gt;"",3,0)+IF(U85&lt;&gt;"",2,0)</x:f>
        <x:v>9</x:v>
      </x:c>
      <x:c r="AL85" s="49" t="str">
        <x:f>IF(AK85&gt;=70,"Official/high-evidence reference",IF(AK85&gt;=40,"Planning reference","Broader option"))</x:f>
        <x:v>Broader option</x:v>
      </x:c>
    </x:row>
    <x:row r="86">
      <x:c r="A86" s="63" t="n">
        <x:v>3201</x:v>
      </x:c>
      <x:c r="B86" s="49" t="str">
        <x:v>Rizvi Education Society's Rizvi College of Engineering, Bandra,Mumbai</x:v>
      </x:c>
      <x:c r="C86" s="49" t="str">
        <x:v>Maharashtra</x:v>
      </x:c>
      <x:c r="D86" s="49" t="str">
        <x:v>Mumbai</x:v>
      </x:c>
      <x:c r="E86" s="49" t="str">
        <x:v>Mumbai Suburban</x:v>
      </x:c>
      <x:c r="F86" s="49" t="str">
        <x:v>Rizvi Educational Complex, Off Carter Road, Sherly Rajan Village, Bandra (W), Mumbai</x:v>
      </x:c>
      <x:c r="G86" s="49" t="str">
        <x:v>Un-Aided</x:v>
      </x:c>
      <x:c r="H86" s="49" t="str">
        <x:v>Non-Autonomous</x:v>
      </x:c>
      <x:c r="I86" s="49" t="str">
        <x:v>Religious Minority - Muslim</x:v>
      </x:c>
      <x:c r="J86" s="49" t="str">
        <x:v>Mumbai University</x:v>
      </x:c>
      <x:c r="K86" s="49" t="n">
        <x:v>5</x:v>
      </x:c>
      <x:c r="L86" s="49" t="n">
        <x:v>92</x:v>
      </x:c>
      <x:c r="M86" s="49" t="n">
        <x:v>8</x:v>
      </x:c>
      <x:c r="N86" s="49"/>
      <x:c r="O86" s="49" t="n">
        <x:v>84</x:v>
      </x:c>
      <x:c r="P86" s="49"/>
      <x:c r="Q86" s="49" t="str">
        <x:v>Parsed from official 2025-26 PDF</x:v>
      </x:c>
      <x:c r="R86" s="49" t="str">
        <x:v>2024-25</x:v>
      </x:c>
      <x:c r="S86" s="64" t="n">
        <x:v>99378</x:v>
      </x:c>
      <x:c r="T86" s="64" t="n">
        <x:v>12622</x:v>
      </x:c>
      <x:c r="U86" s="64" t="n">
        <x:v>112000</x:v>
      </x:c>
      <x:c r="V86" s="49" t="str">
        <x:v>Normal FRA-approved annual tuition + development fee; not seat-type-specific</x:v>
      </x:c>
      <x:c r="W86" s="49"/>
      <x:c r="X86" s="49"/>
      <x:c r="Y86" s="68"/>
      <x:c r="Z86" s="49"/>
      <x:c r="AA86" s="49"/>
      <x:c r="AB86" s="49" t="str">
        <x:v>Not centrally verified</x:v>
      </x:c>
      <x:c r="AC86" s="49" t="str">
        <x:v>Not centrally verified</x:v>
      </x:c>
      <x:c r="AD86" s="49" t="str">
        <x:v>Not centrally verified</x:v>
      </x:c>
      <x:c r="AE86" s="49" t="str">
        <x:v>Not available in a standardized official source</x:v>
      </x:c>
      <x:c r="AF86" s="49" t="str">
        <x:v>Not included: no official standardized source; cutoff-derived proxy excluded</x:v>
      </x:c>
      <x:c r="AG86" s="49" t="str">
        <x:v>https://dse2025.mahacet.org.in/dse25/admin/allotment/cap2/3201_4.pdf</x:v>
      </x:c>
      <x:c r="AH86" s="49" t="str">
        <x:v>https://fe2025.mahacet.org/StaticPages/frmInstituteSummary.aspx?InstituteCode=03201</x:v>
      </x:c>
      <x:c r="AI86" s="49"/>
      <x:c r="AJ86" s="49" t="str"/>
      <x:c r="AK86" s="69" t="n">
        <x:f>IF(W86&lt;&gt;"",50,IF(X86="101-150",45,IF(X86="151-200",40,IF(X86="201-300",35,0))))+IF(H86="Autonomous",20,0)+IF(OR(G86="Government",G86="Government-Aided",G86="University Department",G86="University",G86="University Autonomous"),15,0)+MIN(K86,10)+IF(AA86&lt;&gt;"",3,0)+IF(U86&lt;&gt;"",2,0)</x:f>
        <x:v>7</x:v>
      </x:c>
      <x:c r="AL86" s="49" t="str">
        <x:f>IF(AK86&gt;=70,"Official/high-evidence reference",IF(AK86&gt;=40,"Planning reference","Broader option"))</x:f>
        <x:v>Broader option</x:v>
      </x:c>
    </x:row>
    <x:row r="87">
      <x:c r="A87" s="63" t="n">
        <x:v>3202</x:v>
      </x:c>
      <x:c r="B87" s="49" t="str">
        <x:v>Rajendra Mane College of Engineering &amp; Technology Ambav Deorukh</x:v>
      </x:c>
      <x:c r="C87" s="49" t="str">
        <x:v>Maharashtra</x:v>
      </x:c>
      <x:c r="D87" s="49" t="str">
        <x:v>Mumbai</x:v>
      </x:c>
      <x:c r="E87" s="49" t="str">
        <x:v>Ratnagiri</x:v>
      </x:c>
      <x:c r="F87" s="49" t="str">
        <x:v>At - Ambav (Devrukh).Tal Sangameshwar,Dist.- Ratnagiri</x:v>
      </x:c>
      <x:c r="G87" s="49" t="str">
        <x:v>Un-Aided</x:v>
      </x:c>
      <x:c r="H87" s="49" t="str">
        <x:v>Non-Autonomous</x:v>
      </x:c>
      <x:c r="I87" s="49" t="str">
        <x:v>Non-Minority</x:v>
      </x:c>
      <x:c r="J87" s="49" t="str">
        <x:v>Mumbai University</x:v>
      </x:c>
      <x:c r="K87" s="49" t="n">
        <x:v>4</x:v>
      </x:c>
      <x:c r="L87" s="49" t="n">
        <x:v>153</x:v>
      </x:c>
      <x:c r="M87" s="49" t="n">
        <x:v>135</x:v>
      </x:c>
      <x:c r="N87" s="49" t="n">
        <x:v>18</x:v>
      </x:c>
      <x:c r="O87" s="49"/>
      <x:c r="P87" s="49"/>
      <x:c r="Q87" s="49" t="str">
        <x:v>Parsed from official 2025-26 PDF</x:v>
      </x:c>
      <x:c r="R87" s="49" t="str">
        <x:v>2024-25</x:v>
      </x:c>
      <x:c r="S87" s="64" t="n">
        <x:v>61943</x:v>
      </x:c>
      <x:c r="T87" s="64" t="n">
        <x:v>7557</x:v>
      </x:c>
      <x:c r="U87" s="64" t="n">
        <x:v>69500</x:v>
      </x:c>
      <x:c r="V87" s="49" t="str">
        <x:v>Normal FRA-approved annual tuition + development fee; not seat-type-specific</x:v>
      </x:c>
      <x:c r="W87" s="49"/>
      <x:c r="X87" s="49"/>
      <x:c r="Y87" s="68"/>
      <x:c r="Z87" s="49"/>
      <x:c r="AA87" s="49"/>
      <x:c r="AB87" s="49" t="str">
        <x:v>Not centrally verified</x:v>
      </x:c>
      <x:c r="AC87" s="49" t="str">
        <x:v>Not centrally verified</x:v>
      </x:c>
      <x:c r="AD87" s="49" t="str">
        <x:v>Not centrally verified</x:v>
      </x:c>
      <x:c r="AE87" s="49" t="str">
        <x:v>Not available in a standardized official source</x:v>
      </x:c>
      <x:c r="AF87" s="49" t="str">
        <x:v>Not included: no official standardized source; cutoff-derived proxy excluded</x:v>
      </x:c>
      <x:c r="AG87" s="49" t="str">
        <x:v>https://dse2025.mahacet.org.in/dse25/admin/allotment/cap2/3202_4.pdf</x:v>
      </x:c>
      <x:c r="AH87" s="49" t="str">
        <x:v>https://fe2025.mahacet.org/StaticPages/frmInstituteSummary.aspx?InstituteCode=03202</x:v>
      </x:c>
      <x:c r="AI87" s="49"/>
      <x:c r="AJ87" s="49" t="str"/>
      <x:c r="AK87" s="69" t="n">
        <x:f>IF(W87&lt;&gt;"",50,IF(X87="101-150",45,IF(X87="151-200",40,IF(X87="201-300",35,0))))+IF(H87="Autonomous",20,0)+IF(OR(G87="Government",G87="Government-Aided",G87="University Department",G87="University",G87="University Autonomous"),15,0)+MIN(K87,10)+IF(AA87&lt;&gt;"",3,0)+IF(U87&lt;&gt;"",2,0)</x:f>
        <x:v>6</x:v>
      </x:c>
      <x:c r="AL87" s="49" t="str">
        <x:f>IF(AK87&gt;=70,"Official/high-evidence reference",IF(AK87&gt;=40,"Planning reference","Broader option"))</x:f>
        <x:v>Broader option</x:v>
      </x:c>
    </x:row>
    <x:row r="88">
      <x:c r="A88" s="63" t="n">
        <x:v>3203</x:v>
      </x:c>
      <x:c r="B88" s="49" t="str">
        <x:v>Atharva College of Engineering,Malad(West),Mumbai</x:v>
      </x:c>
      <x:c r="C88" s="49" t="str">
        <x:v>Maharashtra</x:v>
      </x:c>
      <x:c r="D88" s="49" t="str">
        <x:v>Mumbai</x:v>
      </x:c>
      <x:c r="E88" s="49" t="str">
        <x:v>Mumbai Suburban</x:v>
      </x:c>
      <x:c r="F88" s="49" t="str">
        <x:v>S. No. 263, Plot No. 8-12, Malad-Marve Rd, Charkop Naka, Malad(W), Mumbai</x:v>
      </x:c>
      <x:c r="G88" s="49" t="str">
        <x:v>Un-Aided</x:v>
      </x:c>
      <x:c r="H88" s="49" t="str">
        <x:v>Non-Autonomous</x:v>
      </x:c>
      <x:c r="I88" s="49" t="str">
        <x:v>Non-Minority</x:v>
      </x:c>
      <x:c r="J88" s="49" t="str">
        <x:v>Mumbai University</x:v>
      </x:c>
      <x:c r="K88" s="49" t="n">
        <x:v>5</x:v>
      </x:c>
      <x:c r="L88" s="49" t="n">
        <x:v>89</x:v>
      </x:c>
      <x:c r="M88" s="49" t="n">
        <x:v>65</x:v>
      </x:c>
      <x:c r="N88" s="49" t="n">
        <x:v>24</x:v>
      </x:c>
      <x:c r="O88" s="49"/>
      <x:c r="P88" s="49"/>
      <x:c r="Q88" s="49" t="str">
        <x:v>Parsed from official 2025-26 PDF</x:v>
      </x:c>
      <x:c r="R88" s="49" t="str">
        <x:v>2024-25</x:v>
      </x:c>
      <x:c r="S88" s="64" t="n">
        <x:v>79565</x:v>
      </x:c>
      <x:c r="T88" s="64" t="n">
        <x:v>11935</x:v>
      </x:c>
      <x:c r="U88" s="64" t="n">
        <x:v>91500</x:v>
      </x:c>
      <x:c r="V88" s="49" t="str">
        <x:v>Normal FRA-approved annual tuition + development fee; not seat-type-specific</x:v>
      </x:c>
      <x:c r="W88" s="49"/>
      <x:c r="X88" s="49"/>
      <x:c r="Y88" s="68"/>
      <x:c r="Z88" s="49"/>
      <x:c r="AA88" s="49"/>
      <x:c r="AB88" s="49" t="str">
        <x:v>Not centrally verified</x:v>
      </x:c>
      <x:c r="AC88" s="49" t="str">
        <x:v>Not centrally verified</x:v>
      </x:c>
      <x:c r="AD88" s="49" t="str">
        <x:v>Not centrally verified</x:v>
      </x:c>
      <x:c r="AE88" s="49" t="str">
        <x:v>Not available in a standardized official source</x:v>
      </x:c>
      <x:c r="AF88" s="49" t="str">
        <x:v>Not included: no official standardized source; cutoff-derived proxy excluded</x:v>
      </x:c>
      <x:c r="AG88" s="49" t="str">
        <x:v>https://dse2025.mahacet.org.in/dse25/admin/allotment/cap2/3203_4.pdf</x:v>
      </x:c>
      <x:c r="AH88" s="49" t="str">
        <x:v>https://fe2025.mahacet.org/StaticPages/frmInstituteSummary.aspx?InstituteCode=03203</x:v>
      </x:c>
      <x:c r="AI88" s="49"/>
      <x:c r="AJ88" s="49" t="str"/>
      <x:c r="AK88" s="69" t="n">
        <x:f>IF(W88&lt;&gt;"",50,IF(X88="101-150",45,IF(X88="151-200",40,IF(X88="201-300",35,0))))+IF(H88="Autonomous",20,0)+IF(OR(G88="Government",G88="Government-Aided",G88="University Department",G88="University",G88="University Autonomous"),15,0)+MIN(K88,10)+IF(AA88&lt;&gt;"",3,0)+IF(U88&lt;&gt;"",2,0)</x:f>
        <x:v>7</x:v>
      </x:c>
      <x:c r="AL88" s="49" t="str">
        <x:f>IF(AK88&gt;=70,"Official/high-evidence reference",IF(AK88&gt;=40,"Planning reference","Broader option"))</x:f>
        <x:v>Broader option</x:v>
      </x:c>
    </x:row>
    <x:row r="89">
      <x:c r="A89" s="63" t="n">
        <x:v>3204</x:v>
      </x:c>
      <x:c r="B89" s="49" t="str">
        <x:v>St. Francis Institute of Technology,Borivali, Mumbai</x:v>
      </x:c>
      <x:c r="C89" s="49" t="str">
        <x:v>Maharashtra</x:v>
      </x:c>
      <x:c r="D89" s="49" t="str">
        <x:v>Mumbai</x:v>
      </x:c>
      <x:c r="E89" s="49" t="str">
        <x:v>Mumbai Suburban</x:v>
      </x:c>
      <x:c r="F89" s="49" t="str">
        <x:v>Mount Poinsur, S.V.P. Road, Borivali ( W ), Mumbai</x:v>
      </x:c>
      <x:c r="G89" s="49" t="str">
        <x:v>Un-Aided</x:v>
      </x:c>
      <x:c r="H89" s="49" t="str">
        <x:v>Autonomous</x:v>
      </x:c>
      <x:c r="I89" s="49" t="str">
        <x:v>Religious Minority - Christian</x:v>
      </x:c>
      <x:c r="J89" s="49" t="str">
        <x:v>Mumbai University</x:v>
      </x:c>
      <x:c r="K89" s="49" t="n">
        <x:v>7</x:v>
      </x:c>
      <x:c r="L89" s="49" t="n">
        <x:v>80</x:v>
      </x:c>
      <x:c r="M89" s="49" t="n">
        <x:v>34</x:v>
      </x:c>
      <x:c r="N89" s="49"/>
      <x:c r="O89" s="49" t="n">
        <x:v>46</x:v>
      </x:c>
      <x:c r="P89" s="49"/>
      <x:c r="Q89" s="49" t="str">
        <x:v>Parsed from official 2025-26 PDF</x:v>
      </x:c>
      <x:c r="R89" s="49" t="str">
        <x:v>2024-25</x:v>
      </x:c>
      <x:c r="S89" s="64" t="n">
        <x:v>120870</x:v>
      </x:c>
      <x:c r="T89" s="64" t="n">
        <x:v>18130</x:v>
      </x:c>
      <x:c r="U89" s="64" t="n">
        <x:v>139000</x:v>
      </x:c>
      <x:c r="V89" s="49" t="str">
        <x:v>Normal FRA-approved annual tuition + development fee; not seat-type-specific</x:v>
      </x:c>
      <x:c r="W89" s="49"/>
      <x:c r="X89" s="49"/>
      <x:c r="Y89" s="68"/>
      <x:c r="Z89" s="49"/>
      <x:c r="AA89" s="49"/>
      <x:c r="AB89" s="49" t="str">
        <x:v>Not centrally verified</x:v>
      </x:c>
      <x:c r="AC89" s="49" t="str">
        <x:v>Not centrally verified</x:v>
      </x:c>
      <x:c r="AD89" s="49" t="str">
        <x:v>Not centrally verified</x:v>
      </x:c>
      <x:c r="AE89" s="49" t="str">
        <x:v>Not available in a standardized official source</x:v>
      </x:c>
      <x:c r="AF89" s="49" t="str">
        <x:v>Not included: no official standardized source; cutoff-derived proxy excluded</x:v>
      </x:c>
      <x:c r="AG89" s="49" t="str">
        <x:v>https://dse2025.mahacet.org.in/dse25/admin/allotment/cap2/3204_4.pdf</x:v>
      </x:c>
      <x:c r="AH89" s="49" t="str">
        <x:v>https://fe2025.mahacet.org/StaticPages/frmInstituteSummary.aspx?InstituteCode=03204</x:v>
      </x:c>
      <x:c r="AI89" s="49"/>
      <x:c r="AJ89" s="49" t="str"/>
      <x:c r="AK89" s="69" t="n">
        <x:f>IF(W89&lt;&gt;"",50,IF(X89="101-150",45,IF(X89="151-200",40,IF(X89="201-300",35,0))))+IF(H89="Autonomous",20,0)+IF(OR(G89="Government",G89="Government-Aided",G89="University Department",G89="University",G89="University Autonomous"),15,0)+MIN(K89,10)+IF(AA89&lt;&gt;"",3,0)+IF(U89&lt;&gt;"",2,0)</x:f>
        <x:v>29</x:v>
      </x:c>
      <x:c r="AL89" s="49" t="str">
        <x:f>IF(AK89&gt;=70,"Official/high-evidence reference",IF(AK89&gt;=40,"Planning reference","Broader option"))</x:f>
        <x:v>Broader option</x:v>
      </x:c>
    </x:row>
    <x:row r="90">
      <x:c r="A90" s="63" t="n">
        <x:v>3206</x:v>
      </x:c>
      <x:c r="B90" s="49" t="str">
        <x:v>S.S.P.M.'s College of Engineering, Kankavli</x:v>
      </x:c>
      <x:c r="C90" s="49" t="str">
        <x:v>Maharashtra</x:v>
      </x:c>
      <x:c r="D90" s="49" t="str">
        <x:v>Mumbai</x:v>
      </x:c>
      <x:c r="E90" s="49" t="str">
        <x:v>Sindhudurg</x:v>
      </x:c>
      <x:c r="F90" s="49" t="str">
        <x:v>A/P-Harkul Budruk, Tal- Kankavali. Dist-Sindhudurg</x:v>
      </x:c>
      <x:c r="G90" s="49" t="str">
        <x:v>Un-Aided</x:v>
      </x:c>
      <x:c r="H90" s="49" t="str">
        <x:v>Non-Autonomous</x:v>
      </x:c>
      <x:c r="I90" s="49" t="str">
        <x:v>Non-Minority</x:v>
      </x:c>
      <x:c r="J90" s="49" t="str">
        <x:v>Mumbai University</x:v>
      </x:c>
      <x:c r="K90" s="49" t="n">
        <x:v>7</x:v>
      </x:c>
      <x:c r="L90" s="49" t="n">
        <x:v>202</x:v>
      </x:c>
      <x:c r="M90" s="49" t="n">
        <x:v>174</x:v>
      </x:c>
      <x:c r="N90" s="49" t="n">
        <x:v>28</x:v>
      </x:c>
      <x:c r="O90" s="49"/>
      <x:c r="P90" s="49"/>
      <x:c r="Q90" s="49" t="str">
        <x:v>Parsed from official 2025-26 PDF</x:v>
      </x:c>
      <x:c r="R90" s="49" t="str">
        <x:v>2024-25</x:v>
      </x:c>
      <x:c r="S90" s="64" t="n">
        <x:v>63612</x:v>
      </x:c>
      <x:c r="T90" s="64" t="n">
        <x:v>7888</x:v>
      </x:c>
      <x:c r="U90" s="64" t="n">
        <x:v>71500</x:v>
      </x:c>
      <x:c r="V90" s="49" t="str">
        <x:v>Normal FRA-approved annual tuition + development fee; not seat-type-specific</x:v>
      </x:c>
      <x:c r="W90" s="49"/>
      <x:c r="X90" s="49"/>
      <x:c r="Y90" s="68"/>
      <x:c r="Z90" s="49"/>
      <x:c r="AA90" s="49"/>
      <x:c r="AB90" s="49" t="str">
        <x:v>Not centrally verified</x:v>
      </x:c>
      <x:c r="AC90" s="49" t="str">
        <x:v>Not centrally verified</x:v>
      </x:c>
      <x:c r="AD90" s="49" t="str">
        <x:v>Not centrally verified</x:v>
      </x:c>
      <x:c r="AE90" s="49" t="str">
        <x:v>Not available in a standardized official source</x:v>
      </x:c>
      <x:c r="AF90" s="49" t="str">
        <x:v>Not included: no official standardized source; cutoff-derived proxy excluded</x:v>
      </x:c>
      <x:c r="AG90" s="49" t="str">
        <x:v>https://dse2025.mahacet.org.in/dse25/admin/allotment/cap2/3206_4.pdf</x:v>
      </x:c>
      <x:c r="AH90" s="49" t="str">
        <x:v>https://fe2025.mahacet.org/StaticPages/frmInstituteSummary.aspx?InstituteCode=03206</x:v>
      </x:c>
      <x:c r="AI90" s="49"/>
      <x:c r="AJ90" s="49" t="str"/>
      <x:c r="AK90" s="69" t="n">
        <x:f>IF(W90&lt;&gt;"",50,IF(X90="101-150",45,IF(X90="151-200",40,IF(X90="201-300",35,0))))+IF(H90="Autonomous",20,0)+IF(OR(G90="Government",G90="Government-Aided",G90="University Department",G90="University",G90="University Autonomous"),15,0)+MIN(K90,10)+IF(AA90&lt;&gt;"",3,0)+IF(U90&lt;&gt;"",2,0)</x:f>
        <x:v>9</x:v>
      </x:c>
      <x:c r="AL90" s="49" t="str">
        <x:f>IF(AK90&gt;=70,"Official/high-evidence reference",IF(AK90&gt;=40,"Planning reference","Broader option"))</x:f>
        <x:v>Broader option</x:v>
      </x:c>
    </x:row>
    <x:row r="91">
      <x:c r="A91" s="63" t="n">
        <x:v>3207</x:v>
      </x:c>
      <x:c r="B91" s="49" t="str">
        <x:v>Mahatma Education Society's Pillai College of Engineering, New Panvel</x:v>
      </x:c>
      <x:c r="C91" s="49" t="str">
        <x:v>Maharashtra</x:v>
      </x:c>
      <x:c r="D91" s="49" t="str">
        <x:v>Mumbai</x:v>
      </x:c>
      <x:c r="E91" s="49" t="str">
        <x:v>Raigad</x:v>
      </x:c>
      <x:c r="F91" s="49" t="str">
        <x:v>Dr. K.M.Vasudevan Pillais' Campus Plot No. 10, Sector 16, New Panvel, Dist.Raigad</x:v>
      </x:c>
      <x:c r="G91" s="49" t="str">
        <x:v>Un-Aided</x:v>
      </x:c>
      <x:c r="H91" s="49" t="str">
        <x:v>Autonomous</x:v>
      </x:c>
      <x:c r="I91" s="49" t="str">
        <x:v>Linguistic Minority - Malyalam</x:v>
      </x:c>
      <x:c r="J91" s="49" t="str">
        <x:v>Mumbai University</x:v>
      </x:c>
      <x:c r="K91" s="49" t="n">
        <x:v>6</x:v>
      </x:c>
      <x:c r="L91" s="49" t="n">
        <x:v>97</x:v>
      </x:c>
      <x:c r="M91" s="49" t="n">
        <x:v>43</x:v>
      </x:c>
      <x:c r="N91" s="49"/>
      <x:c r="O91" s="49" t="n">
        <x:v>54</x:v>
      </x:c>
      <x:c r="P91" s="49"/>
      <x:c r="Q91" s="49" t="str">
        <x:v>Parsed from official 2025-26 PDF</x:v>
      </x:c>
      <x:c r="R91" s="49" t="str">
        <x:v>2024-25</x:v>
      </x:c>
      <x:c r="S91" s="64" t="n">
        <x:v>115652</x:v>
      </x:c>
      <x:c r="T91" s="64" t="n">
        <x:v>17348</x:v>
      </x:c>
      <x:c r="U91" s="64" t="n">
        <x:v>133000</x:v>
      </x:c>
      <x:c r="V91" s="49" t="str">
        <x:v>Normal FRA-approved annual tuition + development fee; not seat-type-specific</x:v>
      </x:c>
      <x:c r="W91" s="49"/>
      <x:c r="X91" s="49"/>
      <x:c r="Y91" s="68"/>
      <x:c r="Z91" s="49"/>
      <x:c r="AA91" s="49"/>
      <x:c r="AB91" s="49" t="str">
        <x:v>Not centrally verified</x:v>
      </x:c>
      <x:c r="AC91" s="49" t="str">
        <x:v>Not centrally verified</x:v>
      </x:c>
      <x:c r="AD91" s="49" t="str">
        <x:v>Not centrally verified</x:v>
      </x:c>
      <x:c r="AE91" s="49" t="str">
        <x:v>Not available in a standardized official source</x:v>
      </x:c>
      <x:c r="AF91" s="49" t="str">
        <x:v>Not included: no official standardized source; cutoff-derived proxy excluded</x:v>
      </x:c>
      <x:c r="AG91" s="49" t="str">
        <x:v>https://dse2025.mahacet.org.in/dse25/admin/allotment/cap2/3207_4.pdf</x:v>
      </x:c>
      <x:c r="AH91" s="49" t="str">
        <x:v>https://fe2025.mahacet.org/StaticPages/frmInstituteSummary.aspx?InstituteCode=03207</x:v>
      </x:c>
      <x:c r="AI91" s="49"/>
      <x:c r="AJ91" s="49" t="str"/>
      <x:c r="AK91" s="69" t="n">
        <x:f>IF(W91&lt;&gt;"",50,IF(X91="101-150",45,IF(X91="151-200",40,IF(X91="201-300",35,0))))+IF(H91="Autonomous",20,0)+IF(OR(G91="Government",G91="Government-Aided",G91="University Department",G91="University",G91="University Autonomous"),15,0)+MIN(K91,10)+IF(AA91&lt;&gt;"",3,0)+IF(U91&lt;&gt;"",2,0)</x:f>
        <x:v>28</x:v>
      </x:c>
      <x:c r="AL91" s="49" t="str">
        <x:f>IF(AK91&gt;=70,"Official/high-evidence reference",IF(AK91&gt;=40,"Planning reference","Broader option"))</x:f>
        <x:v>Broader option</x:v>
      </x:c>
    </x:row>
    <x:row r="92">
      <x:c r="A92" s="63" t="n">
        <x:v>3208</x:v>
      </x:c>
      <x:c r="B92" s="49" t="str">
        <x:v>Don Bosco Institute of Technology, Mumbai</x:v>
      </x:c>
      <x:c r="C92" s="49" t="str">
        <x:v>Maharashtra</x:v>
      </x:c>
      <x:c r="D92" s="49" t="str">
        <x:v>Mumbai</x:v>
      </x:c>
      <x:c r="E92" s="49" t="str">
        <x:v>Mumbai Suburban</x:v>
      </x:c>
      <x:c r="F92" s="49" t="str">
        <x:v>Premier Automobiles Road,Opp. Fiat Company, Kurla (West), Mumbai</x:v>
      </x:c>
      <x:c r="G92" s="49" t="str">
        <x:v>Un-Aided</x:v>
      </x:c>
      <x:c r="H92" s="49" t="str">
        <x:v>Autonomous</x:v>
      </x:c>
      <x:c r="I92" s="49" t="str">
        <x:v>Religious Minority - Roman Catholics</x:v>
      </x:c>
      <x:c r="J92" s="49" t="str">
        <x:v>Mumbai University</x:v>
      </x:c>
      <x:c r="K92" s="49" t="n">
        <x:v>4</x:v>
      </x:c>
      <x:c r="L92" s="49" t="n">
        <x:v>33</x:v>
      </x:c>
      <x:c r="M92" s="49" t="n">
        <x:v>13</x:v>
      </x:c>
      <x:c r="N92" s="49"/>
      <x:c r="O92" s="49" t="n">
        <x:v>20</x:v>
      </x:c>
      <x:c r="P92" s="49"/>
      <x:c r="Q92" s="49" t="str">
        <x:v>Parsed from official 2025-26 PDF</x:v>
      </x:c>
      <x:c r="R92" s="49" t="str">
        <x:v>2024-25</x:v>
      </x:c>
      <x:c r="S92" s="64" t="n">
        <x:v>128091</x:v>
      </x:c>
      <x:c r="T92" s="64" t="n">
        <x:v>16909</x:v>
      </x:c>
      <x:c r="U92" s="64" t="n">
        <x:v>145000</x:v>
      </x:c>
      <x:c r="V92" s="49" t="str">
        <x:v>Normal FRA-approved annual tuition + development fee; not seat-type-specific</x:v>
      </x:c>
      <x:c r="W92" s="49"/>
      <x:c r="X92" s="49"/>
      <x:c r="Y92" s="68"/>
      <x:c r="Z92" s="49"/>
      <x:c r="AA92" s="49"/>
      <x:c r="AB92" s="49" t="str">
        <x:v>Not centrally verified</x:v>
      </x:c>
      <x:c r="AC92" s="49" t="str">
        <x:v>Not centrally verified</x:v>
      </x:c>
      <x:c r="AD92" s="49" t="str">
        <x:v>Not centrally verified</x:v>
      </x:c>
      <x:c r="AE92" s="49" t="str">
        <x:v>Not available in a standardized official source</x:v>
      </x:c>
      <x:c r="AF92" s="49" t="str">
        <x:v>Not included: no official standardized source; cutoff-derived proxy excluded</x:v>
      </x:c>
      <x:c r="AG92" s="49" t="str">
        <x:v>https://dse2025.mahacet.org.in/dse25/admin/allotment/cap2/3208_4.pdf</x:v>
      </x:c>
      <x:c r="AH92" s="49" t="str">
        <x:v>https://fe2025.mahacet.org/StaticPages/frmInstituteSummary.aspx?InstituteCode=03208</x:v>
      </x:c>
      <x:c r="AI92" s="49"/>
      <x:c r="AJ92" s="49" t="str"/>
      <x:c r="AK92" s="69" t="n">
        <x:f>IF(W92&lt;&gt;"",50,IF(X92="101-150",45,IF(X92="151-200",40,IF(X92="201-300",35,0))))+IF(H92="Autonomous",20,0)+IF(OR(G92="Government",G92="Government-Aided",G92="University Department",G92="University",G92="University Autonomous"),15,0)+MIN(K92,10)+IF(AA92&lt;&gt;"",3,0)+IF(U92&lt;&gt;"",2,0)</x:f>
        <x:v>26</x:v>
      </x:c>
      <x:c r="AL92" s="49" t="str">
        <x:f>IF(AK92&gt;=70,"Official/high-evidence reference",IF(AK92&gt;=40,"Planning reference","Broader option"))</x:f>
        <x:v>Broader option</x:v>
      </x:c>
    </x:row>
    <x:row r="93">
      <x:c r="A93" s="63" t="n">
        <x:v>3209</x:v>
      </x:c>
      <x:c r="B93" s="49" t="str">
        <x:v>K J Somaiya Institute of Technology</x:v>
      </x:c>
      <x:c r="C93" s="49" t="str">
        <x:v>Maharashtra</x:v>
      </x:c>
      <x:c r="D93" s="49" t="str">
        <x:v>Mumbai</x:v>
      </x:c>
      <x:c r="E93" s="49" t="str">
        <x:v>Mumbai Suburban</x:v>
      </x:c>
      <x:c r="F93" s="49" t="str">
        <x:v>Somaiya Auryvihar Complex, Near Everard Nagar Eastern Express Highway, Sion (East), Mumbai</x:v>
      </x:c>
      <x:c r="G93" s="49" t="str">
        <x:v>Un-Aided</x:v>
      </x:c>
      <x:c r="H93" s="49" t="str">
        <x:v>Autonomous</x:v>
      </x:c>
      <x:c r="I93" s="49" t="str">
        <x:v>Linguistic Minority - Gujarathi</x:v>
      </x:c>
      <x:c r="J93" s="49" t="str">
        <x:v>Mumbai University</x:v>
      </x:c>
      <x:c r="K93" s="49" t="n">
        <x:v>4</x:v>
      </x:c>
      <x:c r="L93" s="49" t="n">
        <x:v>50</x:v>
      </x:c>
      <x:c r="M93" s="49" t="n">
        <x:v>21</x:v>
      </x:c>
      <x:c r="N93" s="49"/>
      <x:c r="O93" s="49" t="n">
        <x:v>29</x:v>
      </x:c>
      <x:c r="P93" s="49"/>
      <x:c r="Q93" s="49" t="str">
        <x:v>Parsed from official 2025-26 PDF</x:v>
      </x:c>
      <x:c r="R93" s="49" t="str">
        <x:v>2024-25</x:v>
      </x:c>
      <x:c r="S93" s="64" t="n">
        <x:v>165217</x:v>
      </x:c>
      <x:c r="T93" s="64" t="n">
        <x:v>24783</x:v>
      </x:c>
      <x:c r="U93" s="64" t="n">
        <x:v>190000</x:v>
      </x:c>
      <x:c r="V93" s="49" t="str">
        <x:v>Normal FRA-approved annual tuition + development fee; not seat-type-specific</x:v>
      </x:c>
      <x:c r="W93" s="49"/>
      <x:c r="X93" s="49"/>
      <x:c r="Y93" s="68"/>
      <x:c r="Z93" s="49"/>
      <x:c r="AA93" s="49"/>
      <x:c r="AB93" s="49" t="str">
        <x:v>Not centrally verified</x:v>
      </x:c>
      <x:c r="AC93" s="49" t="str">
        <x:v>Not centrally verified</x:v>
      </x:c>
      <x:c r="AD93" s="49" t="str">
        <x:v>Not centrally verified</x:v>
      </x:c>
      <x:c r="AE93" s="49" t="str">
        <x:v>Not available in a standardized official source</x:v>
      </x:c>
      <x:c r="AF93" s="49" t="str">
        <x:v>Not included: no official standardized source; cutoff-derived proxy excluded</x:v>
      </x:c>
      <x:c r="AG93" s="49" t="str">
        <x:v>https://dse2025.mahacet.org.in/dse25/admin/allotment/cap2/3209_4.pdf</x:v>
      </x:c>
      <x:c r="AH93" s="49" t="str">
        <x:v>https://fe2025.mahacet.org/StaticPages/frmInstituteSummary.aspx?InstituteCode=03209</x:v>
      </x:c>
      <x:c r="AI93" s="49"/>
      <x:c r="AJ93" s="49" t="str"/>
      <x:c r="AK93" s="69" t="n">
        <x:f>IF(W93&lt;&gt;"",50,IF(X93="101-150",45,IF(X93="151-200",40,IF(X93="201-300",35,0))))+IF(H93="Autonomous",20,0)+IF(OR(G93="Government",G93="Government-Aided",G93="University Department",G93="University",G93="University Autonomous"),15,0)+MIN(K93,10)+IF(AA93&lt;&gt;"",3,0)+IF(U93&lt;&gt;"",2,0)</x:f>
        <x:v>26</x:v>
      </x:c>
      <x:c r="AL93" s="49" t="str">
        <x:f>IF(AK93&gt;=70,"Official/high-evidence reference",IF(AK93&gt;=40,"Planning reference","Broader option"))</x:f>
        <x:v>Broader option</x:v>
      </x:c>
    </x:row>
    <x:row r="94">
      <x:c r="A94" s="63" t="n">
        <x:v>3210</x:v>
      </x:c>
      <x:c r="B94" s="49" t="str">
        <x:v>Excelsior Education Society's K.C. College of Engineering and Management Studies and Research, Kopri, Thane (E)</x:v>
      </x:c>
      <x:c r="C94" s="49" t="str">
        <x:v>Maharashtra</x:v>
      </x:c>
      <x:c r="D94" s="49" t="str">
        <x:v>Mumbai</x:v>
      </x:c>
      <x:c r="E94" s="49" t="str">
        <x:v>Thane</x:v>
      </x:c>
      <x:c r="F94" s="49" t="str">
        <x:v>Mith bunder Road, Near Sadguru Gardens, Kopri, Thane (E)</x:v>
      </x:c>
      <x:c r="G94" s="49" t="str">
        <x:v>Un-Aided</x:v>
      </x:c>
      <x:c r="H94" s="49" t="str">
        <x:v>Non-Autonomous</x:v>
      </x:c>
      <x:c r="I94" s="49" t="str">
        <x:v>Linguistic Minority - Punjabi</x:v>
      </x:c>
      <x:c r="J94" s="49" t="str">
        <x:v>Mumbai University</x:v>
      </x:c>
      <x:c r="K94" s="49" t="n">
        <x:v>3</x:v>
      </x:c>
      <x:c r="L94" s="49" t="n">
        <x:v>46</x:v>
      </x:c>
      <x:c r="M94" s="49" t="n">
        <x:v>22</x:v>
      </x:c>
      <x:c r="N94" s="49"/>
      <x:c r="O94" s="49" t="n">
        <x:v>24</x:v>
      </x:c>
      <x:c r="P94" s="49"/>
      <x:c r="Q94" s="49" t="str">
        <x:v>Parsed from official 2025-26 PDF</x:v>
      </x:c>
      <x:c r="R94" s="49" t="str">
        <x:v>2024-25</x:v>
      </x:c>
      <x:c r="S94" s="64" t="n">
        <x:v>107391</x:v>
      </x:c>
      <x:c r="T94" s="64" t="n">
        <x:v>16109</x:v>
      </x:c>
      <x:c r="U94" s="64" t="n">
        <x:v>123500</x:v>
      </x:c>
      <x:c r="V94" s="49" t="str">
        <x:v>Normal FRA-approved annual tuition + development fee; not seat-type-specific</x:v>
      </x:c>
      <x:c r="W94" s="49"/>
      <x:c r="X94" s="49"/>
      <x:c r="Y94" s="68"/>
      <x:c r="Z94" s="49"/>
      <x:c r="AA94" s="49"/>
      <x:c r="AB94" s="49" t="str">
        <x:v>Not centrally verified</x:v>
      </x:c>
      <x:c r="AC94" s="49" t="str">
        <x:v>Not centrally verified</x:v>
      </x:c>
      <x:c r="AD94" s="49" t="str">
        <x:v>Not centrally verified</x:v>
      </x:c>
      <x:c r="AE94" s="49" t="str">
        <x:v>Not available in a standardized official source</x:v>
      </x:c>
      <x:c r="AF94" s="49" t="str">
        <x:v>Not included: no official standardized source; cutoff-derived proxy excluded</x:v>
      </x:c>
      <x:c r="AG94" s="49" t="str">
        <x:v>https://dse2025.mahacet.org.in/dse25/admin/allotment/cap2/3210_4.pdf</x:v>
      </x:c>
      <x:c r="AH94" s="49" t="str">
        <x:v>https://fe2025.mahacet.org/StaticPages/frmInstituteSummary.aspx?InstituteCode=03210</x:v>
      </x:c>
      <x:c r="AI94" s="49"/>
      <x:c r="AJ94" s="49" t="str"/>
      <x:c r="AK94" s="69" t="n">
        <x:f>IF(W94&lt;&gt;"",50,IF(X94="101-150",45,IF(X94="151-200",40,IF(X94="201-300",35,0))))+IF(H94="Autonomous",20,0)+IF(OR(G94="Government",G94="Government-Aided",G94="University Department",G94="University",G94="University Autonomous"),15,0)+MIN(K94,10)+IF(AA94&lt;&gt;"",3,0)+IF(U94&lt;&gt;"",2,0)</x:f>
        <x:v>5</x:v>
      </x:c>
      <x:c r="AL94" s="49" t="str">
        <x:f>IF(AK94&gt;=70,"Official/high-evidence reference",IF(AK94&gt;=40,"Planning reference","Broader option"))</x:f>
        <x:v>Broader option</x:v>
      </x:c>
    </x:row>
    <x:row r="95">
      <x:c r="A95" s="63" t="n">
        <x:v>3211</x:v>
      </x:c>
      <x:c r="B95" s="49" t="str">
        <x:v>S.I.E.S. Graduate School of Technology, Nerul, Navi Mumbai</x:v>
      </x:c>
      <x:c r="C95" s="49" t="str">
        <x:v>Maharashtra</x:v>
      </x:c>
      <x:c r="D95" s="49" t="str">
        <x:v>Mumbai</x:v>
      </x:c>
      <x:c r="E95" s="49" t="str">
        <x:v>Thane</x:v>
      </x:c>
      <x:c r="F95" s="49" t="str">
        <x:v>Sri. Chandrsekarendra Saraswathy Vidyapuram, Sector-5, Plot 1C&amp;1E, Nerul Dist. Raigad</x:v>
      </x:c>
      <x:c r="G95" s="49" t="str">
        <x:v>Un-Aided</x:v>
      </x:c>
      <x:c r="H95" s="49" t="str">
        <x:v>Autonomous</x:v>
      </x:c>
      <x:c r="I95" s="49" t="str">
        <x:v>Linguistic Minority - Tamil</x:v>
      </x:c>
      <x:c r="J95" s="49" t="str">
        <x:v>Mumbai University</x:v>
      </x:c>
      <x:c r="K95" s="49" t="n">
        <x:v>7</x:v>
      </x:c>
      <x:c r="L95" s="49" t="n">
        <x:v>66</x:v>
      </x:c>
      <x:c r="M95" s="49" t="n">
        <x:v>27</x:v>
      </x:c>
      <x:c r="N95" s="49"/>
      <x:c r="O95" s="49" t="n">
        <x:v>39</x:v>
      </x:c>
      <x:c r="P95" s="49"/>
      <x:c r="Q95" s="49" t="str">
        <x:v>Parsed from official 2025-26 PDF</x:v>
      </x:c>
      <x:c r="R95" s="49" t="str">
        <x:v>2024-25</x:v>
      </x:c>
      <x:c r="S95" s="64" t="n">
        <x:v>105218</x:v>
      </x:c>
      <x:c r="T95" s="64" t="n">
        <x:v>15782</x:v>
      </x:c>
      <x:c r="U95" s="64" t="n">
        <x:v>121000</x:v>
      </x:c>
      <x:c r="V95" s="49" t="str">
        <x:v>Normal FRA-approved annual tuition + development fee; not seat-type-specific</x:v>
      </x:c>
      <x:c r="W95" s="49"/>
      <x:c r="X95" s="49"/>
      <x:c r="Y95" s="68"/>
      <x:c r="Z95" s="49"/>
      <x:c r="AA95" s="49"/>
      <x:c r="AB95" s="49" t="str">
        <x:v>Not centrally verified</x:v>
      </x:c>
      <x:c r="AC95" s="49" t="str">
        <x:v>Not centrally verified</x:v>
      </x:c>
      <x:c r="AD95" s="49" t="str">
        <x:v>Not centrally verified</x:v>
      </x:c>
      <x:c r="AE95" s="49" t="str">
        <x:v>Not available in a standardized official source</x:v>
      </x:c>
      <x:c r="AF95" s="49" t="str">
        <x:v>Not included: no official standardized source; cutoff-derived proxy excluded</x:v>
      </x:c>
      <x:c r="AG95" s="49" t="str">
        <x:v>https://dse2025.mahacet.org.in/dse25/admin/allotment/cap2/3211_4.pdf</x:v>
      </x:c>
      <x:c r="AH95" s="49" t="str">
        <x:v>https://fe2025.mahacet.org/StaticPages/frmInstituteSummary.aspx?InstituteCode=03211</x:v>
      </x:c>
      <x:c r="AI95" s="49"/>
      <x:c r="AJ95" s="49" t="str"/>
      <x:c r="AK95" s="69" t="n">
        <x:f>IF(W95&lt;&gt;"",50,IF(X95="101-150",45,IF(X95="151-200",40,IF(X95="201-300",35,0))))+IF(H95="Autonomous",20,0)+IF(OR(G95="Government",G95="Government-Aided",G95="University Department",G95="University",G95="University Autonomous"),15,0)+MIN(K95,10)+IF(AA95&lt;&gt;"",3,0)+IF(U95&lt;&gt;"",2,0)</x:f>
        <x:v>29</x:v>
      </x:c>
      <x:c r="AL95" s="49" t="str">
        <x:f>IF(AK95&gt;=70,"Official/high-evidence reference",IF(AK95&gt;=40,"Planning reference","Broader option"))</x:f>
        <x:v>Broader option</x:v>
      </x:c>
    </x:row>
    <x:row r="96">
      <x:c r="A96" s="63" t="n">
        <x:v>3212</x:v>
      </x:c>
      <x:c r="B96" s="49" t="str">
        <x:v>Watumull Institute of Engineering &amp; Technology, Ulhasnagar</x:v>
      </x:c>
      <x:c r="C96" s="49" t="str">
        <x:v>Maharashtra</x:v>
      </x:c>
      <x:c r="D96" s="49" t="str">
        <x:v>Mumbai</x:v>
      </x:c>
      <x:c r="E96" s="49" t="str">
        <x:v>Thane</x:v>
      </x:c>
      <x:c r="F96" s="49" t="str">
        <x:v>Plot No.157, Shrimati S H Mansukhani Road ,Opposite Ulhasnagar Railway Station (West) , Ulhasnagar ,Dist.Thane</x:v>
      </x:c>
      <x:c r="G96" s="49" t="str">
        <x:v>Un-Aided</x:v>
      </x:c>
      <x:c r="H96" s="49" t="str">
        <x:v>Non-Autonomous</x:v>
      </x:c>
      <x:c r="I96" s="49" t="str">
        <x:v>Linguistic Minority - Sindhi</x:v>
      </x:c>
      <x:c r="J96" s="49" t="str">
        <x:v>Mumbai University</x:v>
      </x:c>
      <x:c r="K96" s="49" t="n">
        <x:v>2</x:v>
      </x:c>
      <x:c r="L96" s="49" t="n">
        <x:v>53</x:v>
      </x:c>
      <x:c r="M96" s="49" t="n">
        <x:v>25</x:v>
      </x:c>
      <x:c r="N96" s="49"/>
      <x:c r="O96" s="49" t="n">
        <x:v>28</x:v>
      </x:c>
      <x:c r="P96" s="49"/>
      <x:c r="Q96" s="49" t="str">
        <x:v>Parsed from official 2025-26 PDF</x:v>
      </x:c>
      <x:c r="R96" s="49" t="str">
        <x:v>2024-25</x:v>
      </x:c>
      <x:c r="S96" s="64" t="n">
        <x:v>154546</x:v>
      </x:c>
      <x:c r="T96" s="64" t="n">
        <x:v>15454</x:v>
      </x:c>
      <x:c r="U96" s="64" t="n">
        <x:v>170000</x:v>
      </x:c>
      <x:c r="V96" s="49" t="str">
        <x:v>Normal FRA-approved annual tuition + development fee; not seat-type-specific</x:v>
      </x:c>
      <x:c r="W96" s="49"/>
      <x:c r="X96" s="49"/>
      <x:c r="Y96" s="68"/>
      <x:c r="Z96" s="49"/>
      <x:c r="AA96" s="49"/>
      <x:c r="AB96" s="49" t="str">
        <x:v>Not centrally verified</x:v>
      </x:c>
      <x:c r="AC96" s="49" t="str">
        <x:v>Not centrally verified</x:v>
      </x:c>
      <x:c r="AD96" s="49" t="str">
        <x:v>Not centrally verified</x:v>
      </x:c>
      <x:c r="AE96" s="49" t="str">
        <x:v>Not available in a standardized official source</x:v>
      </x:c>
      <x:c r="AF96" s="49" t="str">
        <x:v>Not included: no official standardized source; cutoff-derived proxy excluded</x:v>
      </x:c>
      <x:c r="AG96" s="49" t="str">
        <x:v>https://dse2025.mahacet.org.in/dse25/admin/allotment/cap2/3212_4.pdf</x:v>
      </x:c>
      <x:c r="AH96" s="49" t="str">
        <x:v>https://fe2025.mahacet.org/StaticPages/frmInstituteSummary.aspx?InstituteCode=03212</x:v>
      </x:c>
      <x:c r="AI96" s="49"/>
      <x:c r="AJ96" s="49" t="str"/>
      <x:c r="AK96" s="69" t="n">
        <x:f>IF(W96&lt;&gt;"",50,IF(X96="101-150",45,IF(X96="151-200",40,IF(X96="201-300",35,0))))+IF(H96="Autonomous",20,0)+IF(OR(G96="Government",G96="Government-Aided",G96="University Department",G96="University",G96="University Autonomous"),15,0)+MIN(K96,10)+IF(AA96&lt;&gt;"",3,0)+IF(U96&lt;&gt;"",2,0)</x:f>
        <x:v>4</x:v>
      </x:c>
      <x:c r="AL96" s="49" t="str">
        <x:f>IF(AK96&gt;=70,"Official/high-evidence reference",IF(AK96&gt;=40,"Planning reference","Broader option"))</x:f>
        <x:v>Broader option</x:v>
      </x:c>
    </x:row>
    <x:row r="97">
      <x:c r="A97" s="63" t="n">
        <x:v>3214</x:v>
      </x:c>
      <x:c r="B97" s="49" t="str">
        <x:v>Xavier Institute Of Engineering C/O Xavier Technical Institute,Mahim,Mumbai</x:v>
      </x:c>
      <x:c r="C97" s="49" t="str">
        <x:v>Maharashtra</x:v>
      </x:c>
      <x:c r="D97" s="49" t="str">
        <x:v>Mumbai</x:v>
      </x:c>
      <x:c r="E97" s="49" t="str">
        <x:v>Mumbai City</x:v>
      </x:c>
      <x:c r="F97" s="49" t="str">
        <x:v>Opposite S.L.Raheja Hospital, Mahim Causeway, Mahim(W), Mumbai</x:v>
      </x:c>
      <x:c r="G97" s="49" t="str">
        <x:v>Un-Aided</x:v>
      </x:c>
      <x:c r="H97" s="49" t="str">
        <x:v>Autonomous</x:v>
      </x:c>
      <x:c r="I97" s="49" t="str">
        <x:v>Religious Minority - Christian</x:v>
      </x:c>
      <x:c r="J97" s="49" t="str">
        <x:v>Mumbai University</x:v>
      </x:c>
      <x:c r="K97" s="49" t="n">
        <x:v>4</x:v>
      </x:c>
      <x:c r="L97" s="49" t="n">
        <x:v>29</x:v>
      </x:c>
      <x:c r="M97" s="49" t="n">
        <x:v>11</x:v>
      </x:c>
      <x:c r="N97" s="49"/>
      <x:c r="O97" s="49" t="n">
        <x:v>18</x:v>
      </x:c>
      <x:c r="P97" s="49"/>
      <x:c r="Q97" s="49" t="str">
        <x:v>Parsed from official 2025-26 PDF</x:v>
      </x:c>
      <x:c r="R97" s="49" t="str">
        <x:v>2024-25</x:v>
      </x:c>
      <x:c r="S97" s="64" t="n">
        <x:v>138421</x:v>
      </x:c>
      <x:c r="T97" s="64" t="n">
        <x:v>17579</x:v>
      </x:c>
      <x:c r="U97" s="64" t="n">
        <x:v>156000</x:v>
      </x:c>
      <x:c r="V97" s="49" t="str">
        <x:v>Normal FRA-approved annual tuition + development fee; not seat-type-specific</x:v>
      </x:c>
      <x:c r="W97" s="49"/>
      <x:c r="X97" s="49"/>
      <x:c r="Y97" s="68"/>
      <x:c r="Z97" s="49"/>
      <x:c r="AA97" s="49"/>
      <x:c r="AB97" s="49" t="str">
        <x:v>Not centrally verified</x:v>
      </x:c>
      <x:c r="AC97" s="49" t="str">
        <x:v>Not centrally verified</x:v>
      </x:c>
      <x:c r="AD97" s="49" t="str">
        <x:v>Not centrally verified</x:v>
      </x:c>
      <x:c r="AE97" s="49" t="str">
        <x:v>Not available in a standardized official source</x:v>
      </x:c>
      <x:c r="AF97" s="49" t="str">
        <x:v>Not included: no official standardized source; cutoff-derived proxy excluded</x:v>
      </x:c>
      <x:c r="AG97" s="49" t="str">
        <x:v>https://dse2025.mahacet.org.in/dse25/admin/allotment/cap2/3214_4.pdf</x:v>
      </x:c>
      <x:c r="AH97" s="49" t="str">
        <x:v>https://fe2025.mahacet.org/StaticPages/frmInstituteSummary.aspx?InstituteCode=03214</x:v>
      </x:c>
      <x:c r="AI97" s="49"/>
      <x:c r="AJ97" s="49" t="str"/>
      <x:c r="AK97" s="69" t="n">
        <x:f>IF(W97&lt;&gt;"",50,IF(X97="101-150",45,IF(X97="151-200",40,IF(X97="201-300",35,0))))+IF(H97="Autonomous",20,0)+IF(OR(G97="Government",G97="Government-Aided",G97="University Department",G97="University",G97="University Autonomous"),15,0)+MIN(K97,10)+IF(AA97&lt;&gt;"",3,0)+IF(U97&lt;&gt;"",2,0)</x:f>
        <x:v>26</x:v>
      </x:c>
      <x:c r="AL97" s="49" t="str">
        <x:f>IF(AK97&gt;=70,"Official/high-evidence reference",IF(AK97&gt;=40,"Planning reference","Broader option"))</x:f>
        <x:v>Broader option</x:v>
      </x:c>
    </x:row>
    <x:row r="98">
      <x:c r="A98" s="63" t="n">
        <x:v>3215</x:v>
      </x:c>
      <x:c r="B98" s="49" t="str">
        <x:v>Bhartiya Vidya Bhavan's Sardar Patel Institute of Technology , Andheri, Mumbai</x:v>
      </x:c>
      <x:c r="C98" s="49" t="str">
        <x:v>Maharashtra</x:v>
      </x:c>
      <x:c r="D98" s="49" t="str">
        <x:v>Mumbai</x:v>
      </x:c>
      <x:c r="E98" s="49" t="str">
        <x:v>Mumbai Suburban</x:v>
      </x:c>
      <x:c r="F98" s="49" t="str">
        <x:v>Bhavan's Campus, Versova Road, Munshi Nagar, Andheri (West), Mumbai</x:v>
      </x:c>
      <x:c r="G98" s="49" t="str">
        <x:v>Un-Aided</x:v>
      </x:c>
      <x:c r="H98" s="49" t="str">
        <x:v>Autonomous</x:v>
      </x:c>
      <x:c r="I98" s="49" t="str">
        <x:v>Non-Minority</x:v>
      </x:c>
      <x:c r="J98" s="49" t="str">
        <x:v>Mumbai University</x:v>
      </x:c>
      <x:c r="K98" s="49" t="n">
        <x:v>3</x:v>
      </x:c>
      <x:c r="L98" s="49" t="n">
        <x:v>68</x:v>
      </x:c>
      <x:c r="M98" s="49" t="n">
        <x:v>54</x:v>
      </x:c>
      <x:c r="N98" s="49" t="n">
        <x:v>14</x:v>
      </x:c>
      <x:c r="O98" s="49"/>
      <x:c r="P98" s="49"/>
      <x:c r="Q98" s="49" t="str">
        <x:v>Parsed from official 2025-26 PDF</x:v>
      </x:c>
      <x:c r="R98" s="49" t="str">
        <x:v>2024-25</x:v>
      </x:c>
      <x:c r="S98" s="64" t="n">
        <x:v>170435</x:v>
      </x:c>
      <x:c r="T98" s="64" t="n">
        <x:v>25565</x:v>
      </x:c>
      <x:c r="U98" s="64" t="n">
        <x:v>196000</x:v>
      </x:c>
      <x:c r="V98" s="49" t="str">
        <x:v>Normal FRA-approved annual tuition + development fee; not seat-type-specific</x:v>
      </x:c>
      <x:c r="W98" s="49"/>
      <x:c r="X98" s="49"/>
      <x:c r="Y98" s="68"/>
      <x:c r="Z98" s="49"/>
      <x:c r="AA98" s="49" t="str">
        <x:v>https://www.spit.ac.in/</x:v>
      </x:c>
      <x:c r="AB98" s="49" t="str">
        <x:v>Verified official domain</x:v>
      </x:c>
      <x:c r="AC98" s="49" t="str">
        <x:v>Not centrally verified</x:v>
      </x:c>
      <x:c r="AD98" s="49" t="str">
        <x:v>Not centrally verified</x:v>
      </x:c>
      <x:c r="AE98" s="49" t="str">
        <x:v>Not available in a standardized official source</x:v>
      </x:c>
      <x:c r="AF98" s="49" t="str">
        <x:v>Not included: no official standardized source; cutoff-derived proxy excluded</x:v>
      </x:c>
      <x:c r="AG98" s="49" t="str">
        <x:v>https://dse2025.mahacet.org.in/dse25/admin/allotment/cap2/3215_4.pdf</x:v>
      </x:c>
      <x:c r="AH98" s="49" t="str">
        <x:v>https://fe2025.mahacet.org/StaticPages/frmInstituteSummary.aspx?InstituteCode=03215</x:v>
      </x:c>
      <x:c r="AI98" s="49"/>
      <x:c r="AJ98" s="49" t="str"/>
      <x:c r="AK98" s="69" t="n">
        <x:f>IF(W98&lt;&gt;"",50,IF(X98="101-150",45,IF(X98="151-200",40,IF(X98="201-300",35,0))))+IF(H98="Autonomous",20,0)+IF(OR(G98="Government",G98="Government-Aided",G98="University Department",G98="University",G98="University Autonomous"),15,0)+MIN(K98,10)+IF(AA98&lt;&gt;"",3,0)+IF(U98&lt;&gt;"",2,0)</x:f>
        <x:v>28</x:v>
      </x:c>
      <x:c r="AL98" s="49" t="str">
        <x:f>IF(AK98&gt;=70,"Official/high-evidence reference",IF(AK98&gt;=40,"Planning reference","Broader option"))</x:f>
        <x:v>Broader option</x:v>
      </x:c>
    </x:row>
    <x:row r="99">
      <x:c r="A99" s="63" t="n">
        <x:v>3216</x:v>
      </x:c>
      <x:c r="B99" s="49" t="str">
        <x:v>Gharda Foundation's Gharda Institute of Technology,Khed, Ratnagiri</x:v>
      </x:c>
      <x:c r="C99" s="49" t="str">
        <x:v>Maharashtra</x:v>
      </x:c>
      <x:c r="D99" s="49" t="str">
        <x:v>Mumbai</x:v>
      </x:c>
      <x:c r="E99" s="49" t="str">
        <x:v>Ratnagiri</x:v>
      </x:c>
      <x:c r="F99" s="49" t="str">
        <x:v>A &amp; Po. Lavel Tal Khed, Dist. Ratnagiri</x:v>
      </x:c>
      <x:c r="G99" s="49" t="str">
        <x:v>Un-Aided</x:v>
      </x:c>
      <x:c r="H99" s="49" t="str">
        <x:v>Non-Autonomous</x:v>
      </x:c>
      <x:c r="I99" s="49" t="str">
        <x:v>Non-Minority</x:v>
      </x:c>
      <x:c r="J99" s="49" t="str">
        <x:v>Mumbai University</x:v>
      </x:c>
      <x:c r="K99" s="49" t="n">
        <x:v>6</x:v>
      </x:c>
      <x:c r="L99" s="49" t="n">
        <x:v>119</x:v>
      </x:c>
      <x:c r="M99" s="49" t="n">
        <x:v>102</x:v>
      </x:c>
      <x:c r="N99" s="49" t="n">
        <x:v>17</x:v>
      </x:c>
      <x:c r="O99" s="49"/>
      <x:c r="P99" s="49"/>
      <x:c r="Q99" s="49" t="str">
        <x:v>Parsed from official 2025-26 PDF</x:v>
      </x:c>
      <x:c r="R99" s="49" t="str">
        <x:v>2024-25</x:v>
      </x:c>
      <x:c r="S99" s="64" t="n">
        <x:v>114711</x:v>
      </x:c>
      <x:c r="T99" s="64" t="n">
        <x:v>16289</x:v>
      </x:c>
      <x:c r="U99" s="64" t="n">
        <x:v>131000</x:v>
      </x:c>
      <x:c r="V99" s="49" t="str">
        <x:v>Normal FRA-approved annual tuition + development fee; not seat-type-specific</x:v>
      </x:c>
      <x:c r="W99" s="49"/>
      <x:c r="X99" s="49"/>
      <x:c r="Y99" s="68"/>
      <x:c r="Z99" s="49"/>
      <x:c r="AA99" s="49"/>
      <x:c r="AB99" s="49" t="str">
        <x:v>Not centrally verified</x:v>
      </x:c>
      <x:c r="AC99" s="49" t="str">
        <x:v>Not centrally verified</x:v>
      </x:c>
      <x:c r="AD99" s="49" t="str">
        <x:v>Not centrally verified</x:v>
      </x:c>
      <x:c r="AE99" s="49" t="str">
        <x:v>Not available in a standardized official source</x:v>
      </x:c>
      <x:c r="AF99" s="49" t="str">
        <x:v>Not included: no official standardized source; cutoff-derived proxy excluded</x:v>
      </x:c>
      <x:c r="AG99" s="49" t="str">
        <x:v>https://dse2025.mahacet.org.in/dse25/admin/allotment/cap2/3216_4.pdf</x:v>
      </x:c>
      <x:c r="AH99" s="49" t="str">
        <x:v>https://fe2025.mahacet.org/StaticPages/frmInstituteSummary.aspx?InstituteCode=03216</x:v>
      </x:c>
      <x:c r="AI99" s="49"/>
      <x:c r="AJ99" s="49" t="str"/>
      <x:c r="AK99" s="69" t="n">
        <x:f>IF(W99&lt;&gt;"",50,IF(X99="101-150",45,IF(X99="151-200",40,IF(X99="201-300",35,0))))+IF(H99="Autonomous",20,0)+IF(OR(G99="Government",G99="Government-Aided",G99="University Department",G99="University",G99="University Autonomous"),15,0)+MIN(K99,10)+IF(AA99&lt;&gt;"",3,0)+IF(U99&lt;&gt;"",2,0)</x:f>
        <x:v>8</x:v>
      </x:c>
      <x:c r="AL99" s="49" t="str">
        <x:f>IF(AK99&gt;=70,"Official/high-evidence reference",IF(AK99&gt;=40,"Planning reference","Broader option"))</x:f>
        <x:v>Broader option</x:v>
      </x:c>
    </x:row>
    <x:row r="100">
      <x:c r="A100" s="63" t="n">
        <x:v>3217</x:v>
      </x:c>
      <x:c r="B100" s="49" t="str">
        <x:v>Vighnaharata Trust's Shivajirao S. Jondhale College of Engineering &amp; Technology, Shahapur, Asangaon, Dist Thane</x:v>
      </x:c>
      <x:c r="C100" s="49" t="str">
        <x:v>Maharashtra</x:v>
      </x:c>
      <x:c r="D100" s="49" t="str">
        <x:v>Mumbai</x:v>
      </x:c>
      <x:c r="E100" s="49" t="str">
        <x:v>Thane</x:v>
      </x:c>
      <x:c r="F100" s="49" t="str">
        <x:v>At Asangaon, Tal Shahapur, Opp Railway station, Dist : Thane</x:v>
      </x:c>
      <x:c r="G100" s="49" t="str">
        <x:v>Un-Aided</x:v>
      </x:c>
      <x:c r="H100" s="49" t="str">
        <x:v>Non-Autonomous</x:v>
      </x:c>
      <x:c r="I100" s="49" t="str">
        <x:v>Non-Minority</x:v>
      </x:c>
      <x:c r="J100" s="49" t="str">
        <x:v>Mumbai University</x:v>
      </x:c>
      <x:c r="K100" s="49" t="n">
        <x:v>5</x:v>
      </x:c>
      <x:c r="L100" s="49" t="n">
        <x:v>210</x:v>
      </x:c>
      <x:c r="M100" s="49" t="n">
        <x:v>178</x:v>
      </x:c>
      <x:c r="N100" s="49" t="n">
        <x:v>32</x:v>
      </x:c>
      <x:c r="O100" s="49"/>
      <x:c r="P100" s="49"/>
      <x:c r="Q100" s="49" t="str">
        <x:v>Parsed from official 2025-26 PDF</x:v>
      </x:c>
      <x:c r="R100" s="49" t="str">
        <x:v>2024-25</x:v>
      </x:c>
      <x:c r="S100" s="64" t="n">
        <x:v>62222</x:v>
      </x:c>
      <x:c r="T100" s="64" t="n">
        <x:v>7778</x:v>
      </x:c>
      <x:c r="U100" s="64" t="n">
        <x:v>70000</x:v>
      </x:c>
      <x:c r="V100" s="49" t="str">
        <x:v>Normal FRA-approved annual tuition + development fee; not seat-type-specific</x:v>
      </x:c>
      <x:c r="W100" s="49"/>
      <x:c r="X100" s="49"/>
      <x:c r="Y100" s="68"/>
      <x:c r="Z100" s="49"/>
      <x:c r="AA100" s="49"/>
      <x:c r="AB100" s="49" t="str">
        <x:v>Not centrally verified</x:v>
      </x:c>
      <x:c r="AC100" s="49" t="str">
        <x:v>Not centrally verified</x:v>
      </x:c>
      <x:c r="AD100" s="49" t="str">
        <x:v>Not centrally verified</x:v>
      </x:c>
      <x:c r="AE100" s="49" t="str">
        <x:v>Not available in a standardized official source</x:v>
      </x:c>
      <x:c r="AF100" s="49" t="str">
        <x:v>Not included: no official standardized source; cutoff-derived proxy excluded</x:v>
      </x:c>
      <x:c r="AG100" s="49" t="str">
        <x:v>https://dse2025.mahacet.org.in/dse25/admin/allotment/cap2/3217_4.pdf</x:v>
      </x:c>
      <x:c r="AH100" s="49" t="str">
        <x:v>https://fe2025.mahacet.org/StaticPages/frmInstituteSummary.aspx?InstituteCode=03217</x:v>
      </x:c>
      <x:c r="AI100" s="49"/>
      <x:c r="AJ100" s="49" t="str"/>
      <x:c r="AK100" s="69" t="n">
        <x:f>IF(W100&lt;&gt;"",50,IF(X100="101-150",45,IF(X100="151-200",40,IF(X100="201-300",35,0))))+IF(H100="Autonomous",20,0)+IF(OR(G100="Government",G100="Government-Aided",G100="University Department",G100="University",G100="University Autonomous"),15,0)+MIN(K100,10)+IF(AA100&lt;&gt;"",3,0)+IF(U100&lt;&gt;"",2,0)</x:f>
        <x:v>7</x:v>
      </x:c>
      <x:c r="AL100" s="49" t="str">
        <x:f>IF(AK100&gt;=70,"Official/high-evidence reference",IF(AK100&gt;=40,"Planning reference","Broader option"))</x:f>
        <x:v>Broader option</x:v>
      </x:c>
    </x:row>
    <x:row r="101">
      <x:c r="A101" s="63" t="n">
        <x:v>3218</x:v>
      </x:c>
      <x:c r="B101" s="49" t="str">
        <x:v>Aldel Education Trust's St. John College of Engineering &amp; Management, Vevoor, Palghar</x:v>
      </x:c>
      <x:c r="C101" s="49" t="str">
        <x:v>Maharashtra</x:v>
      </x:c>
      <x:c r="D101" s="49" t="str">
        <x:v>Mumbai</x:v>
      </x:c>
      <x:c r="E101" s="49" t="str">
        <x:v>Palghar</x:v>
      </x:c>
      <x:c r="F101" s="49" t="str">
        <x:v>St. John Technical Education Complex, Village Vevoor,Manor Road Palghar (E)</x:v>
      </x:c>
      <x:c r="G101" s="49" t="str">
        <x:v>Un-Aided</x:v>
      </x:c>
      <x:c r="H101" s="49" t="str">
        <x:v>Autonomous</x:v>
      </x:c>
      <x:c r="I101" s="49" t="str">
        <x:v>Religious Minority - Christian</x:v>
      </x:c>
      <x:c r="J101" s="49" t="str">
        <x:v>Mumbai University</x:v>
      </x:c>
      <x:c r="K101" s="49" t="n">
        <x:v>7</x:v>
      </x:c>
      <x:c r="L101" s="49" t="n">
        <x:v>70</x:v>
      </x:c>
      <x:c r="M101" s="49" t="n">
        <x:v>30</x:v>
      </x:c>
      <x:c r="N101" s="49"/>
      <x:c r="O101" s="49" t="n">
        <x:v>40</x:v>
      </x:c>
      <x:c r="P101" s="49"/>
      <x:c r="Q101" s="49" t="str">
        <x:v>Parsed from official 2025-26 PDF</x:v>
      </x:c>
      <x:c r="R101" s="49" t="str">
        <x:v>2024-25</x:v>
      </x:c>
      <x:c r="S101" s="64" t="n">
        <x:v>78329</x:v>
      </x:c>
      <x:c r="T101" s="64" t="n">
        <x:v>11671</x:v>
      </x:c>
      <x:c r="U101" s="64" t="n">
        <x:v>90000</x:v>
      </x:c>
      <x:c r="V101" s="49" t="str">
        <x:v>Normal FRA-approved annual tuition + development fee; not seat-type-specific</x:v>
      </x:c>
      <x:c r="W101" s="49"/>
      <x:c r="X101" s="49"/>
      <x:c r="Y101" s="68"/>
      <x:c r="Z101" s="49"/>
      <x:c r="AA101" s="49"/>
      <x:c r="AB101" s="49" t="str">
        <x:v>Not centrally verified</x:v>
      </x:c>
      <x:c r="AC101" s="49" t="str">
        <x:v>Not centrally verified</x:v>
      </x:c>
      <x:c r="AD101" s="49" t="str">
        <x:v>Not centrally verified</x:v>
      </x:c>
      <x:c r="AE101" s="49" t="str">
        <x:v>Not available in a standardized official source</x:v>
      </x:c>
      <x:c r="AF101" s="49" t="str">
        <x:v>Not included: no official standardized source; cutoff-derived proxy excluded</x:v>
      </x:c>
      <x:c r="AG101" s="49" t="str">
        <x:v>https://dse2025.mahacet.org.in/dse25/admin/allotment/cap2/3218_4.pdf</x:v>
      </x:c>
      <x:c r="AH101" s="49" t="str">
        <x:v>https://fe2025.mahacet.org/StaticPages/frmInstituteSummary.aspx?InstituteCode=03218</x:v>
      </x:c>
      <x:c r="AI101" s="49"/>
      <x:c r="AJ101" s="49" t="str"/>
      <x:c r="AK101" s="69" t="n">
        <x:f>IF(W101&lt;&gt;"",50,IF(X101="101-150",45,IF(X101="151-200",40,IF(X101="201-300",35,0))))+IF(H101="Autonomous",20,0)+IF(OR(G101="Government",G101="Government-Aided",G101="University Department",G101="University",G101="University Autonomous"),15,0)+MIN(K101,10)+IF(AA101&lt;&gt;"",3,0)+IF(U101&lt;&gt;"",2,0)</x:f>
        <x:v>29</x:v>
      </x:c>
      <x:c r="AL101" s="49" t="str">
        <x:f>IF(AK101&gt;=70,"Official/high-evidence reference",IF(AK101&gt;=40,"Planning reference","Broader option"))</x:f>
        <x:v>Broader option</x:v>
      </x:c>
    </x:row>
    <x:row r="102">
      <x:c r="A102" s="63" t="n">
        <x:v>3219</x:v>
      </x:c>
      <x:c r="B102" s="49" t="str">
        <x:v>Koti Vidya Charitable Trust's Smt. Alamuri Ratnamala Institute of Engineering and Technology, Sapgaon, Tal. Shahapur</x:v>
      </x:c>
      <x:c r="C102" s="49" t="str">
        <x:v>Maharashtra</x:v>
      </x:c>
      <x:c r="D102" s="49" t="str">
        <x:v>Mumbai</x:v>
      </x:c>
      <x:c r="E102" s="49" t="str">
        <x:v>Thane</x:v>
      </x:c>
      <x:c r="F102" s="49" t="str">
        <x:v>Sapgaon, Taluka Shahapur Dist. Thane</x:v>
      </x:c>
      <x:c r="G102" s="49" t="str">
        <x:v>Un-Aided</x:v>
      </x:c>
      <x:c r="H102" s="49" t="str">
        <x:v>Non-Autonomous</x:v>
      </x:c>
      <x:c r="I102" s="49" t="str">
        <x:v>Linguistic Minority - Hindi</x:v>
      </x:c>
      <x:c r="J102" s="49" t="str">
        <x:v>Mumbai University</x:v>
      </x:c>
      <x:c r="K102" s="49" t="n">
        <x:v>7</x:v>
      </x:c>
      <x:c r="L102" s="49" t="n">
        <x:v>254</x:v>
      </x:c>
      <x:c r="M102" s="49" t="n">
        <x:v>121</x:v>
      </x:c>
      <x:c r="N102" s="49"/>
      <x:c r="O102" s="49" t="n">
        <x:v>133</x:v>
      </x:c>
      <x:c r="P102" s="49"/>
      <x:c r="Q102" s="49" t="str">
        <x:v>Parsed from official 2025-26 PDF</x:v>
      </x:c>
      <x:c r="R102" s="49" t="str">
        <x:v>2024-25</x:v>
      </x:c>
      <x:c r="S102" s="64" t="n">
        <x:v>66696</x:v>
      </x:c>
      <x:c r="T102" s="64" t="n">
        <x:v>8804</x:v>
      </x:c>
      <x:c r="U102" s="64" t="n">
        <x:v>75500</x:v>
      </x:c>
      <x:c r="V102" s="49" t="str">
        <x:v>Normal FRA-approved annual tuition + development fee; not seat-type-specific</x:v>
      </x:c>
      <x:c r="W102" s="49"/>
      <x:c r="X102" s="49"/>
      <x:c r="Y102" s="68"/>
      <x:c r="Z102" s="49"/>
      <x:c r="AA102" s="49"/>
      <x:c r="AB102" s="49" t="str">
        <x:v>Not centrally verified</x:v>
      </x:c>
      <x:c r="AC102" s="49" t="str">
        <x:v>Not centrally verified</x:v>
      </x:c>
      <x:c r="AD102" s="49" t="str">
        <x:v>Not centrally verified</x:v>
      </x:c>
      <x:c r="AE102" s="49" t="str">
        <x:v>Not available in a standardized official source</x:v>
      </x:c>
      <x:c r="AF102" s="49" t="str">
        <x:v>Not included: no official standardized source; cutoff-derived proxy excluded</x:v>
      </x:c>
      <x:c r="AG102" s="49" t="str">
        <x:v>https://dse2025.mahacet.org.in/dse25/admin/allotment/cap2/3219_4.pdf</x:v>
      </x:c>
      <x:c r="AH102" s="49" t="str">
        <x:v>https://fe2025.mahacet.org/StaticPages/frmInstituteSummary.aspx?InstituteCode=03219</x:v>
      </x:c>
      <x:c r="AI102" s="49"/>
      <x:c r="AJ102" s="49" t="str"/>
      <x:c r="AK102" s="69" t="n">
        <x:f>IF(W102&lt;&gt;"",50,IF(X102="101-150",45,IF(X102="151-200",40,IF(X102="201-300",35,0))))+IF(H102="Autonomous",20,0)+IF(OR(G102="Government",G102="Government-Aided",G102="University Department",G102="University",G102="University Autonomous"),15,0)+MIN(K102,10)+IF(AA102&lt;&gt;"",3,0)+IF(U102&lt;&gt;"",2,0)</x:f>
        <x:v>9</x:v>
      </x:c>
      <x:c r="AL102" s="49" t="str">
        <x:f>IF(AK102&gt;=70,"Official/high-evidence reference",IF(AK102&gt;=40,"Planning reference","Broader option"))</x:f>
        <x:v>Broader option</x:v>
      </x:c>
    </x:row>
    <x:row r="103">
      <x:c r="A103" s="63" t="n">
        <x:v>3220</x:v>
      </x:c>
      <x:c r="B103" s="49" t="str">
        <x:v>Yadavrao Tasgaonkar College of Engineering &amp; Management</x:v>
      </x:c>
      <x:c r="C103" s="49" t="str">
        <x:v>Maharashtra</x:v>
      </x:c>
      <x:c r="D103" s="49" t="str">
        <x:v>Mumbai</x:v>
      </x:c>
      <x:c r="E103" s="49" t="str">
        <x:v>Raigad</x:v>
      </x:c>
      <x:c r="F103" s="49" t="str">
        <x:v>Chandhai, Neral - Kadav Raod, Post Nasrapur, Taluka Karjat, Dist. Raigad</x:v>
      </x:c>
      <x:c r="G103" s="49" t="str">
        <x:v>Un-Aided</x:v>
      </x:c>
      <x:c r="H103" s="49" t="str">
        <x:v>Non-Autonomous</x:v>
      </x:c>
      <x:c r="I103" s="49" t="str">
        <x:v>Non-Minority</x:v>
      </x:c>
      <x:c r="J103" s="49" t="str">
        <x:v>Mumbai University</x:v>
      </x:c>
      <x:c r="K103" s="49" t="n">
        <x:v>7</x:v>
      </x:c>
      <x:c r="L103" s="49" t="n">
        <x:v>301</x:v>
      </x:c>
      <x:c r="M103" s="49" t="n">
        <x:v>268</x:v>
      </x:c>
      <x:c r="N103" s="49" t="n">
        <x:v>33</x:v>
      </x:c>
      <x:c r="O103" s="49"/>
      <x:c r="P103" s="49"/>
      <x:c r="Q103" s="49" t="str">
        <x:v>Parsed from official 2025-26 PDF</x:v>
      </x:c>
      <x:c r="R103" s="49" t="str">
        <x:v>2024-25</x:v>
      </x:c>
      <x:c r="S103" s="64" t="n">
        <x:v>43049</x:v>
      </x:c>
      <x:c r="T103" s="64" t="n">
        <x:v>4951</x:v>
      </x:c>
      <x:c r="U103" s="64" t="n">
        <x:v>48000</x:v>
      </x:c>
      <x:c r="V103" s="49" t="str">
        <x:v>Normal FRA-approved annual tuition + development fee; not seat-type-specific</x:v>
      </x:c>
      <x:c r="W103" s="49"/>
      <x:c r="X103" s="49"/>
      <x:c r="Y103" s="68"/>
      <x:c r="Z103" s="49"/>
      <x:c r="AA103" s="49"/>
      <x:c r="AB103" s="49" t="str">
        <x:v>Not centrally verified</x:v>
      </x:c>
      <x:c r="AC103" s="49" t="str">
        <x:v>Not centrally verified</x:v>
      </x:c>
      <x:c r="AD103" s="49" t="str">
        <x:v>Not centrally verified</x:v>
      </x:c>
      <x:c r="AE103" s="49" t="str">
        <x:v>Not available in a standardized official source</x:v>
      </x:c>
      <x:c r="AF103" s="49" t="str">
        <x:v>Not included: no official standardized source; cutoff-derived proxy excluded</x:v>
      </x:c>
      <x:c r="AG103" s="49" t="str">
        <x:v>https://dse2025.mahacet.org.in/dse25/admin/allotment/cap2/3220_4.pdf</x:v>
      </x:c>
      <x:c r="AH103" s="49" t="str">
        <x:v>https://fe2025.mahacet.org/StaticPages/frmInstituteSummary.aspx?InstituteCode=03220</x:v>
      </x:c>
      <x:c r="AI103" s="49"/>
      <x:c r="AJ103" s="49" t="str"/>
      <x:c r="AK103" s="69" t="n">
        <x:f>IF(W103&lt;&gt;"",50,IF(X103="101-150",45,IF(X103="151-200",40,IF(X103="201-300",35,0))))+IF(H103="Autonomous",20,0)+IF(OR(G103="Government",G103="Government-Aided",G103="University Department",G103="University",G103="University Autonomous"),15,0)+MIN(K103,10)+IF(AA103&lt;&gt;"",3,0)+IF(U103&lt;&gt;"",2,0)</x:f>
        <x:v>9</x:v>
      </x:c>
      <x:c r="AL103" s="49" t="str">
        <x:f>IF(AK103&gt;=70,"Official/high-evidence reference",IF(AK103&gt;=40,"Planning reference","Broader option"))</x:f>
        <x:v>Broader option</x:v>
      </x:c>
    </x:row>
    <x:row r="104">
      <x:c r="A104" s="63" t="n">
        <x:v>3221</x:v>
      </x:c>
      <x:c r="B104" s="49" t="str">
        <x:v>Vishnu Waman Thakur Charitable Trust's VIVA Institute of Technology, Virar</x:v>
      </x:c>
      <x:c r="C104" s="49" t="str">
        <x:v>Maharashtra</x:v>
      </x:c>
      <x:c r="D104" s="49" t="str">
        <x:v>Mumbai</x:v>
      </x:c>
      <x:c r="E104" s="49" t="str">
        <x:v>Palghar</x:v>
      </x:c>
      <x:c r="F104" s="49" t="str">
        <x:v>AT SHIRGAON, POST:- VIRAR (EAST), TAL -VASAI,DIST.PALGHAR</x:v>
      </x:c>
      <x:c r="G104" s="49" t="str">
        <x:v>Un-Aided</x:v>
      </x:c>
      <x:c r="H104" s="49" t="str">
        <x:v>Non-Autonomous</x:v>
      </x:c>
      <x:c r="I104" s="49" t="str">
        <x:v>Non-Minority</x:v>
      </x:c>
      <x:c r="J104" s="49" t="str">
        <x:v>Mumbai University</x:v>
      </x:c>
      <x:c r="K104" s="49" t="n">
        <x:v>6</x:v>
      </x:c>
      <x:c r="L104" s="49" t="n">
        <x:v>209</x:v>
      </x:c>
      <x:c r="M104" s="49" t="n">
        <x:v>166</x:v>
      </x:c>
      <x:c r="N104" s="49" t="n">
        <x:v>43</x:v>
      </x:c>
      <x:c r="O104" s="49"/>
      <x:c r="P104" s="49"/>
      <x:c r="Q104" s="49" t="str">
        <x:v>Parsed from official 2025-26 PDF</x:v>
      </x:c>
      <x:c r="R104" s="49" t="str">
        <x:v>2024-25</x:v>
      </x:c>
      <x:c r="S104" s="64" t="n">
        <x:v>65962</x:v>
      </x:c>
      <x:c r="T104" s="64" t="n">
        <x:v>9038</x:v>
      </x:c>
      <x:c r="U104" s="64" t="n">
        <x:v>75000</x:v>
      </x:c>
      <x:c r="V104" s="49" t="str">
        <x:v>Normal FRA-approved annual tuition + development fee; not seat-type-specific</x:v>
      </x:c>
      <x:c r="W104" s="49"/>
      <x:c r="X104" s="49"/>
      <x:c r="Y104" s="68"/>
      <x:c r="Z104" s="49"/>
      <x:c r="AA104" s="49"/>
      <x:c r="AB104" s="49" t="str">
        <x:v>Not centrally verified</x:v>
      </x:c>
      <x:c r="AC104" s="49" t="str">
        <x:v>Not centrally verified</x:v>
      </x:c>
      <x:c r="AD104" s="49" t="str">
        <x:v>Not centrally verified</x:v>
      </x:c>
      <x:c r="AE104" s="49" t="str">
        <x:v>Not available in a standardized official source</x:v>
      </x:c>
      <x:c r="AF104" s="49" t="str">
        <x:v>Not included: no official standardized source; cutoff-derived proxy excluded</x:v>
      </x:c>
      <x:c r="AG104" s="49" t="str">
        <x:v>https://dse2025.mahacet.org.in/dse25/admin/allotment/cap2/3221_4.pdf</x:v>
      </x:c>
      <x:c r="AH104" s="49" t="str">
        <x:v>https://fe2025.mahacet.org/StaticPages/frmInstituteSummary.aspx?InstituteCode=03221</x:v>
      </x:c>
      <x:c r="AI104" s="49"/>
      <x:c r="AJ104" s="49" t="str"/>
      <x:c r="AK104" s="69" t="n">
        <x:f>IF(W104&lt;&gt;"",50,IF(X104="101-150",45,IF(X104="151-200",40,IF(X104="201-300",35,0))))+IF(H104="Autonomous",20,0)+IF(OR(G104="Government",G104="Government-Aided",G104="University Department",G104="University",G104="University Autonomous"),15,0)+MIN(K104,10)+IF(AA104&lt;&gt;"",3,0)+IF(U104&lt;&gt;"",2,0)</x:f>
        <x:v>8</x:v>
      </x:c>
      <x:c r="AL104" s="49" t="str">
        <x:f>IF(AK104&gt;=70,"Official/high-evidence reference",IF(AK104&gt;=40,"Planning reference","Broader option"))</x:f>
        <x:v>Broader option</x:v>
      </x:c>
    </x:row>
    <x:row r="105">
      <x:c r="A105" s="63" t="n">
        <x:v>3222</x:v>
      </x:c>
      <x:c r="B105" s="49" t="str">
        <x:v>Haji Jamaluddin Thim Trust's Theem College of Engineering, At. Villege Betegaon, Boisar</x:v>
      </x:c>
      <x:c r="C105" s="49" t="str">
        <x:v>Maharashtra</x:v>
      </x:c>
      <x:c r="D105" s="49" t="str">
        <x:v>Mumbai</x:v>
      </x:c>
      <x:c r="E105" s="49" t="str">
        <x:v>Palghar</x:v>
      </x:c>
      <x:c r="F105" s="49" t="str">
        <x:v>At Village Betegaon,Boisar Chillhar Road , Near Union Park, Boisar(E), Tal: Palghar,</x:v>
      </x:c>
      <x:c r="G105" s="49" t="str">
        <x:v>Un-Aided</x:v>
      </x:c>
      <x:c r="H105" s="49" t="str">
        <x:v>Non-Autonomous</x:v>
      </x:c>
      <x:c r="I105" s="49" t="str">
        <x:v>Religious Minority - Muslim</x:v>
      </x:c>
      <x:c r="J105" s="49" t="str">
        <x:v>Mumbai University</x:v>
      </x:c>
      <x:c r="K105" s="49" t="n">
        <x:v>7</x:v>
      </x:c>
      <x:c r="L105" s="49" t="n">
        <x:v>154</x:v>
      </x:c>
      <x:c r="M105" s="49" t="n">
        <x:v>72</x:v>
      </x:c>
      <x:c r="N105" s="49"/>
      <x:c r="O105" s="49" t="n">
        <x:v>82</x:v>
      </x:c>
      <x:c r="P105" s="49"/>
      <x:c r="Q105" s="49" t="str">
        <x:v>Parsed from official 2025-26 PDF</x:v>
      </x:c>
      <x:c r="R105" s="49" t="str">
        <x:v>2024-25</x:v>
      </x:c>
      <x:c r="S105" s="64" t="n">
        <x:v>56638</x:v>
      </x:c>
      <x:c r="T105" s="64" t="n">
        <x:v>7362</x:v>
      </x:c>
      <x:c r="U105" s="64" t="n">
        <x:v>64000</x:v>
      </x:c>
      <x:c r="V105" s="49" t="str">
        <x:v>Normal FRA-approved annual tuition + development fee; not seat-type-specific</x:v>
      </x:c>
      <x:c r="W105" s="49"/>
      <x:c r="X105" s="49"/>
      <x:c r="Y105" s="68"/>
      <x:c r="Z105" s="49"/>
      <x:c r="AA105" s="49"/>
      <x:c r="AB105" s="49" t="str">
        <x:v>Not centrally verified</x:v>
      </x:c>
      <x:c r="AC105" s="49" t="str">
        <x:v>Not centrally verified</x:v>
      </x:c>
      <x:c r="AD105" s="49" t="str">
        <x:v>Not centrally verified</x:v>
      </x:c>
      <x:c r="AE105" s="49" t="str">
        <x:v>Not available in a standardized official source</x:v>
      </x:c>
      <x:c r="AF105" s="49" t="str">
        <x:v>Not included: no official standardized source; cutoff-derived proxy excluded</x:v>
      </x:c>
      <x:c r="AG105" s="49" t="str">
        <x:v>https://dse2025.mahacet.org.in/dse25/admin/allotment/cap2/3222_4.pdf</x:v>
      </x:c>
      <x:c r="AH105" s="49" t="str">
        <x:v>https://fe2025.mahacet.org/StaticPages/frmInstituteSummary.aspx?InstituteCode=03222</x:v>
      </x:c>
      <x:c r="AI105" s="49"/>
      <x:c r="AJ105" s="49" t="str"/>
      <x:c r="AK105" s="69" t="n">
        <x:f>IF(W105&lt;&gt;"",50,IF(X105="101-150",45,IF(X105="151-200",40,IF(X105="201-300",35,0))))+IF(H105="Autonomous",20,0)+IF(OR(G105="Government",G105="Government-Aided",G105="University Department",G105="University",G105="University Autonomous"),15,0)+MIN(K105,10)+IF(AA105&lt;&gt;"",3,0)+IF(U105&lt;&gt;"",2,0)</x:f>
        <x:v>9</x:v>
      </x:c>
      <x:c r="AL105" s="49" t="str">
        <x:f>IF(AK105&gt;=70,"Official/high-evidence reference",IF(AK105&gt;=40,"Planning reference","Broader option"))</x:f>
        <x:v>Broader option</x:v>
      </x:c>
    </x:row>
    <x:row r="106">
      <x:c r="A106" s="63" t="n">
        <x:v>3223</x:v>
      </x:c>
      <x:c r="B106" s="49" t="str">
        <x:v>Mahatma Education Society's Pillai HOC College of Engineering &amp; Technology, Tal. Khalapur. Dist. Raigad</x:v>
      </x:c>
      <x:c r="C106" s="49" t="str">
        <x:v>Maharashtra</x:v>
      </x:c>
      <x:c r="D106" s="49" t="str">
        <x:v>Mumbai</x:v>
      </x:c>
      <x:c r="E106" s="49" t="str">
        <x:v>Raigad</x:v>
      </x:c>
      <x:c r="F106" s="49" t="str">
        <x:v>Pillai HOCL Educational Campus, Rasayani, Tal. Khalapur. Dist. Raisad-</x:v>
      </x:c>
      <x:c r="G106" s="49" t="str">
        <x:v>Un-Aided</x:v>
      </x:c>
      <x:c r="H106" s="49" t="str">
        <x:v>Autonomous</x:v>
      </x:c>
      <x:c r="I106" s="49" t="str">
        <x:v>Linguistic Minority - Malyalam</x:v>
      </x:c>
      <x:c r="J106" s="49" t="str">
        <x:v>Mumbai University</x:v>
      </x:c>
      <x:c r="K106" s="49" t="n">
        <x:v>6</x:v>
      </x:c>
      <x:c r="L106" s="49" t="n">
        <x:v>143</x:v>
      </x:c>
      <x:c r="M106" s="49" t="n">
        <x:v>67</x:v>
      </x:c>
      <x:c r="N106" s="49"/>
      <x:c r="O106" s="49" t="n">
        <x:v>76</x:v>
      </x:c>
      <x:c r="P106" s="49"/>
      <x:c r="Q106" s="49" t="str">
        <x:v>Parsed from official 2025-26 PDF</x:v>
      </x:c>
      <x:c r="R106" s="49" t="str">
        <x:v>2024-25</x:v>
      </x:c>
      <x:c r="S106" s="64" t="n">
        <x:v>84285</x:v>
      </x:c>
      <x:c r="T106" s="64" t="n">
        <x:v>11715</x:v>
      </x:c>
      <x:c r="U106" s="64" t="n">
        <x:v>96000</x:v>
      </x:c>
      <x:c r="V106" s="49" t="str">
        <x:v>Normal FRA-approved annual tuition + development fee; not seat-type-specific</x:v>
      </x:c>
      <x:c r="W106" s="49"/>
      <x:c r="X106" s="49"/>
      <x:c r="Y106" s="68"/>
      <x:c r="Z106" s="49"/>
      <x:c r="AA106" s="49"/>
      <x:c r="AB106" s="49" t="str">
        <x:v>Not centrally verified</x:v>
      </x:c>
      <x:c r="AC106" s="49" t="str">
        <x:v>Not centrally verified</x:v>
      </x:c>
      <x:c r="AD106" s="49" t="str">
        <x:v>Not centrally verified</x:v>
      </x:c>
      <x:c r="AE106" s="49" t="str">
        <x:v>Not available in a standardized official source</x:v>
      </x:c>
      <x:c r="AF106" s="49" t="str">
        <x:v>Not included: no official standardized source; cutoff-derived proxy excluded</x:v>
      </x:c>
      <x:c r="AG106" s="49" t="str">
        <x:v>https://dse2025.mahacet.org.in/dse25/admin/allotment/cap2/3223_4.pdf</x:v>
      </x:c>
      <x:c r="AH106" s="49" t="str">
        <x:v>https://fe2025.mahacet.org/StaticPages/frmInstituteSummary.aspx?InstituteCode=03223</x:v>
      </x:c>
      <x:c r="AI106" s="49"/>
      <x:c r="AJ106" s="49" t="str"/>
      <x:c r="AK106" s="69" t="n">
        <x:f>IF(W106&lt;&gt;"",50,IF(X106="101-150",45,IF(X106="151-200",40,IF(X106="201-300",35,0))))+IF(H106="Autonomous",20,0)+IF(OR(G106="Government",G106="Government-Aided",G106="University Department",G106="University",G106="University Autonomous"),15,0)+MIN(K106,10)+IF(AA106&lt;&gt;"",3,0)+IF(U106&lt;&gt;"",2,0)</x:f>
        <x:v>28</x:v>
      </x:c>
      <x:c r="AL106" s="49" t="str">
        <x:f>IF(AK106&gt;=70,"Official/high-evidence reference",IF(AK106&gt;=40,"Planning reference","Broader option"))</x:f>
        <x:v>Broader option</x:v>
      </x:c>
    </x:row>
    <x:row r="107">
      <x:c r="A107" s="63" t="n">
        <x:v>3224</x:v>
      </x:c>
      <x:c r="B107" s="49" t="str">
        <x:v>Leela Education Society, G.V. Acharya Institute of Engineering and Technology, Shelu, Karjat</x:v>
      </x:c>
      <x:c r="C107" s="49" t="str">
        <x:v>Maharashtra</x:v>
      </x:c>
      <x:c r="D107" s="49" t="str">
        <x:v>Mumbai</x:v>
      </x:c>
      <x:c r="E107" s="49" t="str">
        <x:v>Raigad</x:v>
      </x:c>
      <x:c r="F107" s="49" t="str">
        <x:v>Shelu/Damat Village, (Opp. Shelu Rly Station), Tal. Karjat. Dist. Raigad</x:v>
      </x:c>
      <x:c r="G107" s="49" t="str">
        <x:v>Un-Aided</x:v>
      </x:c>
      <x:c r="H107" s="49" t="str">
        <x:v>Non-Autonomous</x:v>
      </x:c>
      <x:c r="I107" s="49" t="str">
        <x:v>Non-Minority</x:v>
      </x:c>
      <x:c r="J107" s="49" t="str">
        <x:v>Mumbai University</x:v>
      </x:c>
      <x:c r="K107" s="49" t="n">
        <x:v>5</x:v>
      </x:c>
      <x:c r="L107" s="49" t="n">
        <x:v>199</x:v>
      </x:c>
      <x:c r="M107" s="49" t="n">
        <x:v>168</x:v>
      </x:c>
      <x:c r="N107" s="49" t="n">
        <x:v>31</x:v>
      </x:c>
      <x:c r="O107" s="49"/>
      <x:c r="P107" s="49"/>
      <x:c r="Q107" s="49" t="str">
        <x:v>Parsed from official 2025-26 PDF</x:v>
      </x:c>
      <x:c r="R107" s="49" t="str">
        <x:v>2024-25</x:v>
      </x:c>
      <x:c r="S107" s="64" t="n">
        <x:v>49683</x:v>
      </x:c>
      <x:c r="T107" s="64" t="n">
        <x:v>5317</x:v>
      </x:c>
      <x:c r="U107" s="64" t="n">
        <x:v>55000</x:v>
      </x:c>
      <x:c r="V107" s="49" t="str">
        <x:v>Normal FRA-approved annual tuition + development fee; not seat-type-specific</x:v>
      </x:c>
      <x:c r="W107" s="49"/>
      <x:c r="X107" s="49"/>
      <x:c r="Y107" s="68"/>
      <x:c r="Z107" s="49"/>
      <x:c r="AA107" s="49"/>
      <x:c r="AB107" s="49" t="str">
        <x:v>Not centrally verified</x:v>
      </x:c>
      <x:c r="AC107" s="49" t="str">
        <x:v>Not centrally verified</x:v>
      </x:c>
      <x:c r="AD107" s="49" t="str">
        <x:v>Not centrally verified</x:v>
      </x:c>
      <x:c r="AE107" s="49" t="str">
        <x:v>Not available in a standardized official source</x:v>
      </x:c>
      <x:c r="AF107" s="49" t="str">
        <x:v>Not included: no official standardized source; cutoff-derived proxy excluded</x:v>
      </x:c>
      <x:c r="AG107" s="49" t="str">
        <x:v>https://dse2025.mahacet.org.in/dse25/admin/allotment/cap2/3224_4.pdf</x:v>
      </x:c>
      <x:c r="AH107" s="49" t="str">
        <x:v>https://fe2025.mahacet.org/StaticPages/frmInstituteSummary.aspx?InstituteCode=03224</x:v>
      </x:c>
      <x:c r="AI107" s="49"/>
      <x:c r="AJ107" s="49" t="str"/>
      <x:c r="AK107" s="69" t="n">
        <x:f>IF(W107&lt;&gt;"",50,IF(X107="101-150",45,IF(X107="151-200",40,IF(X107="201-300",35,0))))+IF(H107="Autonomous",20,0)+IF(OR(G107="Government",G107="Government-Aided",G107="University Department",G107="University",G107="University Autonomous"),15,0)+MIN(K107,10)+IF(AA107&lt;&gt;"",3,0)+IF(U107&lt;&gt;"",2,0)</x:f>
        <x:v>7</x:v>
      </x:c>
      <x:c r="AL107" s="49" t="str">
        <x:f>IF(AK107&gt;=70,"Official/high-evidence reference",IF(AK107&gt;=40,"Planning reference","Broader option"))</x:f>
        <x:v>Broader option</x:v>
      </x:c>
    </x:row>
    <x:row r="108">
      <x:c r="A108" s="63" t="n">
        <x:v>3257</x:v>
      </x:c>
      <x:c r="B108" s="49" t="str">
        <x:v>Vidya Prasarak Mandal's College of Engineering, Thane</x:v>
      </x:c>
      <x:c r="C108" s="49" t="str">
        <x:v>Maharashtra</x:v>
      </x:c>
      <x:c r="D108" s="49" t="str">
        <x:v>Mumbai</x:v>
      </x:c>
      <x:c r="E108" s="49" t="str">
        <x:v>Thane</x:v>
      </x:c>
      <x:c r="F108" s="49" t="str">
        <x:v>Chendani, Bunder Road, Jnanadweepa , College Campus Thane , 400601</x:v>
      </x:c>
      <x:c r="G108" s="49" t="str">
        <x:v>Un-Aided</x:v>
      </x:c>
      <x:c r="H108" s="49" t="str">
        <x:v>Non-Autonomous</x:v>
      </x:c>
      <x:c r="I108" s="49" t="str">
        <x:v>Non-Minority</x:v>
      </x:c>
      <x:c r="J108" s="49" t="str">
        <x:v>Mumbai University</x:v>
      </x:c>
      <x:c r="K108" s="49" t="n">
        <x:v>5</x:v>
      </x:c>
      <x:c r="L108" s="49" t="n">
        <x:v>88</x:v>
      </x:c>
      <x:c r="M108" s="49" t="n">
        <x:v>64</x:v>
      </x:c>
      <x:c r="N108" s="49" t="n">
        <x:v>24</x:v>
      </x:c>
      <x:c r="O108" s="49"/>
      <x:c r="P108" s="49"/>
      <x:c r="Q108" s="49" t="str">
        <x:v>Parsed from official 2025-26 PDF</x:v>
      </x:c>
      <x:c r="R108" s="49"/>
      <x:c r="S108" s="64"/>
      <x:c r="T108" s="64"/>
      <x:c r="U108" s="64"/>
      <x:c r="V108" s="49" t="str">
        <x:v>No verified FRA match</x:v>
      </x:c>
      <x:c r="W108" s="49"/>
      <x:c r="X108" s="49"/>
      <x:c r="Y108" s="68"/>
      <x:c r="Z108" s="49"/>
      <x:c r="AA108" s="49"/>
      <x:c r="AB108" s="49" t="str">
        <x:v>Not centrally verified</x:v>
      </x:c>
      <x:c r="AC108" s="49" t="str">
        <x:v>Not centrally verified</x:v>
      </x:c>
      <x:c r="AD108" s="49" t="str">
        <x:v>Not centrally verified</x:v>
      </x:c>
      <x:c r="AE108" s="49" t="str">
        <x:v>Not available in a standardized official source</x:v>
      </x:c>
      <x:c r="AF108" s="49" t="str">
        <x:v>Not included: no official standardized source; cutoff-derived proxy excluded</x:v>
      </x:c>
      <x:c r="AG108" s="49" t="str">
        <x:v>https://dse2025.mahacet.org.in/dse25/admin/allotment/cap2/3257_4.pdf</x:v>
      </x:c>
      <x:c r="AH108" s="49" t="str">
        <x:v>https://fe2025.mahacet.org/StaticPages/frmInstituteSummary.aspx?InstituteCode=03257</x:v>
      </x:c>
      <x:c r="AI108" s="49"/>
      <x:c r="AJ108" s="49" t="str"/>
      <x:c r="AK108" s="69" t="n">
        <x:f>IF(W108&lt;&gt;"",50,IF(X108="101-150",45,IF(X108="151-200",40,IF(X108="201-300",35,0))))+IF(H108="Autonomous",20,0)+IF(OR(G108="Government",G108="Government-Aided",G108="University Department",G108="University",G108="University Autonomous"),15,0)+MIN(K108,10)+IF(AA108&lt;&gt;"",3,0)+IF(U108&lt;&gt;"",2,0)</x:f>
        <x:v>5</x:v>
      </x:c>
      <x:c r="AL108" s="49" t="str">
        <x:f>IF(AK108&gt;=70,"Official/high-evidence reference",IF(AK108&gt;=40,"Planning reference","Broader option"))</x:f>
        <x:v>Broader option</x:v>
      </x:c>
    </x:row>
    <x:row r="109">
      <x:c r="A109" s="63" t="n">
        <x:v>3277</x:v>
      </x:c>
      <x:c r="B109" s="49" t="str">
        <x:v>Pravin Rohidas Patil College of Engineering &amp; Technology</x:v>
      </x:c>
      <x:c r="C109" s="49" t="str">
        <x:v>Maharashtra</x:v>
      </x:c>
      <x:c r="D109" s="49" t="str">
        <x:v>Mumbai</x:v>
      </x:c>
      <x:c r="E109" s="49" t="str">
        <x:v>Thane</x:v>
      </x:c>
      <x:c r="F109" s="49" t="str">
        <x:v>Mahavidyalaya Marg ,Navghar, Western Railway ,Bhayander(E), Bhayandar,Thane , 401105</x:v>
      </x:c>
      <x:c r="G109" s="49" t="str">
        <x:v>Un-Aided</x:v>
      </x:c>
      <x:c r="H109" s="49" t="str">
        <x:v>Non-Autonomous</x:v>
      </x:c>
      <x:c r="I109" s="49" t="str">
        <x:v>Non-Minority</x:v>
      </x:c>
      <x:c r="J109" s="49" t="str">
        <x:v>Mumbai University</x:v>
      </x:c>
      <x:c r="K109" s="49" t="n">
        <x:v>6</x:v>
      </x:c>
      <x:c r="L109" s="49" t="n">
        <x:v>249</x:v>
      </x:c>
      <x:c r="M109" s="49" t="n">
        <x:v>209</x:v>
      </x:c>
      <x:c r="N109" s="49" t="n">
        <x:v>40</x:v>
      </x:c>
      <x:c r="O109" s="49"/>
      <x:c r="P109" s="49"/>
      <x:c r="Q109" s="49" t="str">
        <x:v>Parsed from official 2025-26 PDF</x:v>
      </x:c>
      <x:c r="R109" s="49" t="str">
        <x:v>2024-25</x:v>
      </x:c>
      <x:c r="S109" s="64" t="n">
        <x:v>77132</x:v>
      </x:c>
      <x:c r="T109" s="64" t="n">
        <x:v>7868</x:v>
      </x:c>
      <x:c r="U109" s="64" t="n">
        <x:v>85000</x:v>
      </x:c>
      <x:c r="V109" s="49" t="str">
        <x:v>Normal FRA-approved annual tuition + development fee; not seat-type-specific</x:v>
      </x:c>
      <x:c r="W109" s="49"/>
      <x:c r="X109" s="49"/>
      <x:c r="Y109" s="68"/>
      <x:c r="Z109" s="49"/>
      <x:c r="AA109" s="49"/>
      <x:c r="AB109" s="49" t="str">
        <x:v>Not centrally verified</x:v>
      </x:c>
      <x:c r="AC109" s="49" t="str">
        <x:v>Not centrally verified</x:v>
      </x:c>
      <x:c r="AD109" s="49" t="str">
        <x:v>Not centrally verified</x:v>
      </x:c>
      <x:c r="AE109" s="49" t="str">
        <x:v>Not available in a standardized official source</x:v>
      </x:c>
      <x:c r="AF109" s="49" t="str">
        <x:v>Not included: no official standardized source; cutoff-derived proxy excluded</x:v>
      </x:c>
      <x:c r="AG109" s="49" t="str">
        <x:v>https://dse2025.mahacet.org.in/dse25/admin/allotment/cap2/3277_4.pdf</x:v>
      </x:c>
      <x:c r="AH109" s="49" t="str">
        <x:v>https://fe2025.mahacet.org/StaticPages/frmInstituteSummary.aspx?InstituteCode=03277</x:v>
      </x:c>
      <x:c r="AI109" s="49"/>
      <x:c r="AJ109" s="49" t="str"/>
      <x:c r="AK109" s="69" t="n">
        <x:f>IF(W109&lt;&gt;"",50,IF(X109="101-150",45,IF(X109="151-200",40,IF(X109="201-300",35,0))))+IF(H109="Autonomous",20,0)+IF(OR(G109="Government",G109="Government-Aided",G109="University Department",G109="University",G109="University Autonomous"),15,0)+MIN(K109,10)+IF(AA109&lt;&gt;"",3,0)+IF(U109&lt;&gt;"",2,0)</x:f>
        <x:v>8</x:v>
      </x:c>
      <x:c r="AL109" s="49" t="str">
        <x:f>IF(AK109&gt;=70,"Official/high-evidence reference",IF(AK109&gt;=40,"Planning reference","Broader option"))</x:f>
        <x:v>Broader option</x:v>
      </x:c>
    </x:row>
    <x:row r="110">
      <x:c r="A110" s="63" t="n">
        <x:v>3351</x:v>
      </x:c>
      <x:c r="B110" s="49" t="str">
        <x:v>Bharat College of Engineering, Kanhor, Badlapur(W)</x:v>
      </x:c>
      <x:c r="C110" s="49" t="str">
        <x:v>Maharashtra</x:v>
      </x:c>
      <x:c r="D110" s="49" t="str">
        <x:v>Mumbai</x:v>
      </x:c>
      <x:c r="E110" s="49" t="str">
        <x:v>Thane</x:v>
      </x:c>
      <x:c r="F110" s="49" t="str">
        <x:v>Kanhor, Badlapur(w).,Tal- Ambernath. Dist. Thane</x:v>
      </x:c>
      <x:c r="G110" s="49" t="str">
        <x:v>Un-Aided</x:v>
      </x:c>
      <x:c r="H110" s="49" t="str">
        <x:v>Non-Autonomous</x:v>
      </x:c>
      <x:c r="I110" s="49" t="str">
        <x:v>Non-Minority</x:v>
      </x:c>
      <x:c r="J110" s="49" t="str">
        <x:v>Mumbai University</x:v>
      </x:c>
      <x:c r="K110" s="49" t="n">
        <x:v>6</x:v>
      </x:c>
      <x:c r="L110" s="49" t="n">
        <x:v>232</x:v>
      </x:c>
      <x:c r="M110" s="49" t="n">
        <x:v>195</x:v>
      </x:c>
      <x:c r="N110" s="49" t="n">
        <x:v>37</x:v>
      </x:c>
      <x:c r="O110" s="49"/>
      <x:c r="P110" s="49"/>
      <x:c r="Q110" s="49" t="str">
        <x:v>Parsed from official 2025-26 PDF</x:v>
      </x:c>
      <x:c r="R110" s="49" t="str">
        <x:v>2024-25</x:v>
      </x:c>
      <x:c r="S110" s="64" t="n">
        <x:v>72972</x:v>
      </x:c>
      <x:c r="T110" s="64" t="n">
        <x:v>8028</x:v>
      </x:c>
      <x:c r="U110" s="64" t="n">
        <x:v>81000</x:v>
      </x:c>
      <x:c r="V110" s="49" t="str">
        <x:v>Normal FRA-approved annual tuition + development fee; not seat-type-specific</x:v>
      </x:c>
      <x:c r="W110" s="49"/>
      <x:c r="X110" s="49"/>
      <x:c r="Y110" s="68"/>
      <x:c r="Z110" s="49"/>
      <x:c r="AA110" s="49"/>
      <x:c r="AB110" s="49" t="str">
        <x:v>Not centrally verified</x:v>
      </x:c>
      <x:c r="AC110" s="49" t="str">
        <x:v>Not centrally verified</x:v>
      </x:c>
      <x:c r="AD110" s="49" t="str">
        <x:v>Not centrally verified</x:v>
      </x:c>
      <x:c r="AE110" s="49" t="str">
        <x:v>Not available in a standardized official source</x:v>
      </x:c>
      <x:c r="AF110" s="49" t="str">
        <x:v>Not included: no official standardized source; cutoff-derived proxy excluded</x:v>
      </x:c>
      <x:c r="AG110" s="49" t="str">
        <x:v>https://dse2025.mahacet.org.in/dse25/admin/allotment/cap2/3351_4.pdf</x:v>
      </x:c>
      <x:c r="AH110" s="49" t="str">
        <x:v>https://fe2025.mahacet.org/StaticPages/frmInstituteSummary.aspx?InstituteCode=03351</x:v>
      </x:c>
      <x:c r="AI110" s="49"/>
      <x:c r="AJ110" s="49" t="str"/>
      <x:c r="AK110" s="69" t="n">
        <x:f>IF(W110&lt;&gt;"",50,IF(X110="101-150",45,IF(X110="151-200",40,IF(X110="201-300",35,0))))+IF(H110="Autonomous",20,0)+IF(OR(G110="Government",G110="Government-Aided",G110="University Department",G110="University",G110="University Autonomous"),15,0)+MIN(K110,10)+IF(AA110&lt;&gt;"",3,0)+IF(U110&lt;&gt;"",2,0)</x:f>
        <x:v>8</x:v>
      </x:c>
      <x:c r="AL110" s="49" t="str">
        <x:f>IF(AK110&gt;=70,"Official/high-evidence reference",IF(AK110&gt;=40,"Planning reference","Broader option"))</x:f>
        <x:v>Broader option</x:v>
      </x:c>
    </x:row>
    <x:row r="111">
      <x:c r="A111" s="63" t="n">
        <x:v>3353</x:v>
      </x:c>
      <x:c r="B111" s="49" t="str">
        <x:v>Dilkap Research Institute Of Engineering and Management Studies, At.Mamdapur, Post- Neral, Tal- Karjat, Mumbai</x:v>
      </x:c>
      <x:c r="C111" s="49" t="str">
        <x:v>Maharashtra</x:v>
      </x:c>
      <x:c r="D111" s="49" t="str">
        <x:v>Mumbai</x:v>
      </x:c>
      <x:c r="E111" s="49" t="str">
        <x:v>Raigad</x:v>
      </x:c>
      <x:c r="F111" s="49" t="str">
        <x:v>Village At.Mamdapur, Post- Neral, Tal- Karjat, Dist.Raigadh</x:v>
      </x:c>
      <x:c r="G111" s="49" t="str">
        <x:v>Un-Aided</x:v>
      </x:c>
      <x:c r="H111" s="49" t="str">
        <x:v>Non-Autonomous</x:v>
      </x:c>
      <x:c r="I111" s="49" t="str">
        <x:v>Non-Minority</x:v>
      </x:c>
      <x:c r="J111" s="49" t="str">
        <x:v>Mumbai University</x:v>
      </x:c>
      <x:c r="K111" s="49" t="n">
        <x:v>7</x:v>
      </x:c>
      <x:c r="L111" s="49" t="n">
        <x:v>290</x:v>
      </x:c>
      <x:c r="M111" s="49" t="n">
        <x:v>248</x:v>
      </x:c>
      <x:c r="N111" s="49" t="n">
        <x:v>42</x:v>
      </x:c>
      <x:c r="O111" s="49"/>
      <x:c r="P111" s="49"/>
      <x:c r="Q111" s="49" t="str">
        <x:v>Parsed from official 2025-26 PDF</x:v>
      </x:c>
      <x:c r="R111" s="49" t="str">
        <x:v>2024-25</x:v>
      </x:c>
      <x:c r="S111" s="64" t="n">
        <x:v>58901</x:v>
      </x:c>
      <x:c r="T111" s="64" t="n">
        <x:v>7599</x:v>
      </x:c>
      <x:c r="U111" s="64" t="n">
        <x:v>66500</x:v>
      </x:c>
      <x:c r="V111" s="49" t="str">
        <x:v>Normal FRA-approved annual tuition + development fee; not seat-type-specific</x:v>
      </x:c>
      <x:c r="W111" s="49"/>
      <x:c r="X111" s="49"/>
      <x:c r="Y111" s="68"/>
      <x:c r="Z111" s="49"/>
      <x:c r="AA111" s="49"/>
      <x:c r="AB111" s="49" t="str">
        <x:v>Not centrally verified</x:v>
      </x:c>
      <x:c r="AC111" s="49" t="str">
        <x:v>Not centrally verified</x:v>
      </x:c>
      <x:c r="AD111" s="49" t="str">
        <x:v>Not centrally verified</x:v>
      </x:c>
      <x:c r="AE111" s="49" t="str">
        <x:v>Not available in a standardized official source</x:v>
      </x:c>
      <x:c r="AF111" s="49" t="str">
        <x:v>Not included: no official standardized source; cutoff-derived proxy excluded</x:v>
      </x:c>
      <x:c r="AG111" s="49" t="str">
        <x:v>https://dse2025.mahacet.org.in/dse25/admin/allotment/cap2/3353_4.pdf</x:v>
      </x:c>
      <x:c r="AH111" s="49" t="str">
        <x:v>https://fe2025.mahacet.org/StaticPages/frmInstituteSummary.aspx?InstituteCode=03353</x:v>
      </x:c>
      <x:c r="AI111" s="49"/>
      <x:c r="AJ111" s="49" t="str"/>
      <x:c r="AK111" s="69" t="n">
        <x:f>IF(W111&lt;&gt;"",50,IF(X111="101-150",45,IF(X111="151-200",40,IF(X111="201-300",35,0))))+IF(H111="Autonomous",20,0)+IF(OR(G111="Government",G111="Government-Aided",G111="University Department",G111="University",G111="University Autonomous"),15,0)+MIN(K111,10)+IF(AA111&lt;&gt;"",3,0)+IF(U111&lt;&gt;"",2,0)</x:f>
        <x:v>9</x:v>
      </x:c>
      <x:c r="AL111" s="49" t="str">
        <x:f>IF(AK111&gt;=70,"Official/high-evidence reference",IF(AK111&gt;=40,"Planning reference","Broader option"))</x:f>
        <x:v>Broader option</x:v>
      </x:c>
    </x:row>
    <x:row r="112">
      <x:c r="A112" s="63" t="n">
        <x:v>3423</x:v>
      </x:c>
      <x:c r="B112" s="49" t="str">
        <x:v>Shree L.R. Tiwari College of Engineering, Mira Road, Mumbai</x:v>
      </x:c>
      <x:c r="C112" s="49" t="str">
        <x:v>Maharashtra</x:v>
      </x:c>
      <x:c r="D112" s="49" t="str">
        <x:v>Mumbai</x:v>
      </x:c>
      <x:c r="E112" s="49" t="str">
        <x:v>Thane</x:v>
      </x:c>
      <x:c r="F112" s="49" t="str">
        <x:v>Survey no. 267, Near Commisioner's Bungalow,Kanakiya Park,Mira Road (E)Thane</x:v>
      </x:c>
      <x:c r="G112" s="49" t="str">
        <x:v>Un-Aided</x:v>
      </x:c>
      <x:c r="H112" s="49" t="str">
        <x:v>Autonomous</x:v>
      </x:c>
      <x:c r="I112" s="49" t="str">
        <x:v>Linguistic Minority - Hindi</x:v>
      </x:c>
      <x:c r="J112" s="49" t="str">
        <x:v>Mumbai University</x:v>
      </x:c>
      <x:c r="K112" s="49" t="n">
        <x:v>6</x:v>
      </x:c>
      <x:c r="L112" s="49" t="n">
        <x:v>89</x:v>
      </x:c>
      <x:c r="M112" s="49" t="n">
        <x:v>39</x:v>
      </x:c>
      <x:c r="N112" s="49"/>
      <x:c r="O112" s="49" t="n">
        <x:v>50</x:v>
      </x:c>
      <x:c r="P112" s="49"/>
      <x:c r="Q112" s="49" t="str">
        <x:v>Parsed from official 2025-26 PDF</x:v>
      </x:c>
      <x:c r="R112" s="49" t="str">
        <x:v>2024-25</x:v>
      </x:c>
      <x:c r="S112" s="64" t="n">
        <x:v>96428</x:v>
      </x:c>
      <x:c r="T112" s="64" t="n">
        <x:v>11572</x:v>
      </x:c>
      <x:c r="U112" s="64" t="n">
        <x:v>108000</x:v>
      </x:c>
      <x:c r="V112" s="49" t="str">
        <x:v>Normal FRA-approved annual tuition + development fee; not seat-type-specific</x:v>
      </x:c>
      <x:c r="W112" s="49"/>
      <x:c r="X112" s="49"/>
      <x:c r="Y112" s="68"/>
      <x:c r="Z112" s="49"/>
      <x:c r="AA112" s="49"/>
      <x:c r="AB112" s="49" t="str">
        <x:v>Not centrally verified</x:v>
      </x:c>
      <x:c r="AC112" s="49" t="str">
        <x:v>Not centrally verified</x:v>
      </x:c>
      <x:c r="AD112" s="49" t="str">
        <x:v>Not centrally verified</x:v>
      </x:c>
      <x:c r="AE112" s="49" t="str">
        <x:v>Not available in a standardized official source</x:v>
      </x:c>
      <x:c r="AF112" s="49" t="str">
        <x:v>Not included: no official standardized source; cutoff-derived proxy excluded</x:v>
      </x:c>
      <x:c r="AG112" s="49" t="str">
        <x:v>https://dse2025.mahacet.org.in/dse25/admin/allotment/cap2/3423_4.pdf</x:v>
      </x:c>
      <x:c r="AH112" s="49" t="str">
        <x:v>https://fe2025.mahacet.org/StaticPages/frmInstituteSummary.aspx?InstituteCode=03423</x:v>
      </x:c>
      <x:c r="AI112" s="49"/>
      <x:c r="AJ112" s="49" t="str"/>
      <x:c r="AK112" s="69" t="n">
        <x:f>IF(W112&lt;&gt;"",50,IF(X112="101-150",45,IF(X112="151-200",40,IF(X112="201-300",35,0))))+IF(H112="Autonomous",20,0)+IF(OR(G112="Government",G112="Government-Aided",G112="University Department",G112="University",G112="University Autonomous"),15,0)+MIN(K112,10)+IF(AA112&lt;&gt;"",3,0)+IF(U112&lt;&gt;"",2,0)</x:f>
        <x:v>28</x:v>
      </x:c>
      <x:c r="AL112" s="49" t="str">
        <x:f>IF(AK112&gt;=70,"Official/high-evidence reference",IF(AK112&gt;=40,"Planning reference","Broader option"))</x:f>
        <x:v>Broader option</x:v>
      </x:c>
    </x:row>
    <x:row r="113">
      <x:c r="A113" s="63" t="n">
        <x:v>3436</x:v>
      </x:c>
      <x:c r="B113" s="49" t="str">
        <x:v>B.R. Harne College of Engineering &amp; Technology, Karav, Tal-Ambernath.</x:v>
      </x:c>
      <x:c r="C113" s="49" t="str">
        <x:v>Maharashtra</x:v>
      </x:c>
      <x:c r="D113" s="49" t="str">
        <x:v>Mumbai</x:v>
      </x:c>
      <x:c r="E113" s="49" t="str">
        <x:v>Thane</x:v>
      </x:c>
      <x:c r="F113" s="49" t="str">
        <x:v>At.Karav, Post Vangani(w), Tal. Ambernath, Dist. Thane</x:v>
      </x:c>
      <x:c r="G113" s="49" t="str">
        <x:v>Un-Aided</x:v>
      </x:c>
      <x:c r="H113" s="49" t="str">
        <x:v>Non-Autonomous</x:v>
      </x:c>
      <x:c r="I113" s="49" t="str">
        <x:v>Non-Minority</x:v>
      </x:c>
      <x:c r="J113" s="49" t="str">
        <x:v>Mumbai University</x:v>
      </x:c>
      <x:c r="K113" s="49" t="n">
        <x:v>7</x:v>
      </x:c>
      <x:c r="L113" s="49" t="n">
        <x:v>281</x:v>
      </x:c>
      <x:c r="M113" s="49" t="n">
        <x:v>243</x:v>
      </x:c>
      <x:c r="N113" s="49" t="n">
        <x:v>38</x:v>
      </x:c>
      <x:c r="O113" s="49"/>
      <x:c r="P113" s="49"/>
      <x:c r="Q113" s="49" t="str">
        <x:v>Parsed from official 2025-26 PDF</x:v>
      </x:c>
      <x:c r="R113" s="49" t="str">
        <x:v>2024-25</x:v>
      </x:c>
      <x:c r="S113" s="64" t="n">
        <x:v>70984</x:v>
      </x:c>
      <x:c r="T113" s="64" t="n">
        <x:v>9016</x:v>
      </x:c>
      <x:c r="U113" s="64" t="n">
        <x:v>80000</x:v>
      </x:c>
      <x:c r="V113" s="49" t="str">
        <x:v>Normal FRA-approved annual tuition + development fee; not seat-type-specific</x:v>
      </x:c>
      <x:c r="W113" s="49"/>
      <x:c r="X113" s="49"/>
      <x:c r="Y113" s="68"/>
      <x:c r="Z113" s="49"/>
      <x:c r="AA113" s="49"/>
      <x:c r="AB113" s="49" t="str">
        <x:v>Not centrally verified</x:v>
      </x:c>
      <x:c r="AC113" s="49" t="str">
        <x:v>Not centrally verified</x:v>
      </x:c>
      <x:c r="AD113" s="49" t="str">
        <x:v>Not centrally verified</x:v>
      </x:c>
      <x:c r="AE113" s="49" t="str">
        <x:v>Not available in a standardized official source</x:v>
      </x:c>
      <x:c r="AF113" s="49" t="str">
        <x:v>Not included: no official standardized source; cutoff-derived proxy excluded</x:v>
      </x:c>
      <x:c r="AG113" s="49" t="str">
        <x:v>https://dse2025.mahacet.org.in/dse25/admin/allotment/cap2/3436_4.pdf</x:v>
      </x:c>
      <x:c r="AH113" s="49" t="str">
        <x:v>https://fe2025.mahacet.org/StaticPages/frmInstituteSummary.aspx?InstituteCode=03436</x:v>
      </x:c>
      <x:c r="AI113" s="49"/>
      <x:c r="AJ113" s="49" t="str"/>
      <x:c r="AK113" s="69" t="n">
        <x:f>IF(W113&lt;&gt;"",50,IF(X113="101-150",45,IF(X113="151-200",40,IF(X113="201-300",35,0))))+IF(H113="Autonomous",20,0)+IF(OR(G113="Government",G113="Government-Aided",G113="University Department",G113="University",G113="University Autonomous"),15,0)+MIN(K113,10)+IF(AA113&lt;&gt;"",3,0)+IF(U113&lt;&gt;"",2,0)</x:f>
        <x:v>9</x:v>
      </x:c>
      <x:c r="AL113" s="49" t="str">
        <x:f>IF(AK113&gt;=70,"Official/high-evidence reference",IF(AK113&gt;=40,"Planning reference","Broader option"))</x:f>
        <x:v>Broader option</x:v>
      </x:c>
    </x:row>
    <x:row r="114">
      <x:c r="A114" s="63" t="n">
        <x:v>3439</x:v>
      </x:c>
      <x:c r="B114" s="49" t="str">
        <x:v>Anjuman-I-Islam's Kalsekar Technical Campus, Panvel</x:v>
      </x:c>
      <x:c r="C114" s="49" t="str">
        <x:v>Maharashtra</x:v>
      </x:c>
      <x:c r="D114" s="49" t="str">
        <x:v>Mumbai</x:v>
      </x:c>
      <x:c r="E114" s="49" t="str">
        <x:v>Raigad</x:v>
      </x:c>
      <x:c r="F114" s="49" t="str">
        <x:v>Plot No.2, 3 Sector - 16, Khandgaon, Thane Naka, Panvel Dist. Raigad</x:v>
      </x:c>
      <x:c r="G114" s="49" t="str">
        <x:v>Un-Aided</x:v>
      </x:c>
      <x:c r="H114" s="49" t="str">
        <x:v>Autonomous</x:v>
      </x:c>
      <x:c r="I114" s="49" t="str">
        <x:v>Religious Minority - Muslim</x:v>
      </x:c>
      <x:c r="J114" s="49" t="str">
        <x:v>Mumbai University</x:v>
      </x:c>
      <x:c r="K114" s="49" t="n">
        <x:v>7</x:v>
      </x:c>
      <x:c r="L114" s="49" t="n">
        <x:v>114</x:v>
      </x:c>
      <x:c r="M114" s="49" t="n">
        <x:v>38</x:v>
      </x:c>
      <x:c r="N114" s="49"/>
      <x:c r="O114" s="49" t="n">
        <x:v>76</x:v>
      </x:c>
      <x:c r="P114" s="49"/>
      <x:c r="Q114" s="49" t="str">
        <x:v>Parsed from official 2025-26 PDF</x:v>
      </x:c>
      <x:c r="R114" s="49"/>
      <x:c r="S114" s="64"/>
      <x:c r="T114" s="64"/>
      <x:c r="U114" s="64"/>
      <x:c r="V114" s="49" t="str">
        <x:v>No verified FRA match</x:v>
      </x:c>
      <x:c r="W114" s="49"/>
      <x:c r="X114" s="49"/>
      <x:c r="Y114" s="68"/>
      <x:c r="Z114" s="49"/>
      <x:c r="AA114" s="49"/>
      <x:c r="AB114" s="49" t="str">
        <x:v>Not centrally verified</x:v>
      </x:c>
      <x:c r="AC114" s="49" t="str">
        <x:v>Not centrally verified</x:v>
      </x:c>
      <x:c r="AD114" s="49" t="str">
        <x:v>Not centrally verified</x:v>
      </x:c>
      <x:c r="AE114" s="49" t="str">
        <x:v>Not available in a standardized official source</x:v>
      </x:c>
      <x:c r="AF114" s="49" t="str">
        <x:v>Not included: no official standardized source; cutoff-derived proxy excluded</x:v>
      </x:c>
      <x:c r="AG114" s="49" t="str">
        <x:v>https://dse2025.mahacet.org.in/dse25/admin/allotment/cap2/3439_4.pdf</x:v>
      </x:c>
      <x:c r="AH114" s="49" t="str">
        <x:v>https://fe2025.mahacet.org/StaticPages/frmInstituteSummary.aspx?InstituteCode=03439</x:v>
      </x:c>
      <x:c r="AI114" s="49"/>
      <x:c r="AJ114" s="49" t="str"/>
      <x:c r="AK114" s="69" t="n">
        <x:f>IF(W114&lt;&gt;"",50,IF(X114="101-150",45,IF(X114="151-200",40,IF(X114="201-300",35,0))))+IF(H114="Autonomous",20,0)+IF(OR(G114="Government",G114="Government-Aided",G114="University Department",G114="University",G114="University Autonomous"),15,0)+MIN(K114,10)+IF(AA114&lt;&gt;"",3,0)+IF(U114&lt;&gt;"",2,0)</x:f>
        <x:v>27</x:v>
      </x:c>
      <x:c r="AL114" s="49" t="str">
        <x:f>IF(AK114&gt;=70,"Official/high-evidence reference",IF(AK114&gt;=40,"Planning reference","Broader option"))</x:f>
        <x:v>Broader option</x:v>
      </x:c>
    </x:row>
    <x:row r="115">
      <x:c r="A115" s="63" t="n">
        <x:v>3440</x:v>
      </x:c>
      <x:c r="B115" s="49" t="str">
        <x:v>Metropolitan Institute of Technology &amp; Management, Sukhalwad, Sindhudurg.</x:v>
      </x:c>
      <x:c r="C115" s="49" t="str">
        <x:v>Maharashtra</x:v>
      </x:c>
      <x:c r="D115" s="49" t="str">
        <x:v>Mumbai</x:v>
      </x:c>
      <x:c r="E115" s="49" t="str">
        <x:v>Sindhudurg</x:v>
      </x:c>
      <x:c r="F115" s="49" t="str">
        <x:v>At Village Sukhalwad, Near Sindhudurg Railway Station, Post Oras, Tal. Malvan Dist. Sindhudurg</x:v>
      </x:c>
      <x:c r="G115" s="49" t="str">
        <x:v>Un-Aided</x:v>
      </x:c>
      <x:c r="H115" s="49" t="str">
        <x:v>Non-Autonomous</x:v>
      </x:c>
      <x:c r="I115" s="49" t="str">
        <x:v>Non-Minority</x:v>
      </x:c>
      <x:c r="J115" s="49" t="str">
        <x:v>Mumbai University</x:v>
      </x:c>
      <x:c r="K115" s="49" t="n">
        <x:v>4</x:v>
      </x:c>
      <x:c r="L115" s="49" t="n">
        <x:v>288</x:v>
      </x:c>
      <x:c r="M115" s="49" t="n">
        <x:v>256</x:v>
      </x:c>
      <x:c r="N115" s="49" t="n">
        <x:v>32</x:v>
      </x:c>
      <x:c r="O115" s="49"/>
      <x:c r="P115" s="49"/>
      <x:c r="Q115" s="49" t="str">
        <x:v>Parsed from official 2025-26 PDF</x:v>
      </x:c>
      <x:c r="R115" s="49" t="str">
        <x:v>2024-25</x:v>
      </x:c>
      <x:c r="S115" s="64" t="n">
        <x:v>53571</x:v>
      </x:c>
      <x:c r="T115" s="64" t="n">
        <x:v>6429</x:v>
      </x:c>
      <x:c r="U115" s="64" t="n">
        <x:v>60000</x:v>
      </x:c>
      <x:c r="V115" s="49" t="str">
        <x:v>Normal FRA-approved annual tuition + development fee; not seat-type-specific</x:v>
      </x:c>
      <x:c r="W115" s="49"/>
      <x:c r="X115" s="49"/>
      <x:c r="Y115" s="68"/>
      <x:c r="Z115" s="49"/>
      <x:c r="AA115" s="49"/>
      <x:c r="AB115" s="49" t="str">
        <x:v>Not centrally verified</x:v>
      </x:c>
      <x:c r="AC115" s="49" t="str">
        <x:v>Not centrally verified</x:v>
      </x:c>
      <x:c r="AD115" s="49" t="str">
        <x:v>Not centrally verified</x:v>
      </x:c>
      <x:c r="AE115" s="49" t="str">
        <x:v>Not available in a standardized official source</x:v>
      </x:c>
      <x:c r="AF115" s="49" t="str">
        <x:v>Not included: no official standardized source; cutoff-derived proxy excluded</x:v>
      </x:c>
      <x:c r="AG115" s="49" t="str">
        <x:v>https://dse2025.mahacet.org.in/dse25/admin/allotment/cap2/3440_4.pdf</x:v>
      </x:c>
      <x:c r="AH115" s="49" t="str">
        <x:v>https://fe2025.mahacet.org/StaticPages/frmInstituteSummary.aspx?InstituteCode=03440</x:v>
      </x:c>
      <x:c r="AI115" s="49"/>
      <x:c r="AJ115" s="49" t="str"/>
      <x:c r="AK115" s="69" t="n">
        <x:f>IF(W115&lt;&gt;"",50,IF(X115="101-150",45,IF(X115="151-200",40,IF(X115="201-300",35,0))))+IF(H115="Autonomous",20,0)+IF(OR(G115="Government",G115="Government-Aided",G115="University Department",G115="University",G115="University Autonomous"),15,0)+MIN(K115,10)+IF(AA115&lt;&gt;"",3,0)+IF(U115&lt;&gt;"",2,0)</x:f>
        <x:v>6</x:v>
      </x:c>
      <x:c r="AL115" s="49" t="str">
        <x:f>IF(AK115&gt;=70,"Official/high-evidence reference",IF(AK115&gt;=40,"Planning reference","Broader option"))</x:f>
        <x:v>Broader option</x:v>
      </x:c>
    </x:row>
    <x:row r="116">
      <x:c r="A116" s="63" t="n">
        <x:v>3445</x:v>
      </x:c>
      <x:c r="B116" s="49" t="str">
        <x:v>Vishwatmak Jangli Maharaj Ashram Trust (Kokamthan), Atma Malik Institute Of Technology &amp; Research</x:v>
      </x:c>
      <x:c r="C116" s="49" t="str">
        <x:v>Maharashtra</x:v>
      </x:c>
      <x:c r="D116" s="49" t="str">
        <x:v>Mumbai</x:v>
      </x:c>
      <x:c r="E116" s="49" t="str">
        <x:v>Thane</x:v>
      </x:c>
      <x:c r="F116" s="49" t="str">
        <x:v>Aatgaon ,Tansa - Aghai Road, At - Mohili, Post. Aghar, Taluka Shahapur, Dist. Thane</x:v>
      </x:c>
      <x:c r="G116" s="49" t="str">
        <x:v>Un-Aided</x:v>
      </x:c>
      <x:c r="H116" s="49" t="str">
        <x:v>Non-Autonomous</x:v>
      </x:c>
      <x:c r="I116" s="49" t="str">
        <x:v>Non-Minority</x:v>
      </x:c>
      <x:c r="J116" s="49" t="str">
        <x:v>Mumbai University</x:v>
      </x:c>
      <x:c r="K116" s="49" t="n">
        <x:v>6</x:v>
      </x:c>
      <x:c r="L116" s="49" t="n">
        <x:v>178</x:v>
      </x:c>
      <x:c r="M116" s="49" t="n">
        <x:v>155</x:v>
      </x:c>
      <x:c r="N116" s="49" t="n">
        <x:v>23</x:v>
      </x:c>
      <x:c r="O116" s="49"/>
      <x:c r="P116" s="49"/>
      <x:c r="Q116" s="49" t="str">
        <x:v>Parsed from official 2025-26 PDF</x:v>
      </x:c>
      <x:c r="R116" s="49" t="str">
        <x:v>2024-25</x:v>
      </x:c>
      <x:c r="S116" s="64" t="n">
        <x:v>68966</x:v>
      </x:c>
      <x:c r="T116" s="64" t="n">
        <x:v>7034</x:v>
      </x:c>
      <x:c r="U116" s="64" t="n">
        <x:v>76000</x:v>
      </x:c>
      <x:c r="V116" s="49" t="str">
        <x:v>Normal FRA-approved annual tuition + development fee; not seat-type-specific</x:v>
      </x:c>
      <x:c r="W116" s="49"/>
      <x:c r="X116" s="49"/>
      <x:c r="Y116" s="68"/>
      <x:c r="Z116" s="49"/>
      <x:c r="AA116" s="49"/>
      <x:c r="AB116" s="49" t="str">
        <x:v>Not centrally verified</x:v>
      </x:c>
      <x:c r="AC116" s="49" t="str">
        <x:v>Not centrally verified</x:v>
      </x:c>
      <x:c r="AD116" s="49" t="str">
        <x:v>Not centrally verified</x:v>
      </x:c>
      <x:c r="AE116" s="49" t="str">
        <x:v>Not available in a standardized official source</x:v>
      </x:c>
      <x:c r="AF116" s="49" t="str">
        <x:v>Not included: no official standardized source; cutoff-derived proxy excluded</x:v>
      </x:c>
      <x:c r="AG116" s="49" t="str">
        <x:v>https://dse2025.mahacet.org.in/dse25/admin/allotment/cap2/3445_4.pdf</x:v>
      </x:c>
      <x:c r="AH116" s="49" t="str">
        <x:v>https://fe2025.mahacet.org/StaticPages/frmInstituteSummary.aspx?InstituteCode=03445</x:v>
      </x:c>
      <x:c r="AI116" s="49"/>
      <x:c r="AJ116" s="49" t="str"/>
      <x:c r="AK116" s="69" t="n">
        <x:f>IF(W116&lt;&gt;"",50,IF(X116="101-150",45,IF(X116="151-200",40,IF(X116="201-300",35,0))))+IF(H116="Autonomous",20,0)+IF(OR(G116="Government",G116="Government-Aided",G116="University Department",G116="University",G116="University Autonomous"),15,0)+MIN(K116,10)+IF(AA116&lt;&gt;"",3,0)+IF(U116&lt;&gt;"",2,0)</x:f>
        <x:v>8</x:v>
      </x:c>
      <x:c r="AL116" s="49" t="str">
        <x:f>IF(AK116&gt;=70,"Official/high-evidence reference",IF(AK116&gt;=40,"Planning reference","Broader option"))</x:f>
        <x:v>Broader option</x:v>
      </x:c>
    </x:row>
    <x:row r="117">
      <x:c r="A117" s="63" t="n">
        <x:v>3447</x:v>
      </x:c>
      <x:c r="B117" s="49" t="str">
        <x:v>G.M.Vedak Institute of Technology, Tala, Raigad.</x:v>
      </x:c>
      <x:c r="C117" s="49" t="str">
        <x:v>Maharashtra</x:v>
      </x:c>
      <x:c r="D117" s="49" t="str">
        <x:v>Mumbai</x:v>
      </x:c>
      <x:c r="E117" s="49" t="str">
        <x:v>Raigad</x:v>
      </x:c>
      <x:c r="F117" s="49" t="str">
        <x:v>At Post Taluka. Tala, Dist. Raigad</x:v>
      </x:c>
      <x:c r="G117" s="49" t="str">
        <x:v>Un-Aided</x:v>
      </x:c>
      <x:c r="H117" s="49" t="str">
        <x:v>Non-Autonomous</x:v>
      </x:c>
      <x:c r="I117" s="49" t="str">
        <x:v>Non-Minority</x:v>
      </x:c>
      <x:c r="J117" s="49" t="str">
        <x:v>Mumbai University</x:v>
      </x:c>
      <x:c r="K117" s="49" t="n">
        <x:v>3</x:v>
      </x:c>
      <x:c r="L117" s="49" t="n">
        <x:v>101</x:v>
      </x:c>
      <x:c r="M117" s="49" t="n">
        <x:v>88</x:v>
      </x:c>
      <x:c r="N117" s="49" t="n">
        <x:v>13</x:v>
      </x:c>
      <x:c r="O117" s="49"/>
      <x:c r="P117" s="49"/>
      <x:c r="Q117" s="49" t="str">
        <x:v>Parsed from official 2025-26 PDF</x:v>
      </x:c>
      <x:c r="R117" s="49" t="str">
        <x:v>2024-25</x:v>
      </x:c>
      <x:c r="S117" s="64" t="n">
        <x:v>55058</x:v>
      </x:c>
      <x:c r="T117" s="64" t="n">
        <x:v>6442</x:v>
      </x:c>
      <x:c r="U117" s="64" t="n">
        <x:v>61500</x:v>
      </x:c>
      <x:c r="V117" s="49" t="str">
        <x:v>Normal FRA-approved annual tuition + development fee; not seat-type-specific</x:v>
      </x:c>
      <x:c r="W117" s="49"/>
      <x:c r="X117" s="49"/>
      <x:c r="Y117" s="68"/>
      <x:c r="Z117" s="49"/>
      <x:c r="AA117" s="49"/>
      <x:c r="AB117" s="49" t="str">
        <x:v>Not centrally verified</x:v>
      </x:c>
      <x:c r="AC117" s="49" t="str">
        <x:v>Not centrally verified</x:v>
      </x:c>
      <x:c r="AD117" s="49" t="str">
        <x:v>Not centrally verified</x:v>
      </x:c>
      <x:c r="AE117" s="49" t="str">
        <x:v>Not available in a standardized official source</x:v>
      </x:c>
      <x:c r="AF117" s="49" t="str">
        <x:v>Not included: no official standardized source; cutoff-derived proxy excluded</x:v>
      </x:c>
      <x:c r="AG117" s="49" t="str">
        <x:v>https://dse2025.mahacet.org.in/dse25/admin/allotment/cap2/3447_4.pdf</x:v>
      </x:c>
      <x:c r="AH117" s="49" t="str">
        <x:v>https://fe2025.mahacet.org/StaticPages/frmInstituteSummary.aspx?InstituteCode=03447</x:v>
      </x:c>
      <x:c r="AI117" s="49"/>
      <x:c r="AJ117" s="49" t="str"/>
      <x:c r="AK117" s="69" t="n">
        <x:f>IF(W117&lt;&gt;"",50,IF(X117="101-150",45,IF(X117="151-200",40,IF(X117="201-300",35,0))))+IF(H117="Autonomous",20,0)+IF(OR(G117="Government",G117="Government-Aided",G117="University Department",G117="University",G117="University Autonomous"),15,0)+MIN(K117,10)+IF(AA117&lt;&gt;"",3,0)+IF(U117&lt;&gt;"",2,0)</x:f>
        <x:v>5</x:v>
      </x:c>
      <x:c r="AL117" s="49" t="str">
        <x:f>IF(AK117&gt;=70,"Official/high-evidence reference",IF(AK117&gt;=40,"Planning reference","Broader option"))</x:f>
        <x:v>Broader option</x:v>
      </x:c>
    </x:row>
    <x:row r="118">
      <x:c r="A118" s="63" t="n">
        <x:v>3460</x:v>
      </x:c>
      <x:c r="B118" s="49" t="str">
        <x:v>Universal College of Engineering,Kaman Dist. Palghar</x:v>
      </x:c>
      <x:c r="C118" s="49" t="str">
        <x:v>Maharashtra</x:v>
      </x:c>
      <x:c r="D118" s="49"/>
      <x:c r="E118" s="49"/>
      <x:c r="F118" s="49"/>
      <x:c r="G118" s="49" t="str">
        <x:v>Un-Aided Linguistic Minority - Gujarathi</x:v>
      </x:c>
      <x:c r="H118" s="49" t="str">
        <x:v>Not verified</x:v>
      </x:c>
      <x:c r="I118" s="49" t="str">
        <x:v>Not verified</x:v>
      </x:c>
      <x:c r="J118" s="49"/>
      <x:c r="K118" s="49" t="n">
        <x:v>5</x:v>
      </x:c>
      <x:c r="L118" s="49" t="n">
        <x:v>146</x:v>
      </x:c>
      <x:c r="M118" s="49" t="n">
        <x:v>70</x:v>
      </x:c>
      <x:c r="N118" s="49"/>
      <x:c r="O118" s="49" t="n">
        <x:v>76</x:v>
      </x:c>
      <x:c r="P118" s="49"/>
      <x:c r="Q118" s="49" t="str">
        <x:v>Parsed from official 2025-26 PDF</x:v>
      </x:c>
      <x:c r="R118" s="49" t="str">
        <x:v>2023-24</x:v>
      </x:c>
      <x:c r="S118" s="64" t="n">
        <x:v>70909</x:v>
      </x:c>
      <x:c r="T118" s="64" t="n">
        <x:v>7091</x:v>
      </x:c>
      <x:c r="U118" s="64" t="n">
        <x:v>78000</x:v>
      </x:c>
      <x:c r="V118" s="49" t="str">
        <x:v>Normal FRA-approved annual tuition + development fee; not seat-type-specific</x:v>
      </x:c>
      <x:c r="W118" s="49"/>
      <x:c r="X118" s="49"/>
      <x:c r="Y118" s="68"/>
      <x:c r="Z118" s="49"/>
      <x:c r="AA118" s="49"/>
      <x:c r="AB118" s="49" t="str">
        <x:v>Not centrally verified</x:v>
      </x:c>
      <x:c r="AC118" s="49" t="str">
        <x:v>Not centrally verified</x:v>
      </x:c>
      <x:c r="AD118" s="49" t="str">
        <x:v>Not centrally verified</x:v>
      </x:c>
      <x:c r="AE118" s="49" t="str">
        <x:v>Not available in a standardized official source</x:v>
      </x:c>
      <x:c r="AF118" s="49" t="str">
        <x:v>Not included: no official standardized source; cutoff-derived proxy excluded</x:v>
      </x:c>
      <x:c r="AG118" s="49" t="str">
        <x:v>https://dse2025.mahacet.org.in/dse25/admin/allotment/cap2/3460_4.pdf</x:v>
      </x:c>
      <x:c r="AH118" s="49" t="str">
        <x:v>https://fe2025.mahacet.org/StaticPages/frmInstituteList.aspx?did=1884</x:v>
      </x:c>
      <x:c r="AI118" s="49"/>
      <x:c r="AJ118" s="49" t="str"/>
      <x:c r="AK118" s="69" t="n">
        <x:f>IF(W118&lt;&gt;"",50,IF(X118="101-150",45,IF(X118="151-200",40,IF(X118="201-300",35,0))))+IF(H118="Autonomous",20,0)+IF(OR(G118="Government",G118="Government-Aided",G118="University Department",G118="University",G118="University Autonomous"),15,0)+MIN(K118,10)+IF(AA118&lt;&gt;"",3,0)+IF(U118&lt;&gt;"",2,0)</x:f>
        <x:v>7</x:v>
      </x:c>
      <x:c r="AL118" s="49" t="str">
        <x:f>IF(AK118&gt;=70,"Official/high-evidence reference",IF(AK118&gt;=40,"Planning reference","Broader option"))</x:f>
        <x:v>Broader option</x:v>
      </x:c>
    </x:row>
    <x:row r="119">
      <x:c r="A119" s="63" t="n">
        <x:v>3462</x:v>
      </x:c>
      <x:c r="B119" s="49" t="str">
        <x:v>VPM's Maharshi Parshuram College of Engineering, Velneshwar, Ratnagiri.</x:v>
      </x:c>
      <x:c r="C119" s="49" t="str">
        <x:v>Maharashtra</x:v>
      </x:c>
      <x:c r="D119" s="49" t="str">
        <x:v>Mumbai</x:v>
      </x:c>
      <x:c r="E119" s="49" t="str">
        <x:v>Ratnagiri</x:v>
      </x:c>
      <x:c r="F119" s="49" t="str">
        <x:v>At Post Velneshwar, Hedvai-Guhagar Road, Guhagar,Ratnagiri.</x:v>
      </x:c>
      <x:c r="G119" s="49" t="str">
        <x:v>Un-Aided</x:v>
      </x:c>
      <x:c r="H119" s="49" t="str">
        <x:v>Non-Autonomous</x:v>
      </x:c>
      <x:c r="I119" s="49" t="str">
        <x:v>Non-Minority</x:v>
      </x:c>
      <x:c r="J119" s="49" t="str">
        <x:v>Mumbai University</x:v>
      </x:c>
      <x:c r="K119" s="49" t="n">
        <x:v>6</x:v>
      </x:c>
      <x:c r="L119" s="49" t="n">
        <x:v>185</x:v>
      </x:c>
      <x:c r="M119" s="49" t="n">
        <x:v>169</x:v>
      </x:c>
      <x:c r="N119" s="49" t="n">
        <x:v>16</x:v>
      </x:c>
      <x:c r="O119" s="49"/>
      <x:c r="P119" s="49"/>
      <x:c r="Q119" s="49" t="str">
        <x:v>Parsed from official 2025-26 PDF</x:v>
      </x:c>
      <x:c r="R119" s="49" t="str">
        <x:v>2024-25</x:v>
      </x:c>
      <x:c r="S119" s="64" t="n">
        <x:v>57297</x:v>
      </x:c>
      <x:c r="T119" s="64" t="n">
        <x:v>6703</x:v>
      </x:c>
      <x:c r="U119" s="64" t="n">
        <x:v>64000</x:v>
      </x:c>
      <x:c r="V119" s="49" t="str">
        <x:v>Normal FRA-approved annual tuition + development fee; not seat-type-specific</x:v>
      </x:c>
      <x:c r="W119" s="49"/>
      <x:c r="X119" s="49"/>
      <x:c r="Y119" s="68"/>
      <x:c r="Z119" s="49"/>
      <x:c r="AA119" s="49"/>
      <x:c r="AB119" s="49" t="str">
        <x:v>Not centrally verified</x:v>
      </x:c>
      <x:c r="AC119" s="49" t="str">
        <x:v>Not centrally verified</x:v>
      </x:c>
      <x:c r="AD119" s="49" t="str">
        <x:v>Not centrally verified</x:v>
      </x:c>
      <x:c r="AE119" s="49" t="str">
        <x:v>Not available in a standardized official source</x:v>
      </x:c>
      <x:c r="AF119" s="49" t="str">
        <x:v>Not included: no official standardized source; cutoff-derived proxy excluded</x:v>
      </x:c>
      <x:c r="AG119" s="49" t="str">
        <x:v>https://dse2025.mahacet.org.in/dse25/admin/allotment/cap2/3462_4.pdf</x:v>
      </x:c>
      <x:c r="AH119" s="49" t="str">
        <x:v>https://fe2025.mahacet.org/StaticPages/frmInstituteSummary.aspx?InstituteCode=03462</x:v>
      </x:c>
      <x:c r="AI119" s="49"/>
      <x:c r="AJ119" s="49" t="str"/>
      <x:c r="AK119" s="69" t="n">
        <x:f>IF(W119&lt;&gt;"",50,IF(X119="101-150",45,IF(X119="151-200",40,IF(X119="201-300",35,0))))+IF(H119="Autonomous",20,0)+IF(OR(G119="Government",G119="Government-Aided",G119="University Department",G119="University",G119="University Autonomous"),15,0)+MIN(K119,10)+IF(AA119&lt;&gt;"",3,0)+IF(U119&lt;&gt;"",2,0)</x:f>
        <x:v>8</x:v>
      </x:c>
      <x:c r="AL119" s="49" t="str">
        <x:f>IF(AK119&gt;=70,"Official/high-evidence reference",IF(AK119&gt;=40,"Planning reference","Broader option"))</x:f>
        <x:v>Broader option</x:v>
      </x:c>
    </x:row>
    <x:row r="120">
      <x:c r="A120" s="63" t="n">
        <x:v>3465</x:v>
      </x:c>
      <x:c r="B120" s="49" t="str">
        <x:v>Ideal Institute of Technology, Wada, Dist.Thane</x:v>
      </x:c>
      <x:c r="C120" s="49" t="str">
        <x:v>Maharashtra</x:v>
      </x:c>
      <x:c r="D120" s="49" t="str">
        <x:v>Mumbai</x:v>
      </x:c>
      <x:c r="E120" s="49" t="str">
        <x:v>Palghar</x:v>
      </x:c>
      <x:c r="F120" s="49" t="str">
        <x:v>40, Pasheri Village, Pimplaj road, Taluka Wada, Dist.Thane.</x:v>
      </x:c>
      <x:c r="G120" s="49" t="str">
        <x:v>Un-Aided</x:v>
      </x:c>
      <x:c r="H120" s="49" t="str">
        <x:v>Non-Autonomous</x:v>
      </x:c>
      <x:c r="I120" s="49" t="str">
        <x:v>Non-Minority</x:v>
      </x:c>
      <x:c r="J120" s="49" t="str">
        <x:v>Mumbai University</x:v>
      </x:c>
      <x:c r="K120" s="49" t="n">
        <x:v>5</x:v>
      </x:c>
      <x:c r="L120" s="49" t="n">
        <x:v>286</x:v>
      </x:c>
      <x:c r="M120" s="49" t="n">
        <x:v>259</x:v>
      </x:c>
      <x:c r="N120" s="49" t="n">
        <x:v>27</x:v>
      </x:c>
      <x:c r="O120" s="49"/>
      <x:c r="P120" s="49"/>
      <x:c r="Q120" s="49" t="str">
        <x:v>Parsed from official 2025-26 PDF</x:v>
      </x:c>
      <x:c r="R120" s="49" t="str">
        <x:v>2024-25</x:v>
      </x:c>
      <x:c r="S120" s="64" t="n">
        <x:v>89188</x:v>
      </x:c>
      <x:c r="T120" s="64" t="n">
        <x:v>9812</x:v>
      </x:c>
      <x:c r="U120" s="64" t="n">
        <x:v>99000</x:v>
      </x:c>
      <x:c r="V120" s="49" t="str">
        <x:v>Normal FRA-approved annual tuition + development fee; not seat-type-specific</x:v>
      </x:c>
      <x:c r="W120" s="49"/>
      <x:c r="X120" s="49"/>
      <x:c r="Y120" s="68"/>
      <x:c r="Z120" s="49"/>
      <x:c r="AA120" s="49"/>
      <x:c r="AB120" s="49" t="str">
        <x:v>Not centrally verified</x:v>
      </x:c>
      <x:c r="AC120" s="49" t="str">
        <x:v>Not centrally verified</x:v>
      </x:c>
      <x:c r="AD120" s="49" t="str">
        <x:v>Not centrally verified</x:v>
      </x:c>
      <x:c r="AE120" s="49" t="str">
        <x:v>Not available in a standardized official source</x:v>
      </x:c>
      <x:c r="AF120" s="49" t="str">
        <x:v>Not included: no official standardized source; cutoff-derived proxy excluded</x:v>
      </x:c>
      <x:c r="AG120" s="49" t="str">
        <x:v>https://dse2025.mahacet.org.in/dse25/admin/allotment/cap2/3465_4.pdf</x:v>
      </x:c>
      <x:c r="AH120" s="49" t="str">
        <x:v>https://fe2025.mahacet.org/StaticPages/frmInstituteSummary.aspx?InstituteCode=03465</x:v>
      </x:c>
      <x:c r="AI120" s="49"/>
      <x:c r="AJ120" s="49" t="str"/>
      <x:c r="AK120" s="69" t="n">
        <x:f>IF(W120&lt;&gt;"",50,IF(X120="101-150",45,IF(X120="151-200",40,IF(X120="201-300",35,0))))+IF(H120="Autonomous",20,0)+IF(OR(G120="Government",G120="Government-Aided",G120="University Department",G120="University",G120="University Autonomous"),15,0)+MIN(K120,10)+IF(AA120&lt;&gt;"",3,0)+IF(U120&lt;&gt;"",2,0)</x:f>
        <x:v>7</x:v>
      </x:c>
      <x:c r="AL120" s="49" t="str">
        <x:f>IF(AK120&gt;=70,"Official/high-evidence reference",IF(AK120&gt;=40,"Planning reference","Broader option"))</x:f>
        <x:v>Broader option</x:v>
      </x:c>
    </x:row>
    <x:row r="121">
      <x:c r="A121" s="63" t="n">
        <x:v>3467</x:v>
      </x:c>
      <x:c r="B121" s="49" t="str">
        <x:v>Vishwaniketan's Institute of Management Entrepreneurship and Engineering Technology(i MEET), Khalapur Dist Raigad</x:v>
      </x:c>
      <x:c r="C121" s="49" t="str">
        <x:v>Maharashtra</x:v>
      </x:c>
      <x:c r="D121" s="49" t="str">
        <x:v>Mumbai</x:v>
      </x:c>
      <x:c r="E121" s="49" t="str">
        <x:v>Raigad</x:v>
      </x:c>
      <x:c r="F121" s="49" t="str">
        <x:v>Survey No. 52 Kumbhivali, On Mumbai-Pune Expressway, Near Khalapur Toll Naka ,Tal-Khalapur, Dist- Raigad</x:v>
      </x:c>
      <x:c r="G121" s="49" t="str">
        <x:v>Un-Aided</x:v>
      </x:c>
      <x:c r="H121" s="49" t="str">
        <x:v>Non-Autonomous</x:v>
      </x:c>
      <x:c r="I121" s="49" t="str">
        <x:v>Non-Minority</x:v>
      </x:c>
      <x:c r="J121" s="49" t="str">
        <x:v>Mumbai University</x:v>
      </x:c>
      <x:c r="K121" s="49" t="n">
        <x:v>6</x:v>
      </x:c>
      <x:c r="L121" s="49" t="n">
        <x:v>225</x:v>
      </x:c>
      <x:c r="M121" s="49" t="n">
        <x:v>187</x:v>
      </x:c>
      <x:c r="N121" s="49" t="n">
        <x:v>38</x:v>
      </x:c>
      <x:c r="O121" s="49"/>
      <x:c r="P121" s="49"/>
      <x:c r="Q121" s="49" t="str">
        <x:v>Parsed from official 2025-26 PDF</x:v>
      </x:c>
      <x:c r="R121" s="49" t="str">
        <x:v>2024-25</x:v>
      </x:c>
      <x:c r="S121" s="64" t="n">
        <x:v>69565</x:v>
      </x:c>
      <x:c r="T121" s="64" t="n">
        <x:v>10435</x:v>
      </x:c>
      <x:c r="U121" s="64" t="n">
        <x:v>80000</x:v>
      </x:c>
      <x:c r="V121" s="49" t="str">
        <x:v>Normal FRA-approved annual tuition + development fee; not seat-type-specific</x:v>
      </x:c>
      <x:c r="W121" s="49"/>
      <x:c r="X121" s="49"/>
      <x:c r="Y121" s="68"/>
      <x:c r="Z121" s="49"/>
      <x:c r="AA121" s="49"/>
      <x:c r="AB121" s="49" t="str">
        <x:v>Not centrally verified</x:v>
      </x:c>
      <x:c r="AC121" s="49" t="str">
        <x:v>Not centrally verified</x:v>
      </x:c>
      <x:c r="AD121" s="49" t="str">
        <x:v>Not centrally verified</x:v>
      </x:c>
      <x:c r="AE121" s="49" t="str">
        <x:v>Not available in a standardized official source</x:v>
      </x:c>
      <x:c r="AF121" s="49" t="str">
        <x:v>Not included: no official standardized source; cutoff-derived proxy excluded</x:v>
      </x:c>
      <x:c r="AG121" s="49" t="str">
        <x:v>https://dse2025.mahacet.org.in/dse25/admin/allotment/cap2/3467_4.pdf</x:v>
      </x:c>
      <x:c r="AH121" s="49" t="str">
        <x:v>https://fe2025.mahacet.org/StaticPages/frmInstituteSummary.aspx?InstituteCode=03467</x:v>
      </x:c>
      <x:c r="AI121" s="49"/>
      <x:c r="AJ121" s="49" t="str"/>
      <x:c r="AK121" s="69" t="n">
        <x:f>IF(W121&lt;&gt;"",50,IF(X121="101-150",45,IF(X121="151-200",40,IF(X121="201-300",35,0))))+IF(H121="Autonomous",20,0)+IF(OR(G121="Government",G121="Government-Aided",G121="University Department",G121="University",G121="University Autonomous"),15,0)+MIN(K121,10)+IF(AA121&lt;&gt;"",3,0)+IF(U121&lt;&gt;"",2,0)</x:f>
        <x:v>8</x:v>
      </x:c>
      <x:c r="AL121" s="49" t="str">
        <x:f>IF(AK121&gt;=70,"Official/high-evidence reference",IF(AK121&gt;=40,"Planning reference","Broader option"))</x:f>
        <x:v>Broader option</x:v>
      </x:c>
    </x:row>
    <x:row r="122">
      <x:c r="A122" s="63" t="n">
        <x:v>3470</x:v>
      </x:c>
      <x:c r="B122" s="49" t="str">
        <x:v>YASHWANTRAO BHONSALE INSTITUTE OF TECHNOLOGY</x:v>
      </x:c>
      <x:c r="C122" s="49" t="str">
        <x:v>Maharashtra</x:v>
      </x:c>
      <x:c r="D122" s="49" t="str">
        <x:v>Mumbai</x:v>
      </x:c>
      <x:c r="E122" s="49" t="str">
        <x:v>Sindhudurg</x:v>
      </x:c>
      <x:c r="F122" s="49" t="str">
        <x:v>A/P CHARATHE (VAZARWADI) TAL.SAWANTWADI DIST.SINDHUDURG-416510</x:v>
      </x:c>
      <x:c r="G122" s="49" t="str">
        <x:v>Un-Aided</x:v>
      </x:c>
      <x:c r="H122" s="49" t="str">
        <x:v>Non-Autonomous</x:v>
      </x:c>
      <x:c r="I122" s="49" t="str">
        <x:v>Non-Minority</x:v>
      </x:c>
      <x:c r="J122" s="49" t="str">
        <x:v>Mumbai University</x:v>
      </x:c>
      <x:c r="K122" s="49" t="n">
        <x:v>4</x:v>
      </x:c>
      <x:c r="L122" s="49" t="n">
        <x:v>191</x:v>
      </x:c>
      <x:c r="M122" s="49" t="n">
        <x:v>161</x:v>
      </x:c>
      <x:c r="N122" s="49" t="n">
        <x:v>30</x:v>
      </x:c>
      <x:c r="O122" s="49"/>
      <x:c r="P122" s="49"/>
      <x:c r="Q122" s="49" t="str">
        <x:v>Parsed from official 2025-26 PDF</x:v>
      </x:c>
      <x:c r="R122" s="49"/>
      <x:c r="S122" s="64"/>
      <x:c r="T122" s="64"/>
      <x:c r="U122" s="64"/>
      <x:c r="V122" s="49" t="str">
        <x:v>No verified FRA match</x:v>
      </x:c>
      <x:c r="W122" s="49"/>
      <x:c r="X122" s="49"/>
      <x:c r="Y122" s="68"/>
      <x:c r="Z122" s="49"/>
      <x:c r="AA122" s="49"/>
      <x:c r="AB122" s="49" t="str">
        <x:v>Not centrally verified</x:v>
      </x:c>
      <x:c r="AC122" s="49" t="str">
        <x:v>Not centrally verified</x:v>
      </x:c>
      <x:c r="AD122" s="49" t="str">
        <x:v>Not centrally verified</x:v>
      </x:c>
      <x:c r="AE122" s="49" t="str">
        <x:v>Not available in a standardized official source</x:v>
      </x:c>
      <x:c r="AF122" s="49" t="str">
        <x:v>Not included: no official standardized source; cutoff-derived proxy excluded</x:v>
      </x:c>
      <x:c r="AG122" s="49" t="str">
        <x:v>https://dse2025.mahacet.org.in/dse25/admin/allotment/cap2/3470_4.pdf</x:v>
      </x:c>
      <x:c r="AH122" s="49" t="str">
        <x:v>https://fe2025.mahacet.org/StaticPages/frmInstituteSummary.aspx?InstituteCode=03470</x:v>
      </x:c>
      <x:c r="AI122" s="49"/>
      <x:c r="AJ122" s="49" t="str"/>
      <x:c r="AK122" s="69" t="n">
        <x:f>IF(W122&lt;&gt;"",50,IF(X122="101-150",45,IF(X122="151-200",40,IF(X122="201-300",35,0))))+IF(H122="Autonomous",20,0)+IF(OR(G122="Government",G122="Government-Aided",G122="University Department",G122="University",G122="University Autonomous"),15,0)+MIN(K122,10)+IF(AA122&lt;&gt;"",3,0)+IF(U122&lt;&gt;"",2,0)</x:f>
        <x:v>4</x:v>
      </x:c>
      <x:c r="AL122" s="49" t="str">
        <x:f>IF(AK122&gt;=70,"Official/high-evidence reference",IF(AK122&gt;=40,"Planning reference","Broader option"))</x:f>
        <x:v>Broader option</x:v>
      </x:c>
    </x:row>
    <x:row r="123">
      <x:c r="A123" s="63" t="n">
        <x:v>3471</x:v>
      </x:c>
      <x:c r="B123" s="49" t="str">
        <x:v>New Horizon Institute of Technology &amp; Management, Thane</x:v>
      </x:c>
      <x:c r="C123" s="49" t="str">
        <x:v>Maharashtra</x:v>
      </x:c>
      <x:c r="D123" s="49" t="str">
        <x:v>Mumbai</x:v>
      </x:c>
      <x:c r="E123" s="49" t="str">
        <x:v>Thane</x:v>
      </x:c>
      <x:c r="F123" s="49" t="str">
        <x:v>Anand Nagar, Kavesar, Off. Ghodbunder Road, Thane(W)</x:v>
      </x:c>
      <x:c r="G123" s="49" t="str">
        <x:v>Un-Aided</x:v>
      </x:c>
      <x:c r="H123" s="49" t="str">
        <x:v>Non-Autonomous</x:v>
      </x:c>
      <x:c r="I123" s="49" t="str">
        <x:v>Non-Minority</x:v>
      </x:c>
      <x:c r="J123" s="49" t="str">
        <x:v>Mumbai University</x:v>
      </x:c>
      <x:c r="K123" s="49" t="n">
        <x:v>6</x:v>
      </x:c>
      <x:c r="L123" s="49" t="n">
        <x:v>152</x:v>
      </x:c>
      <x:c r="M123" s="49" t="n">
        <x:v>122</x:v>
      </x:c>
      <x:c r="N123" s="49" t="n">
        <x:v>30</x:v>
      </x:c>
      <x:c r="O123" s="49"/>
      <x:c r="P123" s="49"/>
      <x:c r="Q123" s="49" t="str">
        <x:v>Parsed from official 2025-26 PDF</x:v>
      </x:c>
      <x:c r="R123" s="49" t="str">
        <x:v>2024-25</x:v>
      </x:c>
      <x:c r="S123" s="64" t="n">
        <x:v>68160</x:v>
      </x:c>
      <x:c r="T123" s="64" t="n">
        <x:v>7840</x:v>
      </x:c>
      <x:c r="U123" s="64" t="n">
        <x:v>76000</x:v>
      </x:c>
      <x:c r="V123" s="49" t="str">
        <x:v>Normal FRA-approved annual tuition + development fee; not seat-type-specific</x:v>
      </x:c>
      <x:c r="W123" s="49"/>
      <x:c r="X123" s="49"/>
      <x:c r="Y123" s="68"/>
      <x:c r="Z123" s="49"/>
      <x:c r="AA123" s="49"/>
      <x:c r="AB123" s="49" t="str">
        <x:v>Not centrally verified</x:v>
      </x:c>
      <x:c r="AC123" s="49" t="str">
        <x:v>Not centrally verified</x:v>
      </x:c>
      <x:c r="AD123" s="49" t="str">
        <x:v>Not centrally verified</x:v>
      </x:c>
      <x:c r="AE123" s="49" t="str">
        <x:v>Not available in a standardized official source</x:v>
      </x:c>
      <x:c r="AF123" s="49" t="str">
        <x:v>Not included: no official standardized source; cutoff-derived proxy excluded</x:v>
      </x:c>
      <x:c r="AG123" s="49" t="str">
        <x:v>https://dse2025.mahacet.org.in/dse25/admin/allotment/cap2/3471_4.pdf</x:v>
      </x:c>
      <x:c r="AH123" s="49" t="str">
        <x:v>https://fe2025.mahacet.org/StaticPages/frmInstituteSummary.aspx?InstituteCode=03471</x:v>
      </x:c>
      <x:c r="AI123" s="49"/>
      <x:c r="AJ123" s="49" t="str"/>
      <x:c r="AK123" s="69" t="n">
        <x:f>IF(W123&lt;&gt;"",50,IF(X123="101-150",45,IF(X123="151-200",40,IF(X123="201-300",35,0))))+IF(H123="Autonomous",20,0)+IF(OR(G123="Government",G123="Government-Aided",G123="University Department",G123="University",G123="University Autonomous"),15,0)+MIN(K123,10)+IF(AA123&lt;&gt;"",3,0)+IF(U123&lt;&gt;"",2,0)</x:f>
        <x:v>8</x:v>
      </x:c>
      <x:c r="AL123" s="49" t="str">
        <x:f>IF(AK123&gt;=70,"Official/high-evidence reference",IF(AK123&gt;=40,"Planning reference","Broader option"))</x:f>
        <x:v>Broader option</x:v>
      </x:c>
    </x:row>
    <x:row r="124">
      <x:c r="A124" s="63" t="n">
        <x:v>3475</x:v>
      </x:c>
      <x:c r="B124" s="49" t="str">
        <x:v>A. P. Shah Institute of Technology, Thane</x:v>
      </x:c>
      <x:c r="C124" s="49" t="str">
        <x:v>Maharashtra</x:v>
      </x:c>
      <x:c r="D124" s="49" t="str">
        <x:v>Mumbai</x:v>
      </x:c>
      <x:c r="E124" s="49" t="str">
        <x:v>Thane</x:v>
      </x:c>
      <x:c r="F124" s="49" t="str">
        <x:v>Survey No. 12, Opp. Hypercity Mall, Kasarvadavali, Ghodbunder Road, Thane (W)</x:v>
      </x:c>
      <x:c r="G124" s="49" t="str">
        <x:v>Un-Aided</x:v>
      </x:c>
      <x:c r="H124" s="49" t="str">
        <x:v>Non-Autonomous</x:v>
      </x:c>
      <x:c r="I124" s="49" t="str">
        <x:v>Religious Minority - Jain</x:v>
      </x:c>
      <x:c r="J124" s="49" t="str">
        <x:v>Mumbai University</x:v>
      </x:c>
      <x:c r="K124" s="49" t="n">
        <x:v>6</x:v>
      </x:c>
      <x:c r="L124" s="49" t="n">
        <x:v>85</x:v>
      </x:c>
      <x:c r="M124" s="49" t="n">
        <x:v>37</x:v>
      </x:c>
      <x:c r="N124" s="49"/>
      <x:c r="O124" s="49" t="n">
        <x:v>48</x:v>
      </x:c>
      <x:c r="P124" s="49"/>
      <x:c r="Q124" s="49" t="str">
        <x:v>Parsed from official 2025-26 PDF</x:v>
      </x:c>
      <x:c r="R124" s="49" t="str">
        <x:v>2024-25</x:v>
      </x:c>
      <x:c r="S124" s="64" t="n">
        <x:v>116157</x:v>
      </x:c>
      <x:c r="T124" s="64" t="n">
        <x:v>16843</x:v>
      </x:c>
      <x:c r="U124" s="64" t="n">
        <x:v>133000</x:v>
      </x:c>
      <x:c r="V124" s="49" t="str">
        <x:v>Normal FRA-approved annual tuition + development fee; not seat-type-specific</x:v>
      </x:c>
      <x:c r="W124" s="49"/>
      <x:c r="X124" s="49"/>
      <x:c r="Y124" s="68"/>
      <x:c r="Z124" s="49"/>
      <x:c r="AA124" s="49"/>
      <x:c r="AB124" s="49" t="str">
        <x:v>Not centrally verified</x:v>
      </x:c>
      <x:c r="AC124" s="49" t="str">
        <x:v>Not centrally verified</x:v>
      </x:c>
      <x:c r="AD124" s="49" t="str">
        <x:v>Not centrally verified</x:v>
      </x:c>
      <x:c r="AE124" s="49" t="str">
        <x:v>Not available in a standardized official source</x:v>
      </x:c>
      <x:c r="AF124" s="49" t="str">
        <x:v>Not included: no official standardized source; cutoff-derived proxy excluded</x:v>
      </x:c>
      <x:c r="AG124" s="49" t="str">
        <x:v>https://dse2025.mahacet.org.in/dse25/admin/allotment/cap2/3475_4.pdf</x:v>
      </x:c>
      <x:c r="AH124" s="49" t="str">
        <x:v>https://fe2025.mahacet.org/StaticPages/frmInstituteSummary.aspx?InstituteCode=03475</x:v>
      </x:c>
      <x:c r="AI124" s="49"/>
      <x:c r="AJ124" s="49" t="str"/>
      <x:c r="AK124" s="69" t="n">
        <x:f>IF(W124&lt;&gt;"",50,IF(X124="101-150",45,IF(X124="151-200",40,IF(X124="201-300",35,0))))+IF(H124="Autonomous",20,0)+IF(OR(G124="Government",G124="Government-Aided",G124="University Department",G124="University",G124="University Autonomous"),15,0)+MIN(K124,10)+IF(AA124&lt;&gt;"",3,0)+IF(U124&lt;&gt;"",2,0)</x:f>
        <x:v>8</x:v>
      </x:c>
      <x:c r="AL124" s="49" t="str">
        <x:f>IF(AK124&gt;=70,"Official/high-evidence reference",IF(AK124&gt;=40,"Planning reference","Broader option"))</x:f>
        <x:v>Broader option</x:v>
      </x:c>
    </x:row>
    <x:row r="125">
      <x:c r="A125" s="63" t="n">
        <x:v>3477</x:v>
      </x:c>
      <x:c r="B125" s="49" t="str">
        <x:v>Chhartrapati Shivaji Maharaj Institute of Technology, Shedung, Panvel</x:v>
      </x:c>
      <x:c r="C125" s="49" t="str">
        <x:v>Maharashtra</x:v>
      </x:c>
      <x:c r="D125" s="49" t="str">
        <x:v>Mumbai</x:v>
      </x:c>
      <x:c r="E125" s="49" t="str">
        <x:v>Raigad</x:v>
      </x:c>
      <x:c r="F125" s="49" t="str">
        <x:v>92A/1, Old Mumbai Pune Highway, Near Shedung Toll naka Village Shedung, Panvel, Dist Raigad</x:v>
      </x:c>
      <x:c r="G125" s="49" t="str">
        <x:v>Un-Aided</x:v>
      </x:c>
      <x:c r="H125" s="49" t="str">
        <x:v>Non-Autonomous</x:v>
      </x:c>
      <x:c r="I125" s="49" t="str">
        <x:v>Non-Minority</x:v>
      </x:c>
      <x:c r="J125" s="49" t="str">
        <x:v>Mumbai University</x:v>
      </x:c>
      <x:c r="K125" s="49" t="n">
        <x:v>3</x:v>
      </x:c>
      <x:c r="L125" s="49" t="n">
        <x:v>314</x:v>
      </x:c>
      <x:c r="M125" s="49" t="n">
        <x:v>282</x:v>
      </x:c>
      <x:c r="N125" s="49" t="n">
        <x:v>32</x:v>
      </x:c>
      <x:c r="O125" s="49"/>
      <x:c r="P125" s="49"/>
      <x:c r="Q125" s="49" t="str">
        <x:v>Parsed from official 2025-26 PDF</x:v>
      </x:c>
      <x:c r="R125" s="49" t="str">
        <x:v>2024-25</x:v>
      </x:c>
      <x:c r="S125" s="64" t="n">
        <x:v>81670</x:v>
      </x:c>
      <x:c r="T125" s="64" t="n">
        <x:v>8330</x:v>
      </x:c>
      <x:c r="U125" s="64" t="n">
        <x:v>90000</x:v>
      </x:c>
      <x:c r="V125" s="49" t="str">
        <x:v>Normal FRA-approved annual tuition + development fee; not seat-type-specific</x:v>
      </x:c>
      <x:c r="W125" s="49"/>
      <x:c r="X125" s="49"/>
      <x:c r="Y125" s="68"/>
      <x:c r="Z125" s="49"/>
      <x:c r="AA125" s="49"/>
      <x:c r="AB125" s="49" t="str">
        <x:v>Not centrally verified</x:v>
      </x:c>
      <x:c r="AC125" s="49" t="str">
        <x:v>Not centrally verified</x:v>
      </x:c>
      <x:c r="AD125" s="49" t="str">
        <x:v>Not centrally verified</x:v>
      </x:c>
      <x:c r="AE125" s="49" t="str">
        <x:v>Not available in a standardized official source</x:v>
      </x:c>
      <x:c r="AF125" s="49" t="str">
        <x:v>Not included: no official standardized source; cutoff-derived proxy excluded</x:v>
      </x:c>
      <x:c r="AG125" s="49" t="str">
        <x:v>https://dse2025.mahacet.org.in/dse25/admin/allotment/cap2/3477_4.pdf</x:v>
      </x:c>
      <x:c r="AH125" s="49" t="str">
        <x:v>https://fe2025.mahacet.org/StaticPages/frmInstituteSummary.aspx?InstituteCode=03477</x:v>
      </x:c>
      <x:c r="AI125" s="49"/>
      <x:c r="AJ125" s="49" t="str"/>
      <x:c r="AK125" s="69" t="n">
        <x:f>IF(W125&lt;&gt;"",50,IF(X125="101-150",45,IF(X125="151-200",40,IF(X125="201-300",35,0))))+IF(H125="Autonomous",20,0)+IF(OR(G125="Government",G125="Government-Aided",G125="University Department",G125="University",G125="University Autonomous"),15,0)+MIN(K125,10)+IF(AA125&lt;&gt;"",3,0)+IF(U125&lt;&gt;"",2,0)</x:f>
        <x:v>5</x:v>
      </x:c>
      <x:c r="AL125" s="49" t="str">
        <x:f>IF(AK125&gt;=70,"Official/high-evidence reference",IF(AK125&gt;=40,"Planning reference","Broader option"))</x:f>
        <x:v>Broader option</x:v>
      </x:c>
    </x:row>
    <x:row r="126">
      <x:c r="A126" s="63" t="n">
        <x:v>3503</x:v>
      </x:c>
      <x:c r="B126" s="49" t="str">
        <x:v>Indala College Of Engineering, Bapsai Tal.Kalyan</x:v>
      </x:c>
      <x:c r="C126" s="49" t="str">
        <x:v>Maharashtra</x:v>
      </x:c>
      <x:c r="D126" s="49" t="str">
        <x:v>Mumbai</x:v>
      </x:c>
      <x:c r="E126" s="49" t="str">
        <x:v>Thane</x:v>
      </x:c>
      <x:c r="F126" s="49" t="str">
        <x:v>Near Hp Gagangiri Petrol Pump, Kalyan-Murbad Road, Bapsai, Taluka Kalyan, Dist Thane</x:v>
      </x:c>
      <x:c r="G126" s="49" t="str">
        <x:v>Un-Aided</x:v>
      </x:c>
      <x:c r="H126" s="49" t="str">
        <x:v>Non-Autonomous</x:v>
      </x:c>
      <x:c r="I126" s="49" t="str">
        <x:v>Non-Minority</x:v>
      </x:c>
      <x:c r="J126" s="49" t="str">
        <x:v>Mumbai University</x:v>
      </x:c>
      <x:c r="K126" s="49" t="n">
        <x:v>6</x:v>
      </x:c>
      <x:c r="L126" s="49" t="n">
        <x:v>312</x:v>
      </x:c>
      <x:c r="M126" s="49" t="n">
        <x:v>271</x:v>
      </x:c>
      <x:c r="N126" s="49" t="n">
        <x:v>41</x:v>
      </x:c>
      <x:c r="O126" s="49"/>
      <x:c r="P126" s="49"/>
      <x:c r="Q126" s="49" t="str">
        <x:v>Parsed from official 2025-26 PDF</x:v>
      </x:c>
      <x:c r="R126" s="49" t="str">
        <x:v>2024-25</x:v>
      </x:c>
      <x:c r="S126" s="64" t="n">
        <x:v>0</x:v>
      </x:c>
      <x:c r="T126" s="64" t="n">
        <x:v>0</x:v>
      </x:c>
      <x:c r="U126" s="64" t="n">
        <x:v>0</x:v>
      </x:c>
      <x:c r="V126" s="49" t="str">
        <x:v>Normal FRA-approved annual tuition + development fee; not seat-type-specific</x:v>
      </x:c>
      <x:c r="W126" s="49"/>
      <x:c r="X126" s="49"/>
      <x:c r="Y126" s="68"/>
      <x:c r="Z126" s="49"/>
      <x:c r="AA126" s="49"/>
      <x:c r="AB126" s="49" t="str">
        <x:v>Not centrally verified</x:v>
      </x:c>
      <x:c r="AC126" s="49" t="str">
        <x:v>Not centrally verified</x:v>
      </x:c>
      <x:c r="AD126" s="49" t="str">
        <x:v>Not centrally verified</x:v>
      </x:c>
      <x:c r="AE126" s="49" t="str">
        <x:v>Not available in a standardized official source</x:v>
      </x:c>
      <x:c r="AF126" s="49" t="str">
        <x:v>Not included: no official standardized source; cutoff-derived proxy excluded</x:v>
      </x:c>
      <x:c r="AG126" s="49" t="str">
        <x:v>https://dse2025.mahacet.org.in/dse25/admin/allotment/cap2/3503_4.pdf</x:v>
      </x:c>
      <x:c r="AH126" s="49" t="str">
        <x:v>https://fe2025.mahacet.org/StaticPages/frmInstituteSummary.aspx?InstituteCode=03503</x:v>
      </x:c>
      <x:c r="AI126" s="49"/>
      <x:c r="AJ126" s="49" t="str"/>
      <x:c r="AK126" s="69" t="n">
        <x:f>IF(W126&lt;&gt;"",50,IF(X126="101-150",45,IF(X126="151-200",40,IF(X126="201-300",35,0))))+IF(H126="Autonomous",20,0)+IF(OR(G126="Government",G126="Government-Aided",G126="University Department",G126="University",G126="University Autonomous"),15,0)+MIN(K126,10)+IF(AA126&lt;&gt;"",3,0)+IF(U126&lt;&gt;"",2,0)</x:f>
        <x:v>6</x:v>
      </x:c>
      <x:c r="AL126" s="49" t="str">
        <x:f>IF(AK126&gt;=70,"Official/high-evidence reference",IF(AK126&gt;=40,"Planning reference","Broader option"))</x:f>
        <x:v>Broader option</x:v>
      </x:c>
    </x:row>
    <x:row r="127">
      <x:c r="A127" s="63" t="n">
        <x:v>3546</x:v>
      </x:c>
      <x:c r="B127" s="49" t="str">
        <x:v>Devi Mahalaxmi College of Engineering and Technology</x:v>
      </x:c>
      <x:c r="C127" s="49" t="str">
        <x:v>Maharashtra</x:v>
      </x:c>
      <x:c r="D127" s="49" t="str">
        <x:v>Mumbai</x:v>
      </x:c>
      <x:c r="E127" s="49" t="str">
        <x:v>Thane</x:v>
      </x:c>
      <x:c r="F127" s="49" t="str">
        <x:v>Survey No 108, Mhaskarl, Titwala, Taluka Kalyan, Dist.Thane</x:v>
      </x:c>
      <x:c r="G127" s="49" t="str">
        <x:v>Un-Aided</x:v>
      </x:c>
      <x:c r="H127" s="49" t="str">
        <x:v>Non-Autonomous</x:v>
      </x:c>
      <x:c r="I127" s="49" t="str">
        <x:v>Non-Minority</x:v>
      </x:c>
      <x:c r="J127" s="49" t="str">
        <x:v>Mumbai University</x:v>
      </x:c>
      <x:c r="K127" s="49" t="n">
        <x:v>5</x:v>
      </x:c>
      <x:c r="L127" s="49" t="n">
        <x:v>338</x:v>
      </x:c>
      <x:c r="M127" s="49" t="n">
        <x:v>303</x:v>
      </x:c>
      <x:c r="N127" s="49" t="n">
        <x:v>35</x:v>
      </x:c>
      <x:c r="O127" s="49"/>
      <x:c r="P127" s="49"/>
      <x:c r="Q127" s="49" t="str">
        <x:v>Parsed from official 2025-26 PDF</x:v>
      </x:c>
      <x:c r="R127" s="49"/>
      <x:c r="S127" s="64"/>
      <x:c r="T127" s="64"/>
      <x:c r="U127" s="64"/>
      <x:c r="V127" s="49" t="str">
        <x:v>No verified FRA match</x:v>
      </x:c>
      <x:c r="W127" s="49"/>
      <x:c r="X127" s="49"/>
      <x:c r="Y127" s="68"/>
      <x:c r="Z127" s="49"/>
      <x:c r="AA127" s="49"/>
      <x:c r="AB127" s="49" t="str">
        <x:v>Not centrally verified</x:v>
      </x:c>
      <x:c r="AC127" s="49" t="str">
        <x:v>Not centrally verified</x:v>
      </x:c>
      <x:c r="AD127" s="49" t="str">
        <x:v>Not centrally verified</x:v>
      </x:c>
      <x:c r="AE127" s="49" t="str">
        <x:v>Not available in a standardized official source</x:v>
      </x:c>
      <x:c r="AF127" s="49" t="str">
        <x:v>Not included: no official standardized source; cutoff-derived proxy excluded</x:v>
      </x:c>
      <x:c r="AG127" s="49" t="str">
        <x:v>https://dse2025.mahacet.org.in/dse25/admin/allotment/cap2/3546_4.pdf</x:v>
      </x:c>
      <x:c r="AH127" s="49" t="str">
        <x:v>https://fe2025.mahacet.org/StaticPages/frmInstituteSummary.aspx?InstituteCode=03546</x:v>
      </x:c>
      <x:c r="AI127" s="49"/>
      <x:c r="AJ127" s="49" t="str"/>
      <x:c r="AK127" s="69" t="n">
        <x:f>IF(W127&lt;&gt;"",50,IF(X127="101-150",45,IF(X127="151-200",40,IF(X127="201-300",35,0))))+IF(H127="Autonomous",20,0)+IF(OR(G127="Government",G127="Government-Aided",G127="University Department",G127="University",G127="University Autonomous"),15,0)+MIN(K127,10)+IF(AA127&lt;&gt;"",3,0)+IF(U127&lt;&gt;"",2,0)</x:f>
        <x:v>5</x:v>
      </x:c>
      <x:c r="AL127" s="49" t="str">
        <x:f>IF(AK127&gt;=70,"Official/high-evidence reference",IF(AK127&gt;=40,"Planning reference","Broader option"))</x:f>
        <x:v>Broader option</x:v>
      </x:c>
    </x:row>
    <x:row r="128">
      <x:c r="A128" s="63" t="n">
        <x:v>4004</x:v>
      </x:c>
      <x:c r="B128" s="49" t="str">
        <x:v>Government College of Engineering, Chandrapur</x:v>
      </x:c>
      <x:c r="C128" s="49" t="str">
        <x:v>Maharashtra</x:v>
      </x:c>
      <x:c r="D128" s="49" t="str">
        <x:v>Nagpur</x:v>
      </x:c>
      <x:c r="E128" s="49" t="str">
        <x:v>Chandrapur</x:v>
      </x:c>
      <x:c r="F128" s="49" t="str">
        <x:v>Ballarsha Bypass Road,Chandrapur</x:v>
      </x:c>
      <x:c r="G128" s="49" t="str">
        <x:v>Government</x:v>
      </x:c>
      <x:c r="H128" s="49" t="str">
        <x:v>Non-Autonomous</x:v>
      </x:c>
      <x:c r="I128" s="49" t="str">
        <x:v>Non-Minority</x:v>
      </x:c>
      <x:c r="J128" s="49" t="str">
        <x:v>Gondwana University</x:v>
      </x:c>
      <x:c r="K128" s="49" t="n">
        <x:v>6</x:v>
      </x:c>
      <x:c r="L128" s="49" t="n">
        <x:v>69</x:v>
      </x:c>
      <x:c r="M128" s="49" t="n">
        <x:v>49</x:v>
      </x:c>
      <x:c r="N128" s="49" t="n">
        <x:v>20</x:v>
      </x:c>
      <x:c r="O128" s="49"/>
      <x:c r="P128" s="49"/>
      <x:c r="Q128" s="49" t="str">
        <x:v>Parsed from official 2025-26 PDF</x:v>
      </x:c>
      <x:c r="R128" s="49"/>
      <x:c r="S128" s="64"/>
      <x:c r="T128" s="64"/>
      <x:c r="U128" s="64"/>
      <x:c r="V128" s="49" t="str">
        <x:v>No verified FRA match</x:v>
      </x:c>
      <x:c r="W128" s="49"/>
      <x:c r="X128" s="49"/>
      <x:c r="Y128" s="68"/>
      <x:c r="Z128" s="49"/>
      <x:c r="AA128" s="49"/>
      <x:c r="AB128" s="49" t="str">
        <x:v>Not centrally verified</x:v>
      </x:c>
      <x:c r="AC128" s="49" t="str">
        <x:v>Not centrally verified</x:v>
      </x:c>
      <x:c r="AD128" s="49" t="str">
        <x:v>Not centrally verified</x:v>
      </x:c>
      <x:c r="AE128" s="49" t="str">
        <x:v>Not available in a standardized official source</x:v>
      </x:c>
      <x:c r="AF128" s="49" t="str">
        <x:v>Not included: no official standardized source; cutoff-derived proxy excluded</x:v>
      </x:c>
      <x:c r="AG128" s="49" t="str">
        <x:v>https://dse2025.mahacet.org.in/dse25/admin/allotment/cap2/4004_4.pdf</x:v>
      </x:c>
      <x:c r="AH128" s="49" t="str">
        <x:v>https://fe2025.mahacet.org/StaticPages/frmInstituteSummary.aspx?InstituteCode=04004</x:v>
      </x:c>
      <x:c r="AI128" s="49"/>
      <x:c r="AJ128" s="49" t="str"/>
      <x:c r="AK128" s="69" t="n">
        <x:f>IF(W128&lt;&gt;"",50,IF(X128="101-150",45,IF(X128="151-200",40,IF(X128="201-300",35,0))))+IF(H128="Autonomous",20,0)+IF(OR(G128="Government",G128="Government-Aided",G128="University Department",G128="University",G128="University Autonomous"),15,0)+MIN(K128,10)+IF(AA128&lt;&gt;"",3,0)+IF(U128&lt;&gt;"",2,0)</x:f>
        <x:v>21</x:v>
      </x:c>
      <x:c r="AL128" s="49" t="str">
        <x:f>IF(AK128&gt;=70,"Official/high-evidence reference",IF(AK128&gt;=40,"Planning reference","Broader option"))</x:f>
        <x:v>Broader option</x:v>
      </x:c>
    </x:row>
    <x:row r="129">
      <x:c r="A129" s="63" t="n">
        <x:v>4005</x:v>
      </x:c>
      <x:c r="B129" s="49" t="str">
        <x:v>Laxminarayan Institute of Technology, Nagpur</x:v>
      </x:c>
      <x:c r="C129" s="49" t="str">
        <x:v>Maharashtra</x:v>
      </x:c>
      <x:c r="D129" s="49"/>
      <x:c r="E129" s="49"/>
      <x:c r="F129" s="49"/>
      <x:c r="G129" s="49" t="str">
        <x:v>University Department</x:v>
      </x:c>
      <x:c r="H129" s="49" t="str">
        <x:v>Not verified</x:v>
      </x:c>
      <x:c r="I129" s="49" t="str">
        <x:v>Not verified</x:v>
      </x:c>
      <x:c r="J129" s="49"/>
      <x:c r="K129" s="49" t="n">
        <x:v>0</x:v>
      </x:c>
      <x:c r="L129" s="49"/>
      <x:c r="M129" s="49"/>
      <x:c r="N129" s="49"/>
      <x:c r="O129" s="49"/>
      <x:c r="P129" s="49"/>
      <x:c r="Q129" s="49" t="str">
        <x:v>Official PDF unavailable / not parsed</x:v>
      </x:c>
      <x:c r="R129" s="49"/>
      <x:c r="S129" s="64"/>
      <x:c r="T129" s="64"/>
      <x:c r="U129" s="64"/>
      <x:c r="V129" s="49" t="str">
        <x:v>No verified FRA match</x:v>
      </x:c>
      <x:c r="W129" s="49"/>
      <x:c r="X129" s="49"/>
      <x:c r="Y129" s="68"/>
      <x:c r="Z129" s="49"/>
      <x:c r="AA129" s="49"/>
      <x:c r="AB129" s="49" t="str">
        <x:v>Not centrally verified</x:v>
      </x:c>
      <x:c r="AC129" s="49" t="str">
        <x:v>Not centrally verified</x:v>
      </x:c>
      <x:c r="AD129" s="49" t="str">
        <x:v>Not centrally verified</x:v>
      </x:c>
      <x:c r="AE129" s="49" t="str">
        <x:v>Not available in a standardized official source</x:v>
      </x:c>
      <x:c r="AF129" s="49" t="str">
        <x:v>Not included: no official standardized source; cutoff-derived proxy excluded</x:v>
      </x:c>
      <x:c r="AG129" s="49"/>
      <x:c r="AH129" s="49" t="str">
        <x:v>https://fe2025.mahacet.org/StaticPages/frmInstituteList.aspx?did=1884</x:v>
      </x:c>
      <x:c r="AI129" s="49"/>
      <x:c r="AJ129" s="49" t="str">
        <x:v>PDF unavailable</x:v>
      </x:c>
      <x:c r="AK129" s="69" t="n">
        <x:f>IF(W129&lt;&gt;"",50,IF(X129="101-150",45,IF(X129="151-200",40,IF(X129="201-300",35,0))))+IF(H129="Autonomous",20,0)+IF(OR(G129="Government",G129="Government-Aided",G129="University Department",G129="University",G129="University Autonomous"),15,0)+MIN(K129,10)+IF(AA129&lt;&gt;"",3,0)+IF(U129&lt;&gt;"",2,0)</x:f>
        <x:v>15</x:v>
      </x:c>
      <x:c r="AL129" s="49" t="str">
        <x:f>IF(AK129&gt;=70,"Official/high-evidence reference",IF(AK129&gt;=40,"Planning reference","Broader option"))</x:f>
        <x:v>Broader option</x:v>
      </x:c>
    </x:row>
    <x:row r="130">
      <x:c r="A130" s="63" t="n">
        <x:v>4025</x:v>
      </x:c>
      <x:c r="B130" s="49" t="str">
        <x:v>Government College of Engineering, Nagpur</x:v>
      </x:c>
      <x:c r="C130" s="49" t="str">
        <x:v>Maharashtra</x:v>
      </x:c>
      <x:c r="D130" s="49" t="str">
        <x:v>Nagpur</x:v>
      </x:c>
      <x:c r="E130" s="49" t="str">
        <x:v>Nagpur</x:v>
      </x:c>
      <x:c r="F130" s="49" t="str">
        <x:v>Sector-27, Mihan Rehabilitation Colony, Khapari, Nagpur</x:v>
      </x:c>
      <x:c r="G130" s="49" t="str">
        <x:v>Government</x:v>
      </x:c>
      <x:c r="H130" s="49" t="str">
        <x:v>Non-Autonomous</x:v>
      </x:c>
      <x:c r="I130" s="49" t="str">
        <x:v>Non-Minority</x:v>
      </x:c>
      <x:c r="J130" s="49" t="str">
        <x:v>Rashtrasant Tukadoji Maharaj Nagpur University</x:v>
      </x:c>
      <x:c r="K130" s="49" t="n">
        <x:v>5</x:v>
      </x:c>
      <x:c r="L130" s="49" t="n">
        <x:v>56</x:v>
      </x:c>
      <x:c r="M130" s="49" t="n">
        <x:v>43</x:v>
      </x:c>
      <x:c r="N130" s="49" t="n">
        <x:v>13</x:v>
      </x:c>
      <x:c r="O130" s="49"/>
      <x:c r="P130" s="49"/>
      <x:c r="Q130" s="49" t="str">
        <x:v>Parsed from official 2025-26 PDF</x:v>
      </x:c>
      <x:c r="R130" s="49"/>
      <x:c r="S130" s="64"/>
      <x:c r="T130" s="64"/>
      <x:c r="U130" s="64"/>
      <x:c r="V130" s="49" t="str">
        <x:v>No verified FRA match</x:v>
      </x:c>
      <x:c r="W130" s="49"/>
      <x:c r="X130" s="49"/>
      <x:c r="Y130" s="68"/>
      <x:c r="Z130" s="49"/>
      <x:c r="AA130" s="49"/>
      <x:c r="AB130" s="49" t="str">
        <x:v>Not centrally verified</x:v>
      </x:c>
      <x:c r="AC130" s="49" t="str">
        <x:v>Not centrally verified</x:v>
      </x:c>
      <x:c r="AD130" s="49" t="str">
        <x:v>Not centrally verified</x:v>
      </x:c>
      <x:c r="AE130" s="49" t="str">
        <x:v>Not available in a standardized official source</x:v>
      </x:c>
      <x:c r="AF130" s="49" t="str">
        <x:v>Not included: no official standardized source; cutoff-derived proxy excluded</x:v>
      </x:c>
      <x:c r="AG130" s="49" t="str">
        <x:v>https://dse2025.mahacet.org.in/dse25/admin/allotment/cap2/4025_4.pdf</x:v>
      </x:c>
      <x:c r="AH130" s="49" t="str">
        <x:v>https://fe2025.mahacet.org/StaticPages/frmInstituteSummary.aspx?InstituteCode=04025</x:v>
      </x:c>
      <x:c r="AI130" s="49"/>
      <x:c r="AJ130" s="49" t="str"/>
      <x:c r="AK130" s="69" t="n">
        <x:f>IF(W130&lt;&gt;"",50,IF(X130="101-150",45,IF(X130="151-200",40,IF(X130="201-300",35,0))))+IF(H130="Autonomous",20,0)+IF(OR(G130="Government",G130="Government-Aided",G130="University Department",G130="University",G130="University Autonomous"),15,0)+MIN(K130,10)+IF(AA130&lt;&gt;"",3,0)+IF(U130&lt;&gt;"",2,0)</x:f>
        <x:v>20</x:v>
      </x:c>
      <x:c r="AL130" s="49" t="str">
        <x:f>IF(AK130&gt;=70,"Official/high-evidence reference",IF(AK130&gt;=40,"Planning reference","Broader option"))</x:f>
        <x:v>Broader option</x:v>
      </x:c>
    </x:row>
    <x:row r="131">
      <x:c r="A131" s="63" t="n">
        <x:v>4104</x:v>
      </x:c>
      <x:c r="B131" s="49" t="str">
        <x:v>Kavi Kulguru Institute of Technology &amp; Science, Ramtek</x:v>
      </x:c>
      <x:c r="C131" s="49" t="str">
        <x:v>Maharashtra</x:v>
      </x:c>
      <x:c r="D131" s="49" t="str">
        <x:v>Nagpur</x:v>
      </x:c>
      <x:c r="E131" s="49" t="str">
        <x:v>Nagpur</x:v>
      </x:c>
      <x:c r="F131" s="49" t="str">
        <x:v>K. K. Nagar, Ramtek, Nagpur - 441 106</x:v>
      </x:c>
      <x:c r="G131" s="49" t="str">
        <x:v>Un-Aided</x:v>
      </x:c>
      <x:c r="H131" s="49" t="str">
        <x:v>Autonomous</x:v>
      </x:c>
      <x:c r="I131" s="49" t="str">
        <x:v>Non-Minority</x:v>
      </x:c>
      <x:c r="J131" s="49" t="str">
        <x:v>Rashtrasant Tukadoji Maharaj Nagpur University</x:v>
      </x:c>
      <x:c r="K131" s="49" t="n">
        <x:v>6</x:v>
      </x:c>
      <x:c r="L131" s="49" t="n">
        <x:v>96</x:v>
      </x:c>
      <x:c r="M131" s="49" t="n">
        <x:v>57</x:v>
      </x:c>
      <x:c r="N131" s="49" t="n">
        <x:v>39</x:v>
      </x:c>
      <x:c r="O131" s="49"/>
      <x:c r="P131" s="49"/>
      <x:c r="Q131" s="49" t="str">
        <x:v>Parsed from official 2025-26 PDF</x:v>
      </x:c>
      <x:c r="R131" s="49"/>
      <x:c r="S131" s="64"/>
      <x:c r="T131" s="64"/>
      <x:c r="U131" s="64"/>
      <x:c r="V131" s="49" t="str">
        <x:v>No verified FRA match</x:v>
      </x:c>
      <x:c r="W131" s="49"/>
      <x:c r="X131" s="49"/>
      <x:c r="Y131" s="68"/>
      <x:c r="Z131" s="49"/>
      <x:c r="AA131" s="49"/>
      <x:c r="AB131" s="49" t="str">
        <x:v>Not centrally verified</x:v>
      </x:c>
      <x:c r="AC131" s="49" t="str">
        <x:v>Not centrally verified</x:v>
      </x:c>
      <x:c r="AD131" s="49" t="str">
        <x:v>Not centrally verified</x:v>
      </x:c>
      <x:c r="AE131" s="49" t="str">
        <x:v>Not available in a standardized official source</x:v>
      </x:c>
      <x:c r="AF131" s="49" t="str">
        <x:v>Not included: no official standardized source; cutoff-derived proxy excluded</x:v>
      </x:c>
      <x:c r="AG131" s="49" t="str">
        <x:v>https://dse2025.mahacet.org.in/dse25/admin/allotment/cap2/4104_4.pdf</x:v>
      </x:c>
      <x:c r="AH131" s="49" t="str">
        <x:v>https://fe2025.mahacet.org/StaticPages/frmInstituteSummary.aspx?InstituteCode=04104</x:v>
      </x:c>
      <x:c r="AI131" s="49"/>
      <x:c r="AJ131" s="49" t="str"/>
      <x:c r="AK131" s="69" t="n">
        <x:f>IF(W131&lt;&gt;"",50,IF(X131="101-150",45,IF(X131="151-200",40,IF(X131="201-300",35,0))))+IF(H131="Autonomous",20,0)+IF(OR(G131="Government",G131="Government-Aided",G131="University Department",G131="University",G131="University Autonomous"),15,0)+MIN(K131,10)+IF(AA131&lt;&gt;"",3,0)+IF(U131&lt;&gt;"",2,0)</x:f>
        <x:v>26</x:v>
      </x:c>
      <x:c r="AL131" s="49" t="str">
        <x:f>IF(AK131&gt;=70,"Official/high-evidence reference",IF(AK131&gt;=40,"Planning reference","Broader option"))</x:f>
        <x:v>Broader option</x:v>
      </x:c>
    </x:row>
    <x:row r="132">
      <x:c r="A132" s="63" t="n">
        <x:v>4115</x:v>
      </x:c>
      <x:c r="B132" s="49" t="str">
        <x:v>Shri Ramdeobaba College of Engineering and Management, Nagpur</x:v>
      </x:c>
      <x:c r="C132" s="49" t="str">
        <x:v>Maharashtra</x:v>
      </x:c>
      <x:c r="D132" s="49"/>
      <x:c r="E132" s="49"/>
      <x:c r="F132" s="49"/>
      <x:c r="G132" s="49" t="str">
        <x:v>Un-Aided Autonomous Linguistic Minority - Hindi</x:v>
      </x:c>
      <x:c r="H132" s="49" t="str">
        <x:v>Autonomous</x:v>
      </x:c>
      <x:c r="I132" s="49" t="str">
        <x:v>Not verified</x:v>
      </x:c>
      <x:c r="J132" s="49"/>
      <x:c r="K132" s="49" t="n">
        <x:v>0</x:v>
      </x:c>
      <x:c r="L132" s="49"/>
      <x:c r="M132" s="49"/>
      <x:c r="N132" s="49"/>
      <x:c r="O132" s="49"/>
      <x:c r="P132" s="49"/>
      <x:c r="Q132" s="49" t="str">
        <x:v>Official PDF unavailable / not parsed</x:v>
      </x:c>
      <x:c r="R132" s="49" t="str">
        <x:v>2023-24</x:v>
      </x:c>
      <x:c r="S132" s="64" t="n">
        <x:v>152174</x:v>
      </x:c>
      <x:c r="T132" s="64" t="n">
        <x:v>22826</x:v>
      </x:c>
      <x:c r="U132" s="64" t="n">
        <x:v>175000</x:v>
      </x:c>
      <x:c r="V132" s="49" t="str">
        <x:v>Normal FRA-approved annual tuition + development fee; not seat-type-specific</x:v>
      </x:c>
      <x:c r="W132" s="49"/>
      <x:c r="X132" s="49" t="str">
        <x:v>151-200</x:v>
      </x:c>
      <x:c r="Y132" s="68"/>
      <x:c r="Z132" s="49" t="str">
        <x:v>Ramdeobaba University</x:v>
      </x:c>
      <x:c r="AA132" s="49" t="str">
        <x:v>https://rbunagpur.in/</x:v>
      </x:c>
      <x:c r="AB132" s="49" t="str">
        <x:v>Verified official domain</x:v>
      </x:c>
      <x:c r="AC132" s="49" t="str">
        <x:v>Not centrally verified</x:v>
      </x:c>
      <x:c r="AD132" s="49" t="str">
        <x:v>Not centrally verified</x:v>
      </x:c>
      <x:c r="AE132" s="49" t="str">
        <x:v>Not available in a standardized official source</x:v>
      </x:c>
      <x:c r="AF132" s="49" t="str">
        <x:v>Not included: no official standardized source; cutoff-derived proxy excluded</x:v>
      </x:c>
      <x:c r="AG132" s="49"/>
      <x:c r="AH132" s="49" t="str">
        <x:v>https://fe2025.mahacet.org/StaticPages/frmInstituteList.aspx?did=1884</x:v>
      </x:c>
      <x:c r="AI132" s="49" t="str">
        <x:v>https://www.nirfindia.org/Rankings/2025/EngineeringRanking200.html</x:v>
      </x:c>
      <x:c r="AJ132" s="49" t="str">
        <x:v>PDF unavailable</x:v>
      </x:c>
      <x:c r="AK132" s="69" t="n">
        <x:f>IF(W132&lt;&gt;"",50,IF(X132="101-150",45,IF(X132="151-200",40,IF(X132="201-300",35,0))))+IF(H132="Autonomous",20,0)+IF(OR(G132="Government",G132="Government-Aided",G132="University Department",G132="University",G132="University Autonomous"),15,0)+MIN(K132,10)+IF(AA132&lt;&gt;"",3,0)+IF(U132&lt;&gt;"",2,0)</x:f>
        <x:v>65</x:v>
      </x:c>
      <x:c r="AL132" s="49" t="str">
        <x:f>IF(AK132&gt;=70,"Official/high-evidence reference",IF(AK132&gt;=40,"Planning reference","Broader option"))</x:f>
        <x:v>Planning reference</x:v>
      </x:c>
    </x:row>
    <x:row r="133">
      <x:c r="A133" s="63" t="n">
        <x:v>4116</x:v>
      </x:c>
      <x:c r="B133" s="49" t="str">
        <x:v>Ankush Shikshan Sanstha's G.H.Raisoni College of Engineering, Nagpur</x:v>
      </x:c>
      <x:c r="C133" s="49" t="str">
        <x:v>Maharashtra</x:v>
      </x:c>
      <x:c r="D133" s="49" t="str">
        <x:v>Nagpur</x:v>
      </x:c>
      <x:c r="E133" s="49" t="str">
        <x:v>Nagpur</x:v>
      </x:c>
      <x:c r="F133" s="49" t="str">
        <x:v>C.R.P.F. Gate No.3, Digdoh Hills, Hingna Road, Nagpur</x:v>
      </x:c>
      <x:c r="G133" s="49" t="str">
        <x:v>Un-Aided</x:v>
      </x:c>
      <x:c r="H133" s="49" t="str">
        <x:v>Autonomous</x:v>
      </x:c>
      <x:c r="I133" s="49" t="str">
        <x:v>Linguistic Minority - Hindi</x:v>
      </x:c>
      <x:c r="J133" s="49" t="str">
        <x:v>Rashtrasant Tukadoji Maharaj Nagpur University</x:v>
      </x:c>
      <x:c r="K133" s="49" t="n">
        <x:v>13</x:v>
      </x:c>
      <x:c r="L133" s="49" t="n">
        <x:v>130</x:v>
      </x:c>
      <x:c r="M133" s="49" t="n">
        <x:v>54</x:v>
      </x:c>
      <x:c r="N133" s="49"/>
      <x:c r="O133" s="49" t="n">
        <x:v>76</x:v>
      </x:c>
      <x:c r="P133" s="49"/>
      <x:c r="Q133" s="49" t="str">
        <x:v>Parsed from official 2025-26 PDF</x:v>
      </x:c>
      <x:c r="R133" s="49" t="str">
        <x:v>2024-25</x:v>
      </x:c>
      <x:c r="S133" s="64" t="n">
        <x:v>125652</x:v>
      </x:c>
      <x:c r="T133" s="64" t="n">
        <x:v>18848</x:v>
      </x:c>
      <x:c r="U133" s="64" t="n">
        <x:v>144500</x:v>
      </x:c>
      <x:c r="V133" s="49" t="str">
        <x:v>Normal FRA-approved annual tuition + development fee; not seat-type-specific</x:v>
      </x:c>
      <x:c r="W133" s="49"/>
      <x:c r="X133" s="49" t="str">
        <x:v>201-300</x:v>
      </x:c>
      <x:c r="Y133" s="68"/>
      <x:c r="Z133" s="49" t="str">
        <x:v>G. H. Raisoni College of Engineering</x:v>
      </x:c>
      <x:c r="AA133" s="49" t="str">
        <x:v>https://ghrce.raisoni.net/</x:v>
      </x:c>
      <x:c r="AB133" s="49" t="str">
        <x:v>Verified official domain</x:v>
      </x:c>
      <x:c r="AC133" s="49" t="str">
        <x:v>Not centrally verified</x:v>
      </x:c>
      <x:c r="AD133" s="49" t="str">
        <x:v>Not centrally verified</x:v>
      </x:c>
      <x:c r="AE133" s="49" t="str">
        <x:v>Not available in a standardized official source</x:v>
      </x:c>
      <x:c r="AF133" s="49" t="str">
        <x:v>Not included: no official standardized source; cutoff-derived proxy excluded</x:v>
      </x:c>
      <x:c r="AG133" s="49" t="str">
        <x:v>https://dse2025.mahacet.org.in/dse25/admin/allotment/cap2/4116_4.pdf</x:v>
      </x:c>
      <x:c r="AH133" s="49" t="str">
        <x:v>https://fe2025.mahacet.org/StaticPages/frmInstituteSummary.aspx?InstituteCode=04116</x:v>
      </x:c>
      <x:c r="AI133" s="49" t="str">
        <x:v>https://www.nirfindia.org/Rankings/2025/EngineeringRanking300.html</x:v>
      </x:c>
      <x:c r="AJ133" s="49" t="str"/>
      <x:c r="AK133" s="69" t="n">
        <x:f>IF(W133&lt;&gt;"",50,IF(X133="101-150",45,IF(X133="151-200",40,IF(X133="201-300",35,0))))+IF(H133="Autonomous",20,0)+IF(OR(G133="Government",G133="Government-Aided",G133="University Department",G133="University",G133="University Autonomous"),15,0)+MIN(K133,10)+IF(AA133&lt;&gt;"",3,0)+IF(U133&lt;&gt;"",2,0)</x:f>
        <x:v>70</x:v>
      </x:c>
      <x:c r="AL133" s="49" t="str">
        <x:f>IF(AK133&gt;=70,"Official/high-evidence reference",IF(AK133&gt;=40,"Planning reference","Broader option"))</x:f>
        <x:v>Official/high-evidence reference</x:v>
      </x:c>
    </x:row>
    <x:row r="134">
      <x:c r="A134" s="63" t="n">
        <x:v>4118</x:v>
      </x:c>
      <x:c r="B134" s="49" t="str">
        <x:v>Bapurao Deshmukh College of Engineering, Sevagram</x:v>
      </x:c>
      <x:c r="C134" s="49" t="str">
        <x:v>Maharashtra</x:v>
      </x:c>
      <x:c r="D134" s="49" t="str">
        <x:v>Nagpur</x:v>
      </x:c>
      <x:c r="E134" s="49" t="str">
        <x:v>Wardha</x:v>
      </x:c>
      <x:c r="F134" s="49" t="str">
        <x:v>P.O.Sevagram,Dist-Wardha</x:v>
      </x:c>
      <x:c r="G134" s="49" t="str">
        <x:v>Un-Aided</x:v>
      </x:c>
      <x:c r="H134" s="49" t="str">
        <x:v>Non-Autonomous</x:v>
      </x:c>
      <x:c r="I134" s="49" t="str">
        <x:v>Non-Minority</x:v>
      </x:c>
      <x:c r="J134" s="49" t="str">
        <x:v>Rashtrasant Tukadoji Maharaj Nagpur University</x:v>
      </x:c>
      <x:c r="K134" s="49" t="n">
        <x:v>5</x:v>
      </x:c>
      <x:c r="L134" s="49" t="n">
        <x:v>150</x:v>
      </x:c>
      <x:c r="M134" s="49" t="n">
        <x:v>119</x:v>
      </x:c>
      <x:c r="N134" s="49" t="n">
        <x:v>31</x:v>
      </x:c>
      <x:c r="O134" s="49"/>
      <x:c r="P134" s="49"/>
      <x:c r="Q134" s="49" t="str">
        <x:v>Parsed from official 2025-26 PDF</x:v>
      </x:c>
      <x:c r="R134" s="49" t="str">
        <x:v>2024-25</x:v>
      </x:c>
      <x:c r="S134" s="64" t="n">
        <x:v>79295</x:v>
      </x:c>
      <x:c r="T134" s="64" t="n">
        <x:v>10705</x:v>
      </x:c>
      <x:c r="U134" s="64" t="n">
        <x:v>90000</x:v>
      </x:c>
      <x:c r="V134" s="49" t="str">
        <x:v>Normal FRA-approved annual tuition + development fee; not seat-type-specific</x:v>
      </x:c>
      <x:c r="W134" s="49"/>
      <x:c r="X134" s="49"/>
      <x:c r="Y134" s="68"/>
      <x:c r="Z134" s="49"/>
      <x:c r="AA134" s="49"/>
      <x:c r="AB134" s="49" t="str">
        <x:v>Not centrally verified</x:v>
      </x:c>
      <x:c r="AC134" s="49" t="str">
        <x:v>Not centrally verified</x:v>
      </x:c>
      <x:c r="AD134" s="49" t="str">
        <x:v>Not centrally verified</x:v>
      </x:c>
      <x:c r="AE134" s="49" t="str">
        <x:v>Not available in a standardized official source</x:v>
      </x:c>
      <x:c r="AF134" s="49" t="str">
        <x:v>Not included: no official standardized source; cutoff-derived proxy excluded</x:v>
      </x:c>
      <x:c r="AG134" s="49" t="str">
        <x:v>https://dse2025.mahacet.org.in/dse25/admin/allotment/cap2/4118_4.pdf</x:v>
      </x:c>
      <x:c r="AH134" s="49" t="str">
        <x:v>https://fe2025.mahacet.org/StaticPages/frmInstituteSummary.aspx?InstituteCode=04118</x:v>
      </x:c>
      <x:c r="AI134" s="49"/>
      <x:c r="AJ134" s="49" t="str"/>
      <x:c r="AK134" s="69" t="n">
        <x:f>IF(W134&lt;&gt;"",50,IF(X134="101-150",45,IF(X134="151-200",40,IF(X134="201-300",35,0))))+IF(H134="Autonomous",20,0)+IF(OR(G134="Government",G134="Government-Aided",G134="University Department",G134="University",G134="University Autonomous"),15,0)+MIN(K134,10)+IF(AA134&lt;&gt;"",3,0)+IF(U134&lt;&gt;"",2,0)</x:f>
        <x:v>7</x:v>
      </x:c>
      <x:c r="AL134" s="49" t="str">
        <x:f>IF(AK134&gt;=70,"Official/high-evidence reference",IF(AK134&gt;=40,"Planning reference","Broader option"))</x:f>
        <x:v>Broader option</x:v>
      </x:c>
    </x:row>
    <x:row r="135">
      <x:c r="A135" s="63" t="n">
        <x:v>4123</x:v>
      </x:c>
      <x:c r="B135" s="49" t="str">
        <x:v>Lokmanya Tilak Jankalyan Shikshan Sanstha, Priyadarshani College of Engineering, Nagpur</x:v>
      </x:c>
      <x:c r="C135" s="49" t="str">
        <x:v>Maharashtra</x:v>
      </x:c>
      <x:c r="D135" s="49" t="str">
        <x:v>Nagpur</x:v>
      </x:c>
      <x:c r="E135" s="49" t="str">
        <x:v>Nagpur</x:v>
      </x:c>
      <x:c r="F135" s="49" t="str">
        <x:v>Near CRPF Campus, Hingna Road, Nagpur</x:v>
      </x:c>
      <x:c r="G135" s="49" t="str">
        <x:v>Un-Aided</x:v>
      </x:c>
      <x:c r="H135" s="49" t="str">
        <x:v>Autonomous</x:v>
      </x:c>
      <x:c r="I135" s="49" t="str">
        <x:v>Linguistic Minority - Hindi</x:v>
      </x:c>
      <x:c r="J135" s="49" t="str">
        <x:v>Rashtrasant Tukadoji Maharaj Nagpur University</x:v>
      </x:c>
      <x:c r="K135" s="49" t="n">
        <x:v>14</x:v>
      </x:c>
      <x:c r="L135" s="49" t="n">
        <x:v>173</x:v>
      </x:c>
      <x:c r="M135" s="49" t="n">
        <x:v>76</x:v>
      </x:c>
      <x:c r="N135" s="49"/>
      <x:c r="O135" s="49" t="n">
        <x:v>97</x:v>
      </x:c>
      <x:c r="P135" s="49"/>
      <x:c r="Q135" s="49" t="str">
        <x:v>Parsed from official 2025-26 PDF</x:v>
      </x:c>
      <x:c r="R135" s="49" t="str">
        <x:v>2024-25</x:v>
      </x:c>
      <x:c r="S135" s="64" t="n">
        <x:v>107391</x:v>
      </x:c>
      <x:c r="T135" s="64" t="n">
        <x:v>16109</x:v>
      </x:c>
      <x:c r="U135" s="64" t="n">
        <x:v>123500</x:v>
      </x:c>
      <x:c r="V135" s="49" t="str">
        <x:v>Normal FRA-approved annual tuition + development fee; not seat-type-specific</x:v>
      </x:c>
      <x:c r="W135" s="49"/>
      <x:c r="X135" s="49"/>
      <x:c r="Y135" s="68"/>
      <x:c r="Z135" s="49"/>
      <x:c r="AA135" s="49"/>
      <x:c r="AB135" s="49" t="str">
        <x:v>Not centrally verified</x:v>
      </x:c>
      <x:c r="AC135" s="49" t="str">
        <x:v>Not centrally verified</x:v>
      </x:c>
      <x:c r="AD135" s="49" t="str">
        <x:v>Not centrally verified</x:v>
      </x:c>
      <x:c r="AE135" s="49" t="str">
        <x:v>Not available in a standardized official source</x:v>
      </x:c>
      <x:c r="AF135" s="49" t="str">
        <x:v>Not included: no official standardized source; cutoff-derived proxy excluded</x:v>
      </x:c>
      <x:c r="AG135" s="49" t="str">
        <x:v>https://dse2025.mahacet.org.in/dse25/admin/allotment/cap2/4123_4.pdf</x:v>
      </x:c>
      <x:c r="AH135" s="49" t="str">
        <x:v>https://fe2025.mahacet.org/StaticPages/frmInstituteSummary.aspx?InstituteCode=04123</x:v>
      </x:c>
      <x:c r="AI135" s="49"/>
      <x:c r="AJ135" s="49" t="str"/>
      <x:c r="AK135" s="69" t="n">
        <x:f>IF(W135&lt;&gt;"",50,IF(X135="101-150",45,IF(X135="151-200",40,IF(X135="201-300",35,0))))+IF(H135="Autonomous",20,0)+IF(OR(G135="Government",G135="Government-Aided",G135="University Department",G135="University",G135="University Autonomous"),15,0)+MIN(K135,10)+IF(AA135&lt;&gt;"",3,0)+IF(U135&lt;&gt;"",2,0)</x:f>
        <x:v>32</x:v>
      </x:c>
      <x:c r="AL135" s="49" t="str">
        <x:f>IF(AK135&gt;=70,"Official/high-evidence reference",IF(AK135&gt;=40,"Planning reference","Broader option"))</x:f>
        <x:v>Broader option</x:v>
      </x:c>
    </x:row>
    <x:row r="136">
      <x:c r="A136" s="63" t="n">
        <x:v>4133</x:v>
      </x:c>
      <x:c r="B136" s="49" t="str">
        <x:v>Sanmarg Shikshan Sanstha's Smt. Radhikatai Pandav College of Engineering, Nagpur</x:v>
      </x:c>
      <x:c r="C136" s="49" t="str">
        <x:v>Maharashtra</x:v>
      </x:c>
      <x:c r="D136" s="49" t="str">
        <x:v>Nagpur</x:v>
      </x:c>
      <x:c r="E136" s="49" t="str">
        <x:v>Nagpur</x:v>
      </x:c>
      <x:c r="F136" s="49" t="str">
        <x:v>Near Dighori Naka, Umrer Road, Bhadura, Nagpur</x:v>
      </x:c>
      <x:c r="G136" s="49" t="str">
        <x:v>Un-Aided</x:v>
      </x:c>
      <x:c r="H136" s="49" t="str">
        <x:v>Non-Autonomous</x:v>
      </x:c>
      <x:c r="I136" s="49" t="str">
        <x:v>Non-Minority</x:v>
      </x:c>
      <x:c r="J136" s="49" t="str">
        <x:v>Rashtrasant Tukadoji Maharaj Nagpur University</x:v>
      </x:c>
      <x:c r="K136" s="49" t="n">
        <x:v>6</x:v>
      </x:c>
      <x:c r="L136" s="49" t="n">
        <x:v>102</x:v>
      </x:c>
      <x:c r="M136" s="49" t="n">
        <x:v>65</x:v>
      </x:c>
      <x:c r="N136" s="49" t="n">
        <x:v>37</x:v>
      </x:c>
      <x:c r="O136" s="49"/>
      <x:c r="P136" s="49"/>
      <x:c r="Q136" s="49" t="str">
        <x:v>Parsed from official 2025-26 PDF</x:v>
      </x:c>
      <x:c r="R136" s="49" t="str">
        <x:v>2024-25</x:v>
      </x:c>
      <x:c r="S136" s="64" t="n">
        <x:v>74782</x:v>
      </x:c>
      <x:c r="T136" s="64" t="n">
        <x:v>11218</x:v>
      </x:c>
      <x:c r="U136" s="64" t="n">
        <x:v>86000</x:v>
      </x:c>
      <x:c r="V136" s="49" t="str">
        <x:v>Normal FRA-approved annual tuition + development fee; not seat-type-specific</x:v>
      </x:c>
      <x:c r="W136" s="49"/>
      <x:c r="X136" s="49"/>
      <x:c r="Y136" s="68"/>
      <x:c r="Z136" s="49"/>
      <x:c r="AA136" s="49"/>
      <x:c r="AB136" s="49" t="str">
        <x:v>Not centrally verified</x:v>
      </x:c>
      <x:c r="AC136" s="49" t="str">
        <x:v>Not centrally verified</x:v>
      </x:c>
      <x:c r="AD136" s="49" t="str">
        <x:v>Not centrally verified</x:v>
      </x:c>
      <x:c r="AE136" s="49" t="str">
        <x:v>Not available in a standardized official source</x:v>
      </x:c>
      <x:c r="AF136" s="49" t="str">
        <x:v>Not included: no official standardized source; cutoff-derived proxy excluded</x:v>
      </x:c>
      <x:c r="AG136" s="49" t="str">
        <x:v>https://dse2025.mahacet.org.in/dse25/admin/allotment/cap2/4133_4.pdf</x:v>
      </x:c>
      <x:c r="AH136" s="49" t="str">
        <x:v>https://fe2025.mahacet.org/StaticPages/frmInstituteSummary.aspx?InstituteCode=04133</x:v>
      </x:c>
      <x:c r="AI136" s="49"/>
      <x:c r="AJ136" s="49" t="str"/>
      <x:c r="AK136" s="69" t="n">
        <x:f>IF(W136&lt;&gt;"",50,IF(X136="101-150",45,IF(X136="151-200",40,IF(X136="201-300",35,0))))+IF(H136="Autonomous",20,0)+IF(OR(G136="Government",G136="Government-Aided",G136="University Department",G136="University",G136="University Autonomous"),15,0)+MIN(K136,10)+IF(AA136&lt;&gt;"",3,0)+IF(U136&lt;&gt;"",2,0)</x:f>
        <x:v>8</x:v>
      </x:c>
      <x:c r="AL136" s="49" t="str">
        <x:f>IF(AK136&gt;=70,"Official/high-evidence reference",IF(AK136&gt;=40,"Planning reference","Broader option"))</x:f>
        <x:v>Broader option</x:v>
      </x:c>
    </x:row>
    <x:row r="137">
      <x:c r="A137" s="63" t="n">
        <x:v>4134</x:v>
      </x:c>
      <x:c r="B137" s="49" t="str">
        <x:v>Guru Nanak Institute of Engineering &amp; Technology,Kalmeshwar, Nagpur</x:v>
      </x:c>
      <x:c r="C137" s="49" t="str">
        <x:v>Maharashtra</x:v>
      </x:c>
      <x:c r="D137" s="49" t="str">
        <x:v>Nagpur</x:v>
      </x:c>
      <x:c r="E137" s="49" t="str">
        <x:v>Nagpur</x:v>
      </x:c>
      <x:c r="F137" s="49" t="str">
        <x:v>Khasara No-94,95&amp;164/1,Mauza Dahegaon,Opposite IOC Prtrol Pump,Kalmeshwar, Nagpur</x:v>
      </x:c>
      <x:c r="G137" s="49" t="str">
        <x:v>Un-Aided</x:v>
      </x:c>
      <x:c r="H137" s="49" t="str">
        <x:v>Non-Autonomous</x:v>
      </x:c>
      <x:c r="I137" s="49" t="str">
        <x:v>Non-Minority</x:v>
      </x:c>
      <x:c r="J137" s="49" t="str">
        <x:v>Rashtrasant Tukadoji Maharaj Nagpur University</x:v>
      </x:c>
      <x:c r="K137" s="49" t="n">
        <x:v>6</x:v>
      </x:c>
      <x:c r="L137" s="49" t="n">
        <x:v>193</x:v>
      </x:c>
      <x:c r="M137" s="49" t="n">
        <x:v>156</x:v>
      </x:c>
      <x:c r="N137" s="49" t="n">
        <x:v>37</x:v>
      </x:c>
      <x:c r="O137" s="49"/>
      <x:c r="P137" s="49"/>
      <x:c r="Q137" s="49" t="str">
        <x:v>Parsed from official 2025-26 PDF</x:v>
      </x:c>
      <x:c r="R137" s="49" t="str">
        <x:v>2024-25</x:v>
      </x:c>
      <x:c r="S137" s="64" t="n">
        <x:v>54813</x:v>
      </x:c>
      <x:c r="T137" s="64" t="n">
        <x:v>6687</x:v>
      </x:c>
      <x:c r="U137" s="64" t="n">
        <x:v>61500</x:v>
      </x:c>
      <x:c r="V137" s="49" t="str">
        <x:v>Normal FRA-approved annual tuition + development fee; not seat-type-specific</x:v>
      </x:c>
      <x:c r="W137" s="49"/>
      <x:c r="X137" s="49"/>
      <x:c r="Y137" s="68"/>
      <x:c r="Z137" s="49"/>
      <x:c r="AA137" s="49"/>
      <x:c r="AB137" s="49" t="str">
        <x:v>Not centrally verified</x:v>
      </x:c>
      <x:c r="AC137" s="49" t="str">
        <x:v>Not centrally verified</x:v>
      </x:c>
      <x:c r="AD137" s="49" t="str">
        <x:v>Not centrally verified</x:v>
      </x:c>
      <x:c r="AE137" s="49" t="str">
        <x:v>Not available in a standardized official source</x:v>
      </x:c>
      <x:c r="AF137" s="49" t="str">
        <x:v>Not included: no official standardized source; cutoff-derived proxy excluded</x:v>
      </x:c>
      <x:c r="AG137" s="49" t="str">
        <x:v>https://dse2025.mahacet.org.in/dse25/admin/allotment/cap2/4134_4.pdf</x:v>
      </x:c>
      <x:c r="AH137" s="49" t="str">
        <x:v>https://fe2025.mahacet.org/StaticPages/frmInstituteSummary.aspx?InstituteCode=04134</x:v>
      </x:c>
      <x:c r="AI137" s="49"/>
      <x:c r="AJ137" s="49" t="str"/>
      <x:c r="AK137" s="69" t="n">
        <x:f>IF(W137&lt;&gt;"",50,IF(X137="101-150",45,IF(X137="151-200",40,IF(X137="201-300",35,0))))+IF(H137="Autonomous",20,0)+IF(OR(G137="Government",G137="Government-Aided",G137="University Department",G137="University",G137="University Autonomous"),15,0)+MIN(K137,10)+IF(AA137&lt;&gt;"",3,0)+IF(U137&lt;&gt;"",2,0)</x:f>
        <x:v>8</x:v>
      </x:c>
      <x:c r="AL137" s="49" t="str">
        <x:f>IF(AK137&gt;=70,"Official/high-evidence reference",IF(AK137&gt;=40,"Planning reference","Broader option"))</x:f>
        <x:v>Broader option</x:v>
      </x:c>
    </x:row>
    <x:row r="138">
      <x:c r="A138" s="63" t="n">
        <x:v>4135</x:v>
      </x:c>
      <x:c r="B138" s="49" t="str">
        <x:v>Amar Seva Mandal's Shree Govindrao Vanjari College of Engineering &amp; Technology, Nagpur</x:v>
      </x:c>
      <x:c r="C138" s="49" t="str">
        <x:v>Maharashtra</x:v>
      </x:c>
      <x:c r="D138" s="49" t="str">
        <x:v>Nagpur</x:v>
      </x:c>
      <x:c r="E138" s="49" t="str">
        <x:v>Nagpur</x:v>
      </x:c>
      <x:c r="F138" s="49" t="str">
        <x:v>Survey No. 148/149, Salai Godhani, Near Chikna Village, Hudakeshwar Road, Nagpur</x:v>
      </x:c>
      <x:c r="G138" s="49" t="str">
        <x:v>Un-Aided</x:v>
      </x:c>
      <x:c r="H138" s="49" t="str">
        <x:v>Non-Autonomous</x:v>
      </x:c>
      <x:c r="I138" s="49" t="str">
        <x:v>Non-Minority</x:v>
      </x:c>
      <x:c r="J138" s="49" t="str">
        <x:v>Dr. Babasaheb Ambedkar Technological University,Lonere</x:v>
      </x:c>
      <x:c r="K138" s="49" t="n">
        <x:v>6</x:v>
      </x:c>
      <x:c r="L138" s="49" t="n">
        <x:v>115</x:v>
      </x:c>
      <x:c r="M138" s="49" t="n">
        <x:v>87</x:v>
      </x:c>
      <x:c r="N138" s="49" t="n">
        <x:v>28</x:v>
      </x:c>
      <x:c r="O138" s="49"/>
      <x:c r="P138" s="49"/>
      <x:c r="Q138" s="49" t="str">
        <x:v>Parsed from official 2025-26 PDF</x:v>
      </x:c>
      <x:c r="R138" s="49" t="str">
        <x:v>2024-25</x:v>
      </x:c>
      <x:c r="S138" s="64" t="n">
        <x:v>89286</x:v>
      </x:c>
      <x:c r="T138" s="64" t="n">
        <x:v>10714</x:v>
      </x:c>
      <x:c r="U138" s="64" t="n">
        <x:v>100000</x:v>
      </x:c>
      <x:c r="V138" s="49" t="str">
        <x:v>Normal FRA-approved annual tuition + development fee; not seat-type-specific</x:v>
      </x:c>
      <x:c r="W138" s="49"/>
      <x:c r="X138" s="49"/>
      <x:c r="Y138" s="68"/>
      <x:c r="Z138" s="49"/>
      <x:c r="AA138" s="49"/>
      <x:c r="AB138" s="49" t="str">
        <x:v>Not centrally verified</x:v>
      </x:c>
      <x:c r="AC138" s="49" t="str">
        <x:v>Not centrally verified</x:v>
      </x:c>
      <x:c r="AD138" s="49" t="str">
        <x:v>Not centrally verified</x:v>
      </x:c>
      <x:c r="AE138" s="49" t="str">
        <x:v>Not available in a standardized official source</x:v>
      </x:c>
      <x:c r="AF138" s="49" t="str">
        <x:v>Not included: no official standardized source; cutoff-derived proxy excluded</x:v>
      </x:c>
      <x:c r="AG138" s="49" t="str">
        <x:v>https://dse2025.mahacet.org.in/dse25/admin/allotment/cap2/4135_4.pdf</x:v>
      </x:c>
      <x:c r="AH138" s="49" t="str">
        <x:v>https://fe2025.mahacet.org/StaticPages/frmInstituteSummary.aspx?InstituteCode=04135</x:v>
      </x:c>
      <x:c r="AI138" s="49"/>
      <x:c r="AJ138" s="49" t="str"/>
      <x:c r="AK138" s="69" t="n">
        <x:f>IF(W138&lt;&gt;"",50,IF(X138="101-150",45,IF(X138="151-200",40,IF(X138="201-300",35,0))))+IF(H138="Autonomous",20,0)+IF(OR(G138="Government",G138="Government-Aided",G138="University Department",G138="University",G138="University Autonomous"),15,0)+MIN(K138,10)+IF(AA138&lt;&gt;"",3,0)+IF(U138&lt;&gt;"",2,0)</x:f>
        <x:v>8</x:v>
      </x:c>
      <x:c r="AL138" s="49" t="str">
        <x:f>IF(AK138&gt;=70,"Official/high-evidence reference",IF(AK138&gt;=40,"Planning reference","Broader option"))</x:f>
        <x:v>Broader option</x:v>
      </x:c>
    </x:row>
    <x:row r="139">
      <x:c r="A139" s="63" t="n">
        <x:v>4136</x:v>
      </x:c>
      <x:c r="B139" s="49" t="str">
        <x:v>Lokmanya Tilak Jankalyan Shikshan Sastha, Priyadarshini J. L. College Of Engineering, Nagpur</x:v>
      </x:c>
      <x:c r="C139" s="49" t="str">
        <x:v>Maharashtra</x:v>
      </x:c>
      <x:c r="D139" s="49"/>
      <x:c r="E139" s="49" t="str">
        <x:v>Nagpur</x:v>
      </x:c>
      <x:c r="F139" s="49"/>
      <x:c r="G139" s="49" t="str">
        <x:v>Un-Aided Autonomous Linguistic Minority - Hindi</x:v>
      </x:c>
      <x:c r="H139" s="49" t="str">
        <x:v>Autonomous</x:v>
      </x:c>
      <x:c r="I139" s="49" t="str">
        <x:v>Not verified</x:v>
      </x:c>
      <x:c r="J139" s="49"/>
      <x:c r="K139" s="49" t="n">
        <x:v>5</x:v>
      </x:c>
      <x:c r="L139" s="49" t="n">
        <x:v>40</x:v>
      </x:c>
      <x:c r="M139" s="49" t="n">
        <x:v>16</x:v>
      </x:c>
      <x:c r="N139" s="49"/>
      <x:c r="O139" s="49" t="n">
        <x:v>24</x:v>
      </x:c>
      <x:c r="P139" s="49"/>
      <x:c r="Q139" s="49" t="str">
        <x:v>Parsed from official 2025-26 PDF</x:v>
      </x:c>
      <x:c r="R139" s="49" t="str">
        <x:v>2024-25</x:v>
      </x:c>
      <x:c r="S139" s="64" t="n">
        <x:v>93913</x:v>
      </x:c>
      <x:c r="T139" s="64" t="n">
        <x:v>14087</x:v>
      </x:c>
      <x:c r="U139" s="64" t="n">
        <x:v>108000</x:v>
      </x:c>
      <x:c r="V139" s="49" t="str">
        <x:v>Normal FRA-approved annual tuition + development fee; not seat-type-specific</x:v>
      </x:c>
      <x:c r="W139" s="49"/>
      <x:c r="X139" s="49"/>
      <x:c r="Y139" s="68"/>
      <x:c r="Z139" s="49"/>
      <x:c r="AA139" s="49"/>
      <x:c r="AB139" s="49" t="str">
        <x:v>Not centrally verified</x:v>
      </x:c>
      <x:c r="AC139" s="49" t="str">
        <x:v>Not centrally verified</x:v>
      </x:c>
      <x:c r="AD139" s="49" t="str">
        <x:v>Not centrally verified</x:v>
      </x:c>
      <x:c r="AE139" s="49" t="str">
        <x:v>Not available in a standardized official source</x:v>
      </x:c>
      <x:c r="AF139" s="49" t="str">
        <x:v>Not included: no official standardized source; cutoff-derived proxy excluded</x:v>
      </x:c>
      <x:c r="AG139" s="49" t="str">
        <x:v>https://dse2025.mahacet.org.in/dse25/admin/allotment/cap2/4136_4.pdf</x:v>
      </x:c>
      <x:c r="AH139" s="49" t="str">
        <x:v>https://fe2025.mahacet.org/StaticPages/frmInstituteList.aspx?did=1884</x:v>
      </x:c>
      <x:c r="AI139" s="49"/>
      <x:c r="AJ139" s="49" t="str"/>
      <x:c r="AK139" s="69" t="n">
        <x:f>IF(W139&lt;&gt;"",50,IF(X139="101-150",45,IF(X139="151-200",40,IF(X139="201-300",35,0))))+IF(H139="Autonomous",20,0)+IF(OR(G139="Government",G139="Government-Aided",G139="University Department",G139="University",G139="University Autonomous"),15,0)+MIN(K139,10)+IF(AA139&lt;&gt;"",3,0)+IF(U139&lt;&gt;"",2,0)</x:f>
        <x:v>27</x:v>
      </x:c>
      <x:c r="AL139" s="49" t="str">
        <x:f>IF(AK139&gt;=70,"Official/high-evidence reference",IF(AK139&gt;=40,"Planning reference","Broader option"))</x:f>
        <x:v>Broader option</x:v>
      </x:c>
    </x:row>
    <x:row r="140">
      <x:c r="A140" s="63" t="n">
        <x:v>4137</x:v>
      </x:c>
      <x:c r="B140" s="49" t="str">
        <x:v>Sir Shantilal Badjate Charitable Trust's S. B. Jain Institute of technology, Management &amp; Research, Nagpur</x:v>
      </x:c>
      <x:c r="C140" s="49" t="str">
        <x:v>Maharashtra</x:v>
      </x:c>
      <x:c r="D140" s="49" t="str">
        <x:v>Nagpur</x:v>
      </x:c>
      <x:c r="E140" s="49" t="str">
        <x:v>Nagpur</x:v>
      </x:c>
      <x:c r="F140" s="49" t="str">
        <x:v>Behind Asarambapu Ashram Village, Yerala, Katol Road, Nagpur</x:v>
      </x:c>
      <x:c r="G140" s="49" t="str">
        <x:v>Un-Aided</x:v>
      </x:c>
      <x:c r="H140" s="49" t="str">
        <x:v>Autonomous</x:v>
      </x:c>
      <x:c r="I140" s="49" t="str">
        <x:v>Linguistic Minority - Hindi</x:v>
      </x:c>
      <x:c r="J140" s="49" t="str">
        <x:v>Rashtrasant Tukadoji Maharaj Nagpur University</x:v>
      </x:c>
      <x:c r="K140" s="49" t="n">
        <x:v>6</x:v>
      </x:c>
      <x:c r="L140" s="49" t="n">
        <x:v>68</x:v>
      </x:c>
      <x:c r="M140" s="49" t="n">
        <x:v>28</x:v>
      </x:c>
      <x:c r="N140" s="49"/>
      <x:c r="O140" s="49" t="n">
        <x:v>40</x:v>
      </x:c>
      <x:c r="P140" s="49"/>
      <x:c r="Q140" s="49" t="str">
        <x:v>Parsed from official 2025-26 PDF</x:v>
      </x:c>
      <x:c r="R140" s="49" t="str">
        <x:v>2024-25</x:v>
      </x:c>
      <x:c r="S140" s="64" t="n">
        <x:v>98696</x:v>
      </x:c>
      <x:c r="T140" s="64" t="n">
        <x:v>14804</x:v>
      </x:c>
      <x:c r="U140" s="64" t="n">
        <x:v>113500</x:v>
      </x:c>
      <x:c r="V140" s="49" t="str">
        <x:v>Normal FRA-approved annual tuition + development fee; not seat-type-specific</x:v>
      </x:c>
      <x:c r="W140" s="49"/>
      <x:c r="X140" s="49"/>
      <x:c r="Y140" s="68"/>
      <x:c r="Z140" s="49"/>
      <x:c r="AA140" s="49"/>
      <x:c r="AB140" s="49" t="str">
        <x:v>Not centrally verified</x:v>
      </x:c>
      <x:c r="AC140" s="49" t="str">
        <x:v>Not centrally verified</x:v>
      </x:c>
      <x:c r="AD140" s="49" t="str">
        <x:v>Not centrally verified</x:v>
      </x:c>
      <x:c r="AE140" s="49" t="str">
        <x:v>Not available in a standardized official source</x:v>
      </x:c>
      <x:c r="AF140" s="49" t="str">
        <x:v>Not included: no official standardized source; cutoff-derived proxy excluded</x:v>
      </x:c>
      <x:c r="AG140" s="49" t="str">
        <x:v>https://dse2025.mahacet.org.in/dse25/admin/allotment/cap2/4137_4.pdf</x:v>
      </x:c>
      <x:c r="AH140" s="49" t="str">
        <x:v>https://fe2025.mahacet.org/StaticPages/frmInstituteSummary.aspx?InstituteCode=04137</x:v>
      </x:c>
      <x:c r="AI140" s="49"/>
      <x:c r="AJ140" s="49" t="str"/>
      <x:c r="AK140" s="69" t="n">
        <x:f>IF(W140&lt;&gt;"",50,IF(X140="101-150",45,IF(X140="151-200",40,IF(X140="201-300",35,0))))+IF(H140="Autonomous",20,0)+IF(OR(G140="Government",G140="Government-Aided",G140="University Department",G140="University",G140="University Autonomous"),15,0)+MIN(K140,10)+IF(AA140&lt;&gt;"",3,0)+IF(U140&lt;&gt;"",2,0)</x:f>
        <x:v>28</x:v>
      </x:c>
      <x:c r="AL140" s="49" t="str">
        <x:f>IF(AK140&gt;=70,"Official/high-evidence reference",IF(AK140&gt;=40,"Planning reference","Broader option"))</x:f>
        <x:v>Broader option</x:v>
      </x:c>
    </x:row>
    <x:row r="141">
      <x:c r="A141" s="63" t="n">
        <x:v>4138</x:v>
      </x:c>
      <x:c r="B141" s="49" t="str">
        <x:v>Jaidev Education Society, J D College of Engineering and Management, Nagpur</x:v>
      </x:c>
      <x:c r="C141" s="49" t="str">
        <x:v>Maharashtra</x:v>
      </x:c>
      <x:c r="D141" s="49" t="str">
        <x:v>Nagpur</x:v>
      </x:c>
      <x:c r="E141" s="49" t="str">
        <x:v>Nagpur</x:v>
      </x:c>
      <x:c r="F141" s="49" t="str">
        <x:v>At Khandala, Post Vaini Katol Road, Nagpur</x:v>
      </x:c>
      <x:c r="G141" s="49" t="str">
        <x:v>Un-Aided</x:v>
      </x:c>
      <x:c r="H141" s="49" t="str">
        <x:v>Autonomous</x:v>
      </x:c>
      <x:c r="I141" s="49" t="str">
        <x:v>Linguistic Minority - Hindi</x:v>
      </x:c>
      <x:c r="J141" s="49" t="str">
        <x:v>Dr. Babasaheb Ambedkar Technological University,Lonere</x:v>
      </x:c>
      <x:c r="K141" s="49" t="n">
        <x:v>8</x:v>
      </x:c>
      <x:c r="L141" s="49" t="n">
        <x:v>78</x:v>
      </x:c>
      <x:c r="M141" s="49" t="n">
        <x:v>32</x:v>
      </x:c>
      <x:c r="N141" s="49"/>
      <x:c r="O141" s="49" t="n">
        <x:v>46</x:v>
      </x:c>
      <x:c r="P141" s="49"/>
      <x:c r="Q141" s="49" t="str">
        <x:v>Parsed from official 2025-26 PDF</x:v>
      </x:c>
      <x:c r="R141" s="49" t="str">
        <x:v>2024-25</x:v>
      </x:c>
      <x:c r="S141" s="64" t="n">
        <x:v>91305</x:v>
      </x:c>
      <x:c r="T141" s="64" t="n">
        <x:v>13695</x:v>
      </x:c>
      <x:c r="U141" s="64" t="n">
        <x:v>105000</x:v>
      </x:c>
      <x:c r="V141" s="49" t="str">
        <x:v>Normal FRA-approved annual tuition + development fee; not seat-type-specific</x:v>
      </x:c>
      <x:c r="W141" s="49"/>
      <x:c r="X141" s="49"/>
      <x:c r="Y141" s="68"/>
      <x:c r="Z141" s="49"/>
      <x:c r="AA141" s="49"/>
      <x:c r="AB141" s="49" t="str">
        <x:v>Not centrally verified</x:v>
      </x:c>
      <x:c r="AC141" s="49" t="str">
        <x:v>Not centrally verified</x:v>
      </x:c>
      <x:c r="AD141" s="49" t="str">
        <x:v>Not centrally verified</x:v>
      </x:c>
      <x:c r="AE141" s="49" t="str">
        <x:v>Not available in a standardized official source</x:v>
      </x:c>
      <x:c r="AF141" s="49" t="str">
        <x:v>Not included: no official standardized source; cutoff-derived proxy excluded</x:v>
      </x:c>
      <x:c r="AG141" s="49" t="str">
        <x:v>https://dse2025.mahacet.org.in/dse25/admin/allotment/cap2/4138_4.pdf</x:v>
      </x:c>
      <x:c r="AH141" s="49" t="str">
        <x:v>https://fe2025.mahacet.org/StaticPages/frmInstituteSummary.aspx?InstituteCode=04138</x:v>
      </x:c>
      <x:c r="AI141" s="49"/>
      <x:c r="AJ141" s="49" t="str"/>
      <x:c r="AK141" s="69" t="n">
        <x:f>IF(W141&lt;&gt;"",50,IF(X141="101-150",45,IF(X141="151-200",40,IF(X141="201-300",35,0))))+IF(H141="Autonomous",20,0)+IF(OR(G141="Government",G141="Government-Aided",G141="University Department",G141="University",G141="University Autonomous"),15,0)+MIN(K141,10)+IF(AA141&lt;&gt;"",3,0)+IF(U141&lt;&gt;"",2,0)</x:f>
        <x:v>30</x:v>
      </x:c>
      <x:c r="AL141" s="49" t="str">
        <x:f>IF(AK141&gt;=70,"Official/high-evidence reference",IF(AK141&gt;=40,"Planning reference","Broader option"))</x:f>
        <x:v>Broader option</x:v>
      </x:c>
    </x:row>
    <x:row r="142">
      <x:c r="A142" s="63" t="n">
        <x:v>4139</x:v>
      </x:c>
      <x:c r="B142" s="49" t="str">
        <x:v>Samridhi Sarwajanik Charitable Trust, Jhulelal Institute of Technology, Nagpur</x:v>
      </x:c>
      <x:c r="C142" s="49" t="str">
        <x:v>Maharashtra</x:v>
      </x:c>
      <x:c r="D142" s="49" t="str">
        <x:v>Nagpur</x:v>
      </x:c>
      <x:c r="E142" s="49" t="str">
        <x:v>Nagpur</x:v>
      </x:c>
      <x:c r="F142" s="49" t="str">
        <x:v>Kh. No.72, 68/1, 68/2, 68/3, Lonara Dist. Nagpur</x:v>
      </x:c>
      <x:c r="G142" s="49" t="str">
        <x:v>Un-Aided</x:v>
      </x:c>
      <x:c r="H142" s="49" t="str">
        <x:v>Autonomous</x:v>
      </x:c>
      <x:c r="I142" s="49" t="str">
        <x:v>Linguistic Minority - Sindhi</x:v>
      </x:c>
      <x:c r="J142" s="49" t="str">
        <x:v>Rashtrasant Tukadoji Maharaj Nagpur University</x:v>
      </x:c>
      <x:c r="K142" s="49" t="n">
        <x:v>6</x:v>
      </x:c>
      <x:c r="L142" s="49" t="n">
        <x:v>72</x:v>
      </x:c>
      <x:c r="M142" s="49" t="n">
        <x:v>31</x:v>
      </x:c>
      <x:c r="N142" s="49"/>
      <x:c r="O142" s="49" t="n">
        <x:v>41</x:v>
      </x:c>
      <x:c r="P142" s="49"/>
      <x:c r="Q142" s="49" t="str">
        <x:v>Parsed from official 2025-26 PDF</x:v>
      </x:c>
      <x:c r="R142" s="49" t="str">
        <x:v>2024-25</x:v>
      </x:c>
      <x:c r="S142" s="64" t="n">
        <x:v>95652</x:v>
      </x:c>
      <x:c r="T142" s="64" t="n">
        <x:v>14348</x:v>
      </x:c>
      <x:c r="U142" s="64" t="n">
        <x:v>110000</x:v>
      </x:c>
      <x:c r="V142" s="49" t="str">
        <x:v>Normal FRA-approved annual tuition + development fee; not seat-type-specific</x:v>
      </x:c>
      <x:c r="W142" s="49"/>
      <x:c r="X142" s="49"/>
      <x:c r="Y142" s="68"/>
      <x:c r="Z142" s="49"/>
      <x:c r="AA142" s="49"/>
      <x:c r="AB142" s="49" t="str">
        <x:v>Not centrally verified</x:v>
      </x:c>
      <x:c r="AC142" s="49" t="str">
        <x:v>Not centrally verified</x:v>
      </x:c>
      <x:c r="AD142" s="49" t="str">
        <x:v>Not centrally verified</x:v>
      </x:c>
      <x:c r="AE142" s="49" t="str">
        <x:v>Not available in a standardized official source</x:v>
      </x:c>
      <x:c r="AF142" s="49" t="str">
        <x:v>Not included: no official standardized source; cutoff-derived proxy excluded</x:v>
      </x:c>
      <x:c r="AG142" s="49" t="str">
        <x:v>https://dse2025.mahacet.org.in/dse25/admin/allotment/cap2/4139_4.pdf</x:v>
      </x:c>
      <x:c r="AH142" s="49" t="str">
        <x:v>https://fe2025.mahacet.org/StaticPages/frmInstituteSummary.aspx?InstituteCode=04139</x:v>
      </x:c>
      <x:c r="AI142" s="49"/>
      <x:c r="AJ142" s="49" t="str"/>
      <x:c r="AK142" s="69" t="n">
        <x:f>IF(W142&lt;&gt;"",50,IF(X142="101-150",45,IF(X142="151-200",40,IF(X142="201-300",35,0))))+IF(H142="Autonomous",20,0)+IF(OR(G142="Government",G142="Government-Aided",G142="University Department",G142="University",G142="University Autonomous"),15,0)+MIN(K142,10)+IF(AA142&lt;&gt;"",3,0)+IF(U142&lt;&gt;"",2,0)</x:f>
        <x:v>28</x:v>
      </x:c>
      <x:c r="AL142" s="49" t="str">
        <x:f>IF(AK142&gt;=70,"Official/high-evidence reference",IF(AK142&gt;=40,"Planning reference","Broader option"))</x:f>
        <x:v>Broader option</x:v>
      </x:c>
    </x:row>
    <x:row r="143">
      <x:c r="A143" s="63" t="n">
        <x:v>4141</x:v>
      </x:c>
      <x:c r="B143" s="49" t="str">
        <x:v>Shriram Gram Vikas Shikshan Sanstha, Vilasrao Deshmukh College of Engineering and Technology, Nagpur</x:v>
      </x:c>
      <x:c r="C143" s="49" t="str">
        <x:v>Maharashtra</x:v>
      </x:c>
      <x:c r="D143" s="49" t="str">
        <x:v>Nagpur</x:v>
      </x:c>
      <x:c r="E143" s="49" t="str">
        <x:v>Nagpur</x:v>
      </x:c>
      <x:c r="F143" s="49" t="str">
        <x:v>Sr. No.121, 262, At Mouza, Taluka Mauda, Bhandara Road, Nagpur</x:v>
      </x:c>
      <x:c r="G143" s="49" t="str">
        <x:v>Un-Aided</x:v>
      </x:c>
      <x:c r="H143" s="49" t="str">
        <x:v>Non-Autonomous</x:v>
      </x:c>
      <x:c r="I143" s="49" t="str">
        <x:v>Non-Minority</x:v>
      </x:c>
      <x:c r="J143" s="49" t="str">
        <x:v>Dr. Babasaheb Ambedkar Technological University,Lonere</x:v>
      </x:c>
      <x:c r="K143" s="49" t="n">
        <x:v>4</x:v>
      </x:c>
      <x:c r="L143" s="49" t="n">
        <x:v>230</x:v>
      </x:c>
      <x:c r="M143" s="49" t="n">
        <x:v>203</x:v>
      </x:c>
      <x:c r="N143" s="49" t="n">
        <x:v>27</x:v>
      </x:c>
      <x:c r="O143" s="49"/>
      <x:c r="P143" s="49"/>
      <x:c r="Q143" s="49" t="str">
        <x:v>Parsed from official 2025-26 PDF</x:v>
      </x:c>
      <x:c r="R143" s="49" t="str">
        <x:v>2024-25</x:v>
      </x:c>
      <x:c r="S143" s="64" t="n">
        <x:v>66363</x:v>
      </x:c>
      <x:c r="T143" s="64" t="n">
        <x:v>6637</x:v>
      </x:c>
      <x:c r="U143" s="64" t="n">
        <x:v>73000</x:v>
      </x:c>
      <x:c r="V143" s="49" t="str">
        <x:v>Normal FRA-approved annual tuition + development fee; not seat-type-specific</x:v>
      </x:c>
      <x:c r="W143" s="49"/>
      <x:c r="X143" s="49"/>
      <x:c r="Y143" s="68"/>
      <x:c r="Z143" s="49"/>
      <x:c r="AA143" s="49"/>
      <x:c r="AB143" s="49" t="str">
        <x:v>Not centrally verified</x:v>
      </x:c>
      <x:c r="AC143" s="49" t="str">
        <x:v>Not centrally verified</x:v>
      </x:c>
      <x:c r="AD143" s="49" t="str">
        <x:v>Not centrally verified</x:v>
      </x:c>
      <x:c r="AE143" s="49" t="str">
        <x:v>Not available in a standardized official source</x:v>
      </x:c>
      <x:c r="AF143" s="49" t="str">
        <x:v>Not included: no official standardized source; cutoff-derived proxy excluded</x:v>
      </x:c>
      <x:c r="AG143" s="49" t="str">
        <x:v>https://dse2025.mahacet.org.in/dse25/admin/allotment/cap2/4141_4.pdf</x:v>
      </x:c>
      <x:c r="AH143" s="49" t="str">
        <x:v>https://fe2025.mahacet.org/StaticPages/frmInstituteSummary.aspx?InstituteCode=04141</x:v>
      </x:c>
      <x:c r="AI143" s="49"/>
      <x:c r="AJ143" s="49" t="str"/>
      <x:c r="AK143" s="69" t="n">
        <x:f>IF(W143&lt;&gt;"",50,IF(X143="101-150",45,IF(X143="151-200",40,IF(X143="201-300",35,0))))+IF(H143="Autonomous",20,0)+IF(OR(G143="Government",G143="Government-Aided",G143="University Department",G143="University",G143="University Autonomous"),15,0)+MIN(K143,10)+IF(AA143&lt;&gt;"",3,0)+IF(U143&lt;&gt;"",2,0)</x:f>
        <x:v>6</x:v>
      </x:c>
      <x:c r="AL143" s="49" t="str">
        <x:f>IF(AK143&gt;=70,"Official/high-evidence reference",IF(AK143&gt;=40,"Planning reference","Broader option"))</x:f>
        <x:v>Broader option</x:v>
      </x:c>
    </x:row>
    <x:row r="144">
      <x:c r="A144" s="63" t="n">
        <x:v>4142</x:v>
      </x:c>
      <x:c r="B144" s="49" t="str">
        <x:v>G H Raisoni College of Engineering &amp; Management, Nagpur</x:v>
      </x:c>
      <x:c r="C144" s="49" t="str">
        <x:v>Maharashtra</x:v>
      </x:c>
      <x:c r="D144" s="49" t="str">
        <x:v>Nagpur</x:v>
      </x:c>
      <x:c r="E144" s="49" t="str">
        <x:v>Nagpur</x:v>
      </x:c>
      <x:c r="F144" s="49" t="str">
        <x:v>MIDC, Near Facor, Higna Wadi Road, Nagpur</x:v>
      </x:c>
      <x:c r="G144" s="49" t="str">
        <x:v>Un-Aided</x:v>
      </x:c>
      <x:c r="H144" s="49" t="str">
        <x:v>Autonomous</x:v>
      </x:c>
      <x:c r="I144" s="49" t="str">
        <x:v>Linguistic Minority - Hindi</x:v>
      </x:c>
      <x:c r="J144" s="49" t="str">
        <x:v>Rashtrasant Tukadoji Maharaj Nagpur University</x:v>
      </x:c>
      <x:c r="K144" s="49" t="n">
        <x:v>9</x:v>
      </x:c>
      <x:c r="L144" s="49" t="n">
        <x:v>99</x:v>
      </x:c>
      <x:c r="M144" s="49" t="n">
        <x:v>41</x:v>
      </x:c>
      <x:c r="N144" s="49"/>
      <x:c r="O144" s="49" t="n">
        <x:v>58</x:v>
      </x:c>
      <x:c r="P144" s="49"/>
      <x:c r="Q144" s="49" t="str">
        <x:v>Parsed from official 2025-26 PDF</x:v>
      </x:c>
      <x:c r="R144" s="49" t="str">
        <x:v>2024-25</x:v>
      </x:c>
      <x:c r="S144" s="64" t="n">
        <x:v>107391</x:v>
      </x:c>
      <x:c r="T144" s="64" t="n">
        <x:v>16109</x:v>
      </x:c>
      <x:c r="U144" s="64" t="n">
        <x:v>123500</x:v>
      </x:c>
      <x:c r="V144" s="49" t="str">
        <x:v>Normal FRA-approved annual tuition + development fee; not seat-type-specific</x:v>
      </x:c>
      <x:c r="W144" s="49"/>
      <x:c r="X144" s="49"/>
      <x:c r="Y144" s="68"/>
      <x:c r="Z144" s="49"/>
      <x:c r="AA144" s="49"/>
      <x:c r="AB144" s="49" t="str">
        <x:v>Not centrally verified</x:v>
      </x:c>
      <x:c r="AC144" s="49" t="str">
        <x:v>Not centrally verified</x:v>
      </x:c>
      <x:c r="AD144" s="49" t="str">
        <x:v>Not centrally verified</x:v>
      </x:c>
      <x:c r="AE144" s="49" t="str">
        <x:v>Not available in a standardized official source</x:v>
      </x:c>
      <x:c r="AF144" s="49" t="str">
        <x:v>Not included: no official standardized source; cutoff-derived proxy excluded</x:v>
      </x:c>
      <x:c r="AG144" s="49" t="str">
        <x:v>https://dse2025.mahacet.org.in/dse25/admin/allotment/cap2/4142_4.pdf</x:v>
      </x:c>
      <x:c r="AH144" s="49" t="str">
        <x:v>https://fe2025.mahacet.org/StaticPages/frmInstituteSummary.aspx?InstituteCode=04142</x:v>
      </x:c>
      <x:c r="AI144" s="49"/>
      <x:c r="AJ144" s="49" t="str"/>
      <x:c r="AK144" s="69" t="n">
        <x:f>IF(W144&lt;&gt;"",50,IF(X144="101-150",45,IF(X144="151-200",40,IF(X144="201-300",35,0))))+IF(H144="Autonomous",20,0)+IF(OR(G144="Government",G144="Government-Aided",G144="University Department",G144="University",G144="University Autonomous"),15,0)+MIN(K144,10)+IF(AA144&lt;&gt;"",3,0)+IF(U144&lt;&gt;"",2,0)</x:f>
        <x:v>31</x:v>
      </x:c>
      <x:c r="AL144" s="49" t="str">
        <x:f>IF(AK144&gt;=70,"Official/high-evidence reference",IF(AK144&gt;=40,"Planning reference","Broader option"))</x:f>
        <x:v>Broader option</x:v>
      </x:c>
    </x:row>
    <x:row r="145">
      <x:c r="A145" s="63" t="n">
        <x:v>4143</x:v>
      </x:c>
      <x:c r="B145" s="49" t="str">
        <x:v>Sanmarg Shikshan Sanstha, Mandukarrao Pandav College of Engineering, Bhandara</x:v>
      </x:c>
      <x:c r="C145" s="49" t="str">
        <x:v>Maharashtra</x:v>
      </x:c>
      <x:c r="D145" s="49" t="str">
        <x:v>Nagpur</x:v>
      </x:c>
      <x:c r="E145" s="49" t="str">
        <x:v>Bhandara</x:v>
      </x:c>
      <x:c r="F145" s="49" t="str">
        <x:v>Sr. No.183/1, Billewada, Taluka &amp; Dist Bhandara</x:v>
      </x:c>
      <x:c r="G145" s="49" t="str">
        <x:v>Un-Aided</x:v>
      </x:c>
      <x:c r="H145" s="49" t="str">
        <x:v>Non-Autonomous</x:v>
      </x:c>
      <x:c r="I145" s="49" t="str">
        <x:v>Non-Minority</x:v>
      </x:c>
      <x:c r="J145" s="49" t="str">
        <x:v>Rashtrasant Tukadoji Maharaj Nagpur University</x:v>
      </x:c>
      <x:c r="K145" s="49" t="n">
        <x:v>5</x:v>
      </x:c>
      <x:c r="L145" s="49" t="n">
        <x:v>241</x:v>
      </x:c>
      <x:c r="M145" s="49" t="n">
        <x:v>211</x:v>
      </x:c>
      <x:c r="N145" s="49" t="n">
        <x:v>30</x:v>
      </x:c>
      <x:c r="O145" s="49"/>
      <x:c r="P145" s="49"/>
      <x:c r="Q145" s="49" t="str">
        <x:v>Parsed from official 2025-26 PDF</x:v>
      </x:c>
      <x:c r="R145" s="49" t="str">
        <x:v>2024-25</x:v>
      </x:c>
      <x:c r="S145" s="64" t="n">
        <x:v>67273</x:v>
      </x:c>
      <x:c r="T145" s="64" t="n">
        <x:v>6727</x:v>
      </x:c>
      <x:c r="U145" s="64" t="n">
        <x:v>74000</x:v>
      </x:c>
      <x:c r="V145" s="49" t="str">
        <x:v>Normal FRA-approved annual tuition + development fee; not seat-type-specific</x:v>
      </x:c>
      <x:c r="W145" s="49"/>
      <x:c r="X145" s="49"/>
      <x:c r="Y145" s="68"/>
      <x:c r="Z145" s="49"/>
      <x:c r="AA145" s="49"/>
      <x:c r="AB145" s="49" t="str">
        <x:v>Not centrally verified</x:v>
      </x:c>
      <x:c r="AC145" s="49" t="str">
        <x:v>Not centrally verified</x:v>
      </x:c>
      <x:c r="AD145" s="49" t="str">
        <x:v>Not centrally verified</x:v>
      </x:c>
      <x:c r="AE145" s="49" t="str">
        <x:v>Not available in a standardized official source</x:v>
      </x:c>
      <x:c r="AF145" s="49" t="str">
        <x:v>Not included: no official standardized source; cutoff-derived proxy excluded</x:v>
      </x:c>
      <x:c r="AG145" s="49" t="str">
        <x:v>https://dse2025.mahacet.org.in/dse25/admin/allotment/cap2/4143_4.pdf</x:v>
      </x:c>
      <x:c r="AH145" s="49" t="str">
        <x:v>https://fe2025.mahacet.org/StaticPages/frmInstituteSummary.aspx?InstituteCode=04143</x:v>
      </x:c>
      <x:c r="AI145" s="49"/>
      <x:c r="AJ145" s="49" t="str"/>
      <x:c r="AK145" s="69" t="n">
        <x:f>IF(W145&lt;&gt;"",50,IF(X145="101-150",45,IF(X145="151-200",40,IF(X145="201-300",35,0))))+IF(H145="Autonomous",20,0)+IF(OR(G145="Government",G145="Government-Aided",G145="University Department",G145="University",G145="University Autonomous"),15,0)+MIN(K145,10)+IF(AA145&lt;&gt;"",3,0)+IF(U145&lt;&gt;"",2,0)</x:f>
        <x:v>7</x:v>
      </x:c>
      <x:c r="AL145" s="49" t="str">
        <x:f>IF(AK145&gt;=70,"Official/high-evidence reference",IF(AK145&gt;=40,"Planning reference","Broader option"))</x:f>
        <x:v>Broader option</x:v>
      </x:c>
    </x:row>
    <x:row r="146">
      <x:c r="A146" s="63" t="n">
        <x:v>4144</x:v>
      </x:c>
      <x:c r="B146" s="49" t="str">
        <x:v>Shri. Sai Shikshan Sanstha, Nagpur Institute of Technology, Nagpur</x:v>
      </x:c>
      <x:c r="C146" s="49" t="str">
        <x:v>Maharashtra</x:v>
      </x:c>
      <x:c r="D146" s="49" t="str">
        <x:v>Nagpur</x:v>
      </x:c>
      <x:c r="E146" s="49" t="str">
        <x:v>Nagpur</x:v>
      </x:c>
      <x:c r="F146" s="49" t="str">
        <x:v>Sr. No.13/2, Mahurzari, Katol Road, Taluka &amp; Dist Nagpur</x:v>
      </x:c>
      <x:c r="G146" s="49" t="str">
        <x:v>Un-Aided</x:v>
      </x:c>
      <x:c r="H146" s="49" t="str">
        <x:v>Non-Autonomous</x:v>
      </x:c>
      <x:c r="I146" s="49" t="str">
        <x:v>Non-Minority</x:v>
      </x:c>
      <x:c r="J146" s="49" t="str">
        <x:v>Rashtrasant Tukadoji Maharaj Nagpur University</x:v>
      </x:c>
      <x:c r="K146" s="49" t="n">
        <x:v>5</x:v>
      </x:c>
      <x:c r="L146" s="49" t="n">
        <x:v>93</x:v>
      </x:c>
      <x:c r="M146" s="49" t="n">
        <x:v>58</x:v>
      </x:c>
      <x:c r="N146" s="49" t="n">
        <x:v>35</x:v>
      </x:c>
      <x:c r="O146" s="49"/>
      <x:c r="P146" s="49"/>
      <x:c r="Q146" s="49" t="str">
        <x:v>Parsed from official 2025-26 PDF</x:v>
      </x:c>
      <x:c r="R146" s="49" t="str">
        <x:v>2024-25</x:v>
      </x:c>
      <x:c r="S146" s="64" t="n">
        <x:v>90505</x:v>
      </x:c>
      <x:c r="T146" s="64" t="n">
        <x:v>11495</x:v>
      </x:c>
      <x:c r="U146" s="64" t="n">
        <x:v>102000</x:v>
      </x:c>
      <x:c r="V146" s="49" t="str">
        <x:v>Normal FRA-approved annual tuition + development fee; not seat-type-specific</x:v>
      </x:c>
      <x:c r="W146" s="49"/>
      <x:c r="X146" s="49"/>
      <x:c r="Y146" s="68"/>
      <x:c r="Z146" s="49"/>
      <x:c r="AA146" s="49"/>
      <x:c r="AB146" s="49" t="str">
        <x:v>Not centrally verified</x:v>
      </x:c>
      <x:c r="AC146" s="49" t="str">
        <x:v>Not centrally verified</x:v>
      </x:c>
      <x:c r="AD146" s="49" t="str">
        <x:v>Not centrally verified</x:v>
      </x:c>
      <x:c r="AE146" s="49" t="str">
        <x:v>Not available in a standardized official source</x:v>
      </x:c>
      <x:c r="AF146" s="49" t="str">
        <x:v>Not included: no official standardized source; cutoff-derived proxy excluded</x:v>
      </x:c>
      <x:c r="AG146" s="49" t="str">
        <x:v>https://dse2025.mahacet.org.in/dse25/admin/allotment/cap2/4144_4.pdf</x:v>
      </x:c>
      <x:c r="AH146" s="49" t="str">
        <x:v>https://fe2025.mahacet.org/StaticPages/frmInstituteSummary.aspx?InstituteCode=04144</x:v>
      </x:c>
      <x:c r="AI146" s="49"/>
      <x:c r="AJ146" s="49" t="str"/>
      <x:c r="AK146" s="69" t="n">
        <x:f>IF(W146&lt;&gt;"",50,IF(X146="101-150",45,IF(X146="151-200",40,IF(X146="201-300",35,0))))+IF(H146="Autonomous",20,0)+IF(OR(G146="Government",G146="Government-Aided",G146="University Department",G146="University",G146="University Autonomous"),15,0)+MIN(K146,10)+IF(AA146&lt;&gt;"",3,0)+IF(U146&lt;&gt;"",2,0)</x:f>
        <x:v>7</x:v>
      </x:c>
      <x:c r="AL146" s="49" t="str">
        <x:f>IF(AK146&gt;=70,"Official/high-evidence reference",IF(AK146&gt;=40,"Planning reference","Broader option"))</x:f>
        <x:v>Broader option</x:v>
      </x:c>
    </x:row>
    <x:row r="147">
      <x:c r="A147" s="63" t="n">
        <x:v>4145</x:v>
      </x:c>
      <x:c r="B147" s="49" t="str">
        <x:v>Wainganga College of Engineering and Management, Dongargaon, Nagpur</x:v>
      </x:c>
      <x:c r="C147" s="49" t="str">
        <x:v>Maharashtra</x:v>
      </x:c>
      <x:c r="D147" s="49" t="str">
        <x:v>Nagpur</x:v>
      </x:c>
      <x:c r="E147" s="49" t="str">
        <x:v>Nagpur</x:v>
      </x:c>
      <x:c r="F147" s="49" t="str">
        <x:v>Dongargoan, Near Gumgaon Railway Station, Post - Gumgaon, Wardha road, Nagpur</x:v>
      </x:c>
      <x:c r="G147" s="49" t="str">
        <x:v>Un-Aided</x:v>
      </x:c>
      <x:c r="H147" s="49" t="str">
        <x:v>Autonomous</x:v>
      </x:c>
      <x:c r="I147" s="49" t="str">
        <x:v>Non-Minority</x:v>
      </x:c>
      <x:c r="J147" s="49" t="str">
        <x:v>Rashtrasant Tukadoji Maharaj Nagpur University</x:v>
      </x:c>
      <x:c r="K147" s="49" t="n">
        <x:v>6</x:v>
      </x:c>
      <x:c r="L147" s="49" t="n">
        <x:v>91</x:v>
      </x:c>
      <x:c r="M147" s="49" t="n">
        <x:v>59</x:v>
      </x:c>
      <x:c r="N147" s="49" t="n">
        <x:v>32</x:v>
      </x:c>
      <x:c r="O147" s="49"/>
      <x:c r="P147" s="49"/>
      <x:c r="Q147" s="49" t="str">
        <x:v>Parsed from official 2025-26 PDF</x:v>
      </x:c>
      <x:c r="R147" s="49" t="str">
        <x:v>2024-25</x:v>
      </x:c>
      <x:c r="S147" s="64" t="n">
        <x:v>79506</x:v>
      </x:c>
      <x:c r="T147" s="64" t="n">
        <x:v>10494</x:v>
      </x:c>
      <x:c r="U147" s="64" t="n">
        <x:v>90000</x:v>
      </x:c>
      <x:c r="V147" s="49" t="str">
        <x:v>Normal FRA-approved annual tuition + development fee; not seat-type-specific</x:v>
      </x:c>
      <x:c r="W147" s="49"/>
      <x:c r="X147" s="49"/>
      <x:c r="Y147" s="68"/>
      <x:c r="Z147" s="49"/>
      <x:c r="AA147" s="49"/>
      <x:c r="AB147" s="49" t="str">
        <x:v>Not centrally verified</x:v>
      </x:c>
      <x:c r="AC147" s="49" t="str">
        <x:v>Not centrally verified</x:v>
      </x:c>
      <x:c r="AD147" s="49" t="str">
        <x:v>Not centrally verified</x:v>
      </x:c>
      <x:c r="AE147" s="49" t="str">
        <x:v>Not available in a standardized official source</x:v>
      </x:c>
      <x:c r="AF147" s="49" t="str">
        <x:v>Not included: no official standardized source; cutoff-derived proxy excluded</x:v>
      </x:c>
      <x:c r="AG147" s="49" t="str">
        <x:v>https://dse2025.mahacet.org.in/dse25/admin/allotment/cap2/4145_4.pdf</x:v>
      </x:c>
      <x:c r="AH147" s="49" t="str">
        <x:v>https://fe2025.mahacet.org/StaticPages/frmInstituteSummary.aspx?InstituteCode=04145</x:v>
      </x:c>
      <x:c r="AI147" s="49"/>
      <x:c r="AJ147" s="49" t="str"/>
      <x:c r="AK147" s="69" t="n">
        <x:f>IF(W147&lt;&gt;"",50,IF(X147="101-150",45,IF(X147="151-200",40,IF(X147="201-300",35,0))))+IF(H147="Autonomous",20,0)+IF(OR(G147="Government",G147="Government-Aided",G147="University Department",G147="University",G147="University Autonomous"),15,0)+MIN(K147,10)+IF(AA147&lt;&gt;"",3,0)+IF(U147&lt;&gt;"",2,0)</x:f>
        <x:v>28</x:v>
      </x:c>
      <x:c r="AL147" s="49" t="str">
        <x:f>IF(AK147&gt;=70,"Official/high-evidence reference",IF(AK147&gt;=40,"Planning reference","Broader option"))</x:f>
        <x:v>Broader option</x:v>
      </x:c>
    </x:row>
    <x:row r="148">
      <x:c r="A148" s="63" t="n">
        <x:v>4147</x:v>
      </x:c>
      <x:c r="B148" s="49" t="str">
        <x:v>K.D.K. College of Engineering, Nagpur</x:v>
      </x:c>
      <x:c r="C148" s="49" t="str">
        <x:v>Maharashtra</x:v>
      </x:c>
      <x:c r="D148" s="49" t="str">
        <x:v>Nagpur</x:v>
      </x:c>
      <x:c r="E148" s="49" t="str">
        <x:v>Nagpur</x:v>
      </x:c>
      <x:c r="F148" s="49" t="str">
        <x:v>Great Nag Road, Nandanvan, Nagpur</x:v>
      </x:c>
      <x:c r="G148" s="49" t="str">
        <x:v>Un-Aided</x:v>
      </x:c>
      <x:c r="H148" s="49" t="str">
        <x:v>Autonomous</x:v>
      </x:c>
      <x:c r="I148" s="49" t="str">
        <x:v>Non-Minority</x:v>
      </x:c>
      <x:c r="J148" s="49" t="str">
        <x:v>Rashtrasant Tukadoji Maharaj Nagpur University</x:v>
      </x:c>
      <x:c r="K148" s="49" t="n">
        <x:v>7</x:v>
      </x:c>
      <x:c r="L148" s="49" t="n">
        <x:v>125</x:v>
      </x:c>
      <x:c r="M148" s="49" t="n">
        <x:v>91</x:v>
      </x:c>
      <x:c r="N148" s="49" t="n">
        <x:v>34</x:v>
      </x:c>
      <x:c r="O148" s="49"/>
      <x:c r="P148" s="49"/>
      <x:c r="Q148" s="49" t="str">
        <x:v>Parsed from official 2025-26 PDF</x:v>
      </x:c>
      <x:c r="R148" s="49" t="str">
        <x:v>2024-25</x:v>
      </x:c>
      <x:c r="S148" s="64" t="n">
        <x:v>106956</x:v>
      </x:c>
      <x:c r="T148" s="64" t="n">
        <x:v>16044</x:v>
      </x:c>
      <x:c r="U148" s="64" t="n">
        <x:v>123000</x:v>
      </x:c>
      <x:c r="V148" s="49" t="str">
        <x:v>Normal FRA-approved annual tuition + development fee; not seat-type-specific</x:v>
      </x:c>
      <x:c r="W148" s="49"/>
      <x:c r="X148" s="49"/>
      <x:c r="Y148" s="68"/>
      <x:c r="Z148" s="49"/>
      <x:c r="AA148" s="49"/>
      <x:c r="AB148" s="49" t="str">
        <x:v>Not centrally verified</x:v>
      </x:c>
      <x:c r="AC148" s="49" t="str">
        <x:v>Not centrally verified</x:v>
      </x:c>
      <x:c r="AD148" s="49" t="str">
        <x:v>Not centrally verified</x:v>
      </x:c>
      <x:c r="AE148" s="49" t="str">
        <x:v>Not available in a standardized official source</x:v>
      </x:c>
      <x:c r="AF148" s="49" t="str">
        <x:v>Not included: no official standardized source; cutoff-derived proxy excluded</x:v>
      </x:c>
      <x:c r="AG148" s="49" t="str">
        <x:v>https://dse2025.mahacet.org.in/dse25/admin/allotment/cap2/4147_4.pdf</x:v>
      </x:c>
      <x:c r="AH148" s="49" t="str">
        <x:v>https://fe2025.mahacet.org/StaticPages/frmInstituteSummary.aspx?InstituteCode=04147</x:v>
      </x:c>
      <x:c r="AI148" s="49"/>
      <x:c r="AJ148" s="49" t="str"/>
      <x:c r="AK148" s="69" t="n">
        <x:f>IF(W148&lt;&gt;"",50,IF(X148="101-150",45,IF(X148="151-200",40,IF(X148="201-300",35,0))))+IF(H148="Autonomous",20,0)+IF(OR(G148="Government",G148="Government-Aided",G148="University Department",G148="University",G148="University Autonomous"),15,0)+MIN(K148,10)+IF(AA148&lt;&gt;"",3,0)+IF(U148&lt;&gt;"",2,0)</x:f>
        <x:v>29</x:v>
      </x:c>
      <x:c r="AL148" s="49" t="str">
        <x:f>IF(AK148&gt;=70,"Official/high-evidence reference",IF(AK148&gt;=40,"Planning reference","Broader option"))</x:f>
        <x:v>Broader option</x:v>
      </x:c>
    </x:row>
    <x:row r="149">
      <x:c r="A149" s="63" t="n">
        <x:v>4151</x:v>
      </x:c>
      <x:c r="B149" s="49" t="str">
        <x:v>Tulsiramji Gaikwad Patil College of Engineering &amp; Technology, Nagpur</x:v>
      </x:c>
      <x:c r="C149" s="49" t="str">
        <x:v>Maharashtra</x:v>
      </x:c>
      <x:c r="D149" s="49" t="str">
        <x:v>Nagpur</x:v>
      </x:c>
      <x:c r="E149" s="49" t="str">
        <x:v>Nagpur</x:v>
      </x:c>
      <x:c r="F149" s="49" t="str">
        <x:v>Kh. No. 8/1, Mohgaon,Wardha Road,Nagpur</x:v>
      </x:c>
      <x:c r="G149" s="49" t="str">
        <x:v>Un-Aided</x:v>
      </x:c>
      <x:c r="H149" s="49" t="str">
        <x:v>Autonomous</x:v>
      </x:c>
      <x:c r="I149" s="49" t="str">
        <x:v>Non-Minority</x:v>
      </x:c>
      <x:c r="J149" s="49" t="str">
        <x:v>Rashtrasant Tukadoji Maharaj Nagpur University</x:v>
      </x:c>
      <x:c r="K149" s="49" t="n">
        <x:v>10</x:v>
      </x:c>
      <x:c r="L149" s="49" t="n">
        <x:v>218</x:v>
      </x:c>
      <x:c r="M149" s="49" t="n">
        <x:v>134</x:v>
      </x:c>
      <x:c r="N149" s="49" t="n">
        <x:v>84</x:v>
      </x:c>
      <x:c r="O149" s="49"/>
      <x:c r="P149" s="49"/>
      <x:c r="Q149" s="49" t="str">
        <x:v>Parsed from official 2025-26 PDF</x:v>
      </x:c>
      <x:c r="R149" s="49" t="str">
        <x:v>2024-25</x:v>
      </x:c>
      <x:c r="S149" s="64" t="n">
        <x:v>89565</x:v>
      </x:c>
      <x:c r="T149" s="64" t="n">
        <x:v>13435</x:v>
      </x:c>
      <x:c r="U149" s="64" t="n">
        <x:v>103000</x:v>
      </x:c>
      <x:c r="V149" s="49" t="str">
        <x:v>Normal FRA-approved annual tuition + development fee; not seat-type-specific</x:v>
      </x:c>
      <x:c r="W149" s="49"/>
      <x:c r="X149" s="49"/>
      <x:c r="Y149" s="68"/>
      <x:c r="Z149" s="49"/>
      <x:c r="AA149" s="49"/>
      <x:c r="AB149" s="49" t="str">
        <x:v>Not centrally verified</x:v>
      </x:c>
      <x:c r="AC149" s="49" t="str">
        <x:v>Not centrally verified</x:v>
      </x:c>
      <x:c r="AD149" s="49" t="str">
        <x:v>Not centrally verified</x:v>
      </x:c>
      <x:c r="AE149" s="49" t="str">
        <x:v>Not available in a standardized official source</x:v>
      </x:c>
      <x:c r="AF149" s="49" t="str">
        <x:v>Not included: no official standardized source; cutoff-derived proxy excluded</x:v>
      </x:c>
      <x:c r="AG149" s="49" t="str">
        <x:v>https://dse2025.mahacet.org.in/dse25/admin/allotment/cap2/4151_4.pdf</x:v>
      </x:c>
      <x:c r="AH149" s="49" t="str">
        <x:v>https://fe2025.mahacet.org/StaticPages/frmInstituteSummary.aspx?InstituteCode=04151</x:v>
      </x:c>
      <x:c r="AI149" s="49"/>
      <x:c r="AJ149" s="49" t="str"/>
      <x:c r="AK149" s="69" t="n">
        <x:f>IF(W149&lt;&gt;"",50,IF(X149="101-150",45,IF(X149="151-200",40,IF(X149="201-300",35,0))))+IF(H149="Autonomous",20,0)+IF(OR(G149="Government",G149="Government-Aided",G149="University Department",G149="University",G149="University Autonomous"),15,0)+MIN(K149,10)+IF(AA149&lt;&gt;"",3,0)+IF(U149&lt;&gt;"",2,0)</x:f>
        <x:v>32</x:v>
      </x:c>
      <x:c r="AL149" s="49" t="str">
        <x:f>IF(AK149&gt;=70,"Official/high-evidence reference",IF(AK149&gt;=40,"Planning reference","Broader option"))</x:f>
        <x:v>Broader option</x:v>
      </x:c>
    </x:row>
    <x:row r="150">
      <x:c r="A150" s="63" t="n">
        <x:v>4163</x:v>
      </x:c>
      <x:c r="B150" s="49" t="str">
        <x:v>Rajiv Gandhi College of Engineering Research &amp; Technology Chandrapur</x:v>
      </x:c>
      <x:c r="C150" s="49" t="str">
        <x:v>Maharashtra</x:v>
      </x:c>
      <x:c r="D150" s="49" t="str">
        <x:v>Nagpur</x:v>
      </x:c>
      <x:c r="E150" s="49" t="str">
        <x:v>Chandrapur</x:v>
      </x:c>
      <x:c r="F150" s="49" t="str">
        <x:v>Ballarpur Road Babupeth Dist. Chandrapur</x:v>
      </x:c>
      <x:c r="G150" s="49" t="str">
        <x:v>Un-Aided</x:v>
      </x:c>
      <x:c r="H150" s="49" t="str">
        <x:v>Non-Autonomous</x:v>
      </x:c>
      <x:c r="I150" s="49" t="str">
        <x:v>Non-Minority</x:v>
      </x:c>
      <x:c r="J150" s="49" t="str">
        <x:v>Dr. Babasaheb Ambedkar Technological University,Lonere</x:v>
      </x:c>
      <x:c r="K150" s="49" t="n">
        <x:v>7</x:v>
      </x:c>
      <x:c r="L150" s="49" t="n">
        <x:v>126</x:v>
      </x:c>
      <x:c r="M150" s="49" t="n">
        <x:v>91</x:v>
      </x:c>
      <x:c r="N150" s="49" t="n">
        <x:v>35</x:v>
      </x:c>
      <x:c r="O150" s="49"/>
      <x:c r="P150" s="49"/>
      <x:c r="Q150" s="49" t="str">
        <x:v>Parsed from official 2025-26 PDF</x:v>
      </x:c>
      <x:c r="R150" s="49" t="str">
        <x:v>2024-25</x:v>
      </x:c>
      <x:c r="S150" s="64" t="n">
        <x:v>107965</x:v>
      </x:c>
      <x:c r="T150" s="64" t="n">
        <x:v>14035</x:v>
      </x:c>
      <x:c r="U150" s="64" t="n">
        <x:v>122000</x:v>
      </x:c>
      <x:c r="V150" s="49" t="str">
        <x:v>Normal FRA-approved annual tuition + development fee; not seat-type-specific</x:v>
      </x:c>
      <x:c r="W150" s="49"/>
      <x:c r="X150" s="49"/>
      <x:c r="Y150" s="68"/>
      <x:c r="Z150" s="49"/>
      <x:c r="AA150" s="49"/>
      <x:c r="AB150" s="49" t="str">
        <x:v>Not centrally verified</x:v>
      </x:c>
      <x:c r="AC150" s="49" t="str">
        <x:v>Not centrally verified</x:v>
      </x:c>
      <x:c r="AD150" s="49" t="str">
        <x:v>Not centrally verified</x:v>
      </x:c>
      <x:c r="AE150" s="49" t="str">
        <x:v>Not available in a standardized official source</x:v>
      </x:c>
      <x:c r="AF150" s="49" t="str">
        <x:v>Not included: no official standardized source; cutoff-derived proxy excluded</x:v>
      </x:c>
      <x:c r="AG150" s="49" t="str">
        <x:v>https://dse2025.mahacet.org.in/dse25/admin/allotment/cap2/4163_4.pdf</x:v>
      </x:c>
      <x:c r="AH150" s="49" t="str">
        <x:v>https://fe2025.mahacet.org/StaticPages/frmInstituteSummary.aspx?InstituteCode=04163</x:v>
      </x:c>
      <x:c r="AI150" s="49"/>
      <x:c r="AJ150" s="49" t="str"/>
      <x:c r="AK150" s="69" t="n">
        <x:f>IF(W150&lt;&gt;"",50,IF(X150="101-150",45,IF(X150="151-200",40,IF(X150="201-300",35,0))))+IF(H150="Autonomous",20,0)+IF(OR(G150="Government",G150="Government-Aided",G150="University Department",G150="University",G150="University Autonomous"),15,0)+MIN(K150,10)+IF(AA150&lt;&gt;"",3,0)+IF(U150&lt;&gt;"",2,0)</x:f>
        <x:v>9</x:v>
      </x:c>
      <x:c r="AL150" s="49" t="str">
        <x:f>IF(AK150&gt;=70,"Official/high-evidence reference",IF(AK150&gt;=40,"Planning reference","Broader option"))</x:f>
        <x:v>Broader option</x:v>
      </x:c>
    </x:row>
    <x:row r="151">
      <x:c r="A151" s="63" t="n">
        <x:v>4167</x:v>
      </x:c>
      <x:c r="B151" s="49" t="str">
        <x:v>Yeshwantrao Chavan College of Engineering,Wanadongri, Nagpur</x:v>
      </x:c>
      <x:c r="C151" s="49" t="str">
        <x:v>Maharashtra</x:v>
      </x:c>
      <x:c r="D151" s="49" t="str">
        <x:v>Nagpur</x:v>
      </x:c>
      <x:c r="E151" s="49" t="str">
        <x:v>Nagpur</x:v>
      </x:c>
      <x:c r="F151" s="49" t="str">
        <x:v>Hingna Road, Wanadongri, Nagpur 441110</x:v>
      </x:c>
      <x:c r="G151" s="49" t="str">
        <x:v>Un-Aided</x:v>
      </x:c>
      <x:c r="H151" s="49" t="str">
        <x:v>Autonomous</x:v>
      </x:c>
      <x:c r="I151" s="49" t="str">
        <x:v>Non-Minority</x:v>
      </x:c>
      <x:c r="J151" s="49" t="str">
        <x:v>Rashtrasant Tukadoji Maharaj Nagpur University</x:v>
      </x:c>
      <x:c r="K151" s="49" t="n">
        <x:v>13</x:v>
      </x:c>
      <x:c r="L151" s="49" t="n">
        <x:v>233</x:v>
      </x:c>
      <x:c r="M151" s="49" t="n">
        <x:v>193</x:v>
      </x:c>
      <x:c r="N151" s="49" t="n">
        <x:v>40</x:v>
      </x:c>
      <x:c r="O151" s="49"/>
      <x:c r="P151" s="49"/>
      <x:c r="Q151" s="49" t="str">
        <x:v>Parsed from official 2025-26 PDF</x:v>
      </x:c>
      <x:c r="R151" s="49" t="str">
        <x:v>2024-25</x:v>
      </x:c>
      <x:c r="S151" s="64" t="n">
        <x:v>139131</x:v>
      </x:c>
      <x:c r="T151" s="64" t="n">
        <x:v>20869</x:v>
      </x:c>
      <x:c r="U151" s="64" t="n">
        <x:v>160000</x:v>
      </x:c>
      <x:c r="V151" s="49" t="str">
        <x:v>Normal FRA-approved annual tuition + development fee; not seat-type-specific</x:v>
      </x:c>
      <x:c r="W151" s="49"/>
      <x:c r="X151" s="49" t="str">
        <x:v>151-200</x:v>
      </x:c>
      <x:c r="Y151" s="68"/>
      <x:c r="Z151" s="49" t="str">
        <x:v>Yeshwantrao Chavan College of Engineering</x:v>
      </x:c>
      <x:c r="AA151" s="49" t="str">
        <x:v>https://ycce.edu/</x:v>
      </x:c>
      <x:c r="AB151" s="49" t="str">
        <x:v>Verified official domain</x:v>
      </x:c>
      <x:c r="AC151" s="49" t="str">
        <x:v>Not centrally verified</x:v>
      </x:c>
      <x:c r="AD151" s="49" t="str">
        <x:v>Not centrally verified</x:v>
      </x:c>
      <x:c r="AE151" s="49" t="str">
        <x:v>Not available in a standardized official source</x:v>
      </x:c>
      <x:c r="AF151" s="49" t="str">
        <x:v>Not included: no official standardized source; cutoff-derived proxy excluded</x:v>
      </x:c>
      <x:c r="AG151" s="49" t="str">
        <x:v>https://dse2025.mahacet.org.in/dse25/admin/allotment/cap2/4167_4.pdf</x:v>
      </x:c>
      <x:c r="AH151" s="49" t="str">
        <x:v>https://fe2025.mahacet.org/StaticPages/frmInstituteSummary.aspx?InstituteCode=04167</x:v>
      </x:c>
      <x:c r="AI151" s="49" t="str">
        <x:v>https://www.nirfindia.org/Rankings/2025/EngineeringRanking200.html</x:v>
      </x:c>
      <x:c r="AJ151" s="49" t="str"/>
      <x:c r="AK151" s="69" t="n">
        <x:f>IF(W151&lt;&gt;"",50,IF(X151="101-150",45,IF(X151="151-200",40,IF(X151="201-300",35,0))))+IF(H151="Autonomous",20,0)+IF(OR(G151="Government",G151="Government-Aided",G151="University Department",G151="University",G151="University Autonomous"),15,0)+MIN(K151,10)+IF(AA151&lt;&gt;"",3,0)+IF(U151&lt;&gt;"",2,0)</x:f>
        <x:v>75</x:v>
      </x:c>
      <x:c r="AL151" s="49" t="str">
        <x:f>IF(AK151&gt;=70,"Official/high-evidence reference",IF(AK151&gt;=40,"Planning reference","Broader option"))</x:f>
        <x:v>Official/high-evidence reference</x:v>
      </x:c>
    </x:row>
    <x:row r="152">
      <x:c r="A152" s="63" t="n">
        <x:v>4172</x:v>
      </x:c>
      <x:c r="B152" s="49" t="str">
        <x:v>Anjuman College of Engineering &amp; Technology, Nagpur</x:v>
      </x:c>
      <x:c r="C152" s="49" t="str">
        <x:v>Maharashtra</x:v>
      </x:c>
      <x:c r="D152" s="49" t="str">
        <x:v>Nagpur</x:v>
      </x:c>
      <x:c r="E152" s="49" t="str">
        <x:v>Nagpur</x:v>
      </x:c>
      <x:c r="F152" s="49" t="str">
        <x:v>Mangalwari Bazar Road, Sadar, Nagpur</x:v>
      </x:c>
      <x:c r="G152" s="49" t="str">
        <x:v>Un-Aided</x:v>
      </x:c>
      <x:c r="H152" s="49" t="str">
        <x:v>Non-Autonomous</x:v>
      </x:c>
      <x:c r="I152" s="49" t="str">
        <x:v>Religious Minority - Muslim</x:v>
      </x:c>
      <x:c r="J152" s="49" t="str">
        <x:v>Rashtrasant Tukadoji Maharaj Nagpur University</x:v>
      </x:c>
      <x:c r="K152" s="49" t="n">
        <x:v>6</x:v>
      </x:c>
      <x:c r="L152" s="49" t="n">
        <x:v>64</x:v>
      </x:c>
      <x:c r="M152" s="49" t="n">
        <x:v>27</x:v>
      </x:c>
      <x:c r="N152" s="49"/>
      <x:c r="O152" s="49" t="n">
        <x:v>37</x:v>
      </x:c>
      <x:c r="P152" s="49"/>
      <x:c r="Q152" s="49" t="str">
        <x:v>Parsed from official 2025-26 PDF</x:v>
      </x:c>
      <x:c r="R152" s="49" t="str">
        <x:v>2024-25</x:v>
      </x:c>
      <x:c r="S152" s="64" t="n">
        <x:v>91227</x:v>
      </x:c>
      <x:c r="T152" s="64" t="n">
        <x:v>12773</x:v>
      </x:c>
      <x:c r="U152" s="64" t="n">
        <x:v>104000</x:v>
      </x:c>
      <x:c r="V152" s="49" t="str">
        <x:v>Normal FRA-approved annual tuition + development fee; not seat-type-specific</x:v>
      </x:c>
      <x:c r="W152" s="49"/>
      <x:c r="X152" s="49"/>
      <x:c r="Y152" s="68"/>
      <x:c r="Z152" s="49"/>
      <x:c r="AA152" s="49"/>
      <x:c r="AB152" s="49" t="str">
        <x:v>Not centrally verified</x:v>
      </x:c>
      <x:c r="AC152" s="49" t="str">
        <x:v>Not centrally verified</x:v>
      </x:c>
      <x:c r="AD152" s="49" t="str">
        <x:v>Not centrally verified</x:v>
      </x:c>
      <x:c r="AE152" s="49" t="str">
        <x:v>Not available in a standardized official source</x:v>
      </x:c>
      <x:c r="AF152" s="49" t="str">
        <x:v>Not included: no official standardized source; cutoff-derived proxy excluded</x:v>
      </x:c>
      <x:c r="AG152" s="49" t="str">
        <x:v>https://dse2025.mahacet.org.in/dse25/admin/allotment/cap2/4172_4.pdf</x:v>
      </x:c>
      <x:c r="AH152" s="49" t="str">
        <x:v>https://fe2025.mahacet.org/StaticPages/frmInstituteSummary.aspx?InstituteCode=04172</x:v>
      </x:c>
      <x:c r="AI152" s="49"/>
      <x:c r="AJ152" s="49" t="str"/>
      <x:c r="AK152" s="69" t="n">
        <x:f>IF(W152&lt;&gt;"",50,IF(X152="101-150",45,IF(X152="151-200",40,IF(X152="201-300",35,0))))+IF(H152="Autonomous",20,0)+IF(OR(G152="Government",G152="Government-Aided",G152="University Department",G152="University",G152="University Autonomous"),15,0)+MIN(K152,10)+IF(AA152&lt;&gt;"",3,0)+IF(U152&lt;&gt;"",2,0)</x:f>
        <x:v>8</x:v>
      </x:c>
      <x:c r="AL152" s="49" t="str">
        <x:f>IF(AK152&gt;=70,"Official/high-evidence reference",IF(AK152&gt;=40,"Planning reference","Broader option"))</x:f>
        <x:v>Broader option</x:v>
      </x:c>
    </x:row>
    <x:row r="153">
      <x:c r="A153" s="63" t="n">
        <x:v>4174</x:v>
      </x:c>
      <x:c r="B153" s="49" t="str">
        <x:v>ST. Vincent Pallotti College of Engineering &amp; Technology, Nagpur</x:v>
      </x:c>
      <x:c r="C153" s="49" t="str">
        <x:v>Maharashtra</x:v>
      </x:c>
      <x:c r="D153" s="49" t="str">
        <x:v>Nagpur</x:v>
      </x:c>
      <x:c r="E153" s="49" t="str">
        <x:v>Nagpur</x:v>
      </x:c>
      <x:c r="F153" s="49" t="str">
        <x:v>Gavsi Manapur, Wardha Road, Nagpur</x:v>
      </x:c>
      <x:c r="G153" s="49" t="str">
        <x:v>Un-Aided</x:v>
      </x:c>
      <x:c r="H153" s="49" t="str">
        <x:v>Autonomous</x:v>
      </x:c>
      <x:c r="I153" s="49" t="str">
        <x:v>Religious Minority - Christian</x:v>
      </x:c>
      <x:c r="J153" s="49" t="str">
        <x:v>Rashtrasant Tukadoji Maharaj Nagpur University</x:v>
      </x:c>
      <x:c r="K153" s="49" t="n">
        <x:v>11</x:v>
      </x:c>
      <x:c r="L153" s="49" t="n">
        <x:v>86</x:v>
      </x:c>
      <x:c r="M153" s="49" t="n">
        <x:v>33</x:v>
      </x:c>
      <x:c r="N153" s="49"/>
      <x:c r="O153" s="49" t="n">
        <x:v>53</x:v>
      </x:c>
      <x:c r="P153" s="49"/>
      <x:c r="Q153" s="49" t="str">
        <x:v>Parsed from official 2025-26 PDF</x:v>
      </x:c>
      <x:c r="R153" s="49" t="str">
        <x:v>2024-25</x:v>
      </x:c>
      <x:c r="S153" s="64" t="n">
        <x:v>110000</x:v>
      </x:c>
      <x:c r="T153" s="64" t="n">
        <x:v>16500</x:v>
      </x:c>
      <x:c r="U153" s="64" t="n">
        <x:v>126500</x:v>
      </x:c>
      <x:c r="V153" s="49" t="str">
        <x:v>Normal FRA-approved annual tuition + development fee; not seat-type-specific</x:v>
      </x:c>
      <x:c r="W153" s="49"/>
      <x:c r="X153" s="49"/>
      <x:c r="Y153" s="68"/>
      <x:c r="Z153" s="49"/>
      <x:c r="AA153" s="49"/>
      <x:c r="AB153" s="49" t="str">
        <x:v>Not centrally verified</x:v>
      </x:c>
      <x:c r="AC153" s="49" t="str">
        <x:v>Not centrally verified</x:v>
      </x:c>
      <x:c r="AD153" s="49" t="str">
        <x:v>Not centrally verified</x:v>
      </x:c>
      <x:c r="AE153" s="49" t="str">
        <x:v>Not available in a standardized official source</x:v>
      </x:c>
      <x:c r="AF153" s="49" t="str">
        <x:v>Not included: no official standardized source; cutoff-derived proxy excluded</x:v>
      </x:c>
      <x:c r="AG153" s="49" t="str">
        <x:v>https://dse2025.mahacet.org.in/dse25/admin/allotment/cap2/4174_4.pdf</x:v>
      </x:c>
      <x:c r="AH153" s="49" t="str">
        <x:v>https://fe2025.mahacet.org/StaticPages/frmInstituteSummary.aspx?InstituteCode=04174</x:v>
      </x:c>
      <x:c r="AI153" s="49"/>
      <x:c r="AJ153" s="49" t="str"/>
      <x:c r="AK153" s="69" t="n">
        <x:f>IF(W153&lt;&gt;"",50,IF(X153="101-150",45,IF(X153="151-200",40,IF(X153="201-300",35,0))))+IF(H153="Autonomous",20,0)+IF(OR(G153="Government",G153="Government-Aided",G153="University Department",G153="University",G153="University Autonomous"),15,0)+MIN(K153,10)+IF(AA153&lt;&gt;"",3,0)+IF(U153&lt;&gt;"",2,0)</x:f>
        <x:v>32</x:v>
      </x:c>
      <x:c r="AL153" s="49" t="str">
        <x:f>IF(AK153&gt;=70,"Official/high-evidence reference",IF(AK153&gt;=40,"Planning reference","Broader option"))</x:f>
        <x:v>Broader option</x:v>
      </x:c>
    </x:row>
    <x:row r="154">
      <x:c r="A154" s="63" t="n">
        <x:v>4175</x:v>
      </x:c>
      <x:c r="B154" s="49" t="str">
        <x:v>JMSS Shri Shankarprasad Agnihotri College of Engineering, Wardha</x:v>
      </x:c>
      <x:c r="C154" s="49" t="str">
        <x:v>Maharashtra</x:v>
      </x:c>
      <x:c r="D154" s="49" t="str">
        <x:v>Nagpur</x:v>
      </x:c>
      <x:c r="E154" s="49" t="str">
        <x:v>Wardha</x:v>
      </x:c>
      <x:c r="F154" s="49" t="str">
        <x:v>Agnihotri College Campus, Bapujiwadi, Ramnagar, Wardha</x:v>
      </x:c>
      <x:c r="G154" s="49" t="str">
        <x:v>Un-Aided</x:v>
      </x:c>
      <x:c r="H154" s="49" t="str">
        <x:v>Non-Autonomous</x:v>
      </x:c>
      <x:c r="I154" s="49" t="str">
        <x:v>Non-Minority</x:v>
      </x:c>
      <x:c r="J154" s="49" t="str">
        <x:v>Rashtrasant Tukadoji Maharaj Nagpur University</x:v>
      </x:c>
      <x:c r="K154" s="49" t="n">
        <x:v>4</x:v>
      </x:c>
      <x:c r="L154" s="49" t="n">
        <x:v>110</x:v>
      </x:c>
      <x:c r="M154" s="49" t="n">
        <x:v>86</x:v>
      </x:c>
      <x:c r="N154" s="49" t="n">
        <x:v>24</x:v>
      </x:c>
      <x:c r="O154" s="49"/>
      <x:c r="P154" s="49"/>
      <x:c r="Q154" s="49" t="str">
        <x:v>Parsed from official 2025-26 PDF</x:v>
      </x:c>
      <x:c r="R154" s="49" t="str">
        <x:v>2024-25</x:v>
      </x:c>
      <x:c r="S154" s="64" t="n">
        <x:v>67752</x:v>
      </x:c>
      <x:c r="T154" s="64" t="n">
        <x:v>7248</x:v>
      </x:c>
      <x:c r="U154" s="64" t="n">
        <x:v>75000</x:v>
      </x:c>
      <x:c r="V154" s="49" t="str">
        <x:v>Normal FRA-approved annual tuition + development fee; not seat-type-specific</x:v>
      </x:c>
      <x:c r="W154" s="49"/>
      <x:c r="X154" s="49"/>
      <x:c r="Y154" s="68"/>
      <x:c r="Z154" s="49"/>
      <x:c r="AA154" s="49"/>
      <x:c r="AB154" s="49" t="str">
        <x:v>Not centrally verified</x:v>
      </x:c>
      <x:c r="AC154" s="49" t="str">
        <x:v>Not centrally verified</x:v>
      </x:c>
      <x:c r="AD154" s="49" t="str">
        <x:v>Not centrally verified</x:v>
      </x:c>
      <x:c r="AE154" s="49" t="str">
        <x:v>Not available in a standardized official source</x:v>
      </x:c>
      <x:c r="AF154" s="49" t="str">
        <x:v>Not included: no official standardized source; cutoff-derived proxy excluded</x:v>
      </x:c>
      <x:c r="AG154" s="49" t="str">
        <x:v>https://dse2025.mahacet.org.in/dse25/admin/allotment/cap2/4175_4.pdf</x:v>
      </x:c>
      <x:c r="AH154" s="49" t="str">
        <x:v>https://fe2025.mahacet.org/StaticPages/frmInstituteSummary.aspx?InstituteCode=04175</x:v>
      </x:c>
      <x:c r="AI154" s="49"/>
      <x:c r="AJ154" s="49" t="str"/>
      <x:c r="AK154" s="69" t="n">
        <x:f>IF(W154&lt;&gt;"",50,IF(X154="101-150",45,IF(X154="151-200",40,IF(X154="201-300",35,0))))+IF(H154="Autonomous",20,0)+IF(OR(G154="Government",G154="Government-Aided",G154="University Department",G154="University",G154="University Autonomous"),15,0)+MIN(K154,10)+IF(AA154&lt;&gt;"",3,0)+IF(U154&lt;&gt;"",2,0)</x:f>
        <x:v>6</x:v>
      </x:c>
      <x:c r="AL154" s="49" t="str">
        <x:f>IF(AK154&gt;=70,"Official/high-evidence reference",IF(AK154&gt;=40,"Planning reference","Broader option"))</x:f>
        <x:v>Broader option</x:v>
      </x:c>
    </x:row>
    <x:row r="155">
      <x:c r="A155" s="63" t="n">
        <x:v>4177</x:v>
      </x:c>
      <x:c r="B155" s="49" t="str">
        <x:v>Priyadarshini Bhagwati College of Engineering, Harpur Nagar, Umred Road,Nagpur</x:v>
      </x:c>
      <x:c r="C155" s="49" t="str">
        <x:v>Maharashtra</x:v>
      </x:c>
      <x:c r="D155" s="49" t="str">
        <x:v>Nagpur</x:v>
      </x:c>
      <x:c r="E155" s="49" t="str">
        <x:v>Nagpur</x:v>
      </x:c>
      <x:c r="F155" s="49" t="str">
        <x:v>Harpur Nagar, Umrer Road, Nagpur</x:v>
      </x:c>
      <x:c r="G155" s="49" t="str">
        <x:v>Un-Aided</x:v>
      </x:c>
      <x:c r="H155" s="49" t="str">
        <x:v>Autonomous</x:v>
      </x:c>
      <x:c r="I155" s="49" t="str">
        <x:v>Linguistic Minority - Hindi</x:v>
      </x:c>
      <x:c r="J155" s="49" t="str">
        <x:v>Rashtrasant Tukadoji Maharaj Nagpur University</x:v>
      </x:c>
      <x:c r="K155" s="49" t="n">
        <x:v>5</x:v>
      </x:c>
      <x:c r="L155" s="49" t="n">
        <x:v>43</x:v>
      </x:c>
      <x:c r="M155" s="49" t="n">
        <x:v>17</x:v>
      </x:c>
      <x:c r="N155" s="49"/>
      <x:c r="O155" s="49" t="n">
        <x:v>26</x:v>
      </x:c>
      <x:c r="P155" s="49"/>
      <x:c r="Q155" s="49" t="str">
        <x:v>Parsed from official 2025-26 PDF</x:v>
      </x:c>
      <x:c r="R155" s="49" t="str">
        <x:v>2024-25</x:v>
      </x:c>
      <x:c r="S155" s="64" t="n">
        <x:v>91838</x:v>
      </x:c>
      <x:c r="T155" s="64" t="n">
        <x:v>11662</x:v>
      </x:c>
      <x:c r="U155" s="64" t="n">
        <x:v>103500</x:v>
      </x:c>
      <x:c r="V155" s="49" t="str">
        <x:v>Normal FRA-approved annual tuition + development fee; not seat-type-specific</x:v>
      </x:c>
      <x:c r="W155" s="49"/>
      <x:c r="X155" s="49"/>
      <x:c r="Y155" s="68"/>
      <x:c r="Z155" s="49"/>
      <x:c r="AA155" s="49"/>
      <x:c r="AB155" s="49" t="str">
        <x:v>Not centrally verified</x:v>
      </x:c>
      <x:c r="AC155" s="49" t="str">
        <x:v>Not centrally verified</x:v>
      </x:c>
      <x:c r="AD155" s="49" t="str">
        <x:v>Not centrally verified</x:v>
      </x:c>
      <x:c r="AE155" s="49" t="str">
        <x:v>Not available in a standardized official source</x:v>
      </x:c>
      <x:c r="AF155" s="49" t="str">
        <x:v>Not included: no official standardized source; cutoff-derived proxy excluded</x:v>
      </x:c>
      <x:c r="AG155" s="49" t="str">
        <x:v>https://dse2025.mahacet.org.in/dse25/admin/allotment/cap2/4177_4.pdf</x:v>
      </x:c>
      <x:c r="AH155" s="49" t="str">
        <x:v>https://fe2025.mahacet.org/StaticPages/frmInstituteSummary.aspx?InstituteCode=04177</x:v>
      </x:c>
      <x:c r="AI155" s="49"/>
      <x:c r="AJ155" s="49" t="str"/>
      <x:c r="AK155" s="69" t="n">
        <x:f>IF(W155&lt;&gt;"",50,IF(X155="101-150",45,IF(X155="151-200",40,IF(X155="201-300",35,0))))+IF(H155="Autonomous",20,0)+IF(OR(G155="Government",G155="Government-Aided",G155="University Department",G155="University",G155="University Autonomous"),15,0)+MIN(K155,10)+IF(AA155&lt;&gt;"",3,0)+IF(U155&lt;&gt;"",2,0)</x:f>
        <x:v>27</x:v>
      </x:c>
      <x:c r="AL155" s="49" t="str">
        <x:f>IF(AK155&gt;=70,"Official/high-evidence reference",IF(AK155&gt;=40,"Planning reference","Broader option"))</x:f>
        <x:v>Broader option</x:v>
      </x:c>
    </x:row>
    <x:row r="156">
      <x:c r="A156" s="63" t="n">
        <x:v>4181</x:v>
      </x:c>
      <x:c r="B156" s="49" t="str">
        <x:v>Swaminarayan Siddhanta Institute Of Technology, Nagpur</x:v>
      </x:c>
      <x:c r="C156" s="49" t="str">
        <x:v>Maharashtra</x:v>
      </x:c>
      <x:c r="D156" s="49" t="str">
        <x:v>Nagpur</x:v>
      </x:c>
      <x:c r="E156" s="49" t="str">
        <x:v>Nagpur</x:v>
      </x:c>
      <x:c r="F156" s="49" t="str">
        <x:v>146,149,150 &amp; 153,Nagpur Katol Highway, Khapri(Kothe),Tal.Kalmeshwar, Nagpur</x:v>
      </x:c>
      <x:c r="G156" s="49" t="str">
        <x:v>Un-Aided</x:v>
      </x:c>
      <x:c r="H156" s="49" t="str">
        <x:v>Non-Autonomous</x:v>
      </x:c>
      <x:c r="I156" s="49" t="str">
        <x:v>Non-Minority</x:v>
      </x:c>
      <x:c r="J156" s="49" t="str">
        <x:v>Dr. Babasaheb Ambedkar Technological University,Lonere</x:v>
      </x:c>
      <x:c r="K156" s="49" t="n">
        <x:v>4</x:v>
      </x:c>
      <x:c r="L156" s="49" t="n">
        <x:v>155</x:v>
      </x:c>
      <x:c r="M156" s="49" t="n">
        <x:v>123</x:v>
      </x:c>
      <x:c r="N156" s="49" t="n">
        <x:v>32</x:v>
      </x:c>
      <x:c r="O156" s="49"/>
      <x:c r="P156" s="49"/>
      <x:c r="Q156" s="49" t="str">
        <x:v>Parsed from official 2025-26 PDF</x:v>
      </x:c>
      <x:c r="R156" s="49" t="str">
        <x:v>2024-25</x:v>
      </x:c>
      <x:c r="S156" s="64" t="n">
        <x:v>53085</x:v>
      </x:c>
      <x:c r="T156" s="64" t="n">
        <x:v>5415</x:v>
      </x:c>
      <x:c r="U156" s="64" t="n">
        <x:v>58500</x:v>
      </x:c>
      <x:c r="V156" s="49" t="str">
        <x:v>Normal FRA-approved annual tuition + development fee; not seat-type-specific</x:v>
      </x:c>
      <x:c r="W156" s="49"/>
      <x:c r="X156" s="49"/>
      <x:c r="Y156" s="68"/>
      <x:c r="Z156" s="49"/>
      <x:c r="AA156" s="49"/>
      <x:c r="AB156" s="49" t="str">
        <x:v>Not centrally verified</x:v>
      </x:c>
      <x:c r="AC156" s="49" t="str">
        <x:v>Not centrally verified</x:v>
      </x:c>
      <x:c r="AD156" s="49" t="str">
        <x:v>Not centrally verified</x:v>
      </x:c>
      <x:c r="AE156" s="49" t="str">
        <x:v>Not available in a standardized official source</x:v>
      </x:c>
      <x:c r="AF156" s="49" t="str">
        <x:v>Not included: no official standardized source; cutoff-derived proxy excluded</x:v>
      </x:c>
      <x:c r="AG156" s="49" t="str">
        <x:v>https://dse2025.mahacet.org.in/dse25/admin/allotment/cap2/4181_4.pdf</x:v>
      </x:c>
      <x:c r="AH156" s="49" t="str">
        <x:v>https://fe2025.mahacet.org/StaticPages/frmInstituteSummary.aspx?InstituteCode=04181</x:v>
      </x:c>
      <x:c r="AI156" s="49"/>
      <x:c r="AJ156" s="49" t="str"/>
      <x:c r="AK156" s="69" t="n">
        <x:f>IF(W156&lt;&gt;"",50,IF(X156="101-150",45,IF(X156="151-200",40,IF(X156="201-300",35,0))))+IF(H156="Autonomous",20,0)+IF(OR(G156="Government",G156="Government-Aided",G156="University Department",G156="University",G156="University Autonomous"),15,0)+MIN(K156,10)+IF(AA156&lt;&gt;"",3,0)+IF(U156&lt;&gt;"",2,0)</x:f>
        <x:v>6</x:v>
      </x:c>
      <x:c r="AL156" s="49" t="str">
        <x:f>IF(AK156&gt;=70,"Official/high-evidence reference",IF(AK156&gt;=40,"Planning reference","Broader option"))</x:f>
        <x:v>Broader option</x:v>
      </x:c>
    </x:row>
    <x:row r="157">
      <x:c r="A157" s="63" t="n">
        <x:v>4188</x:v>
      </x:c>
      <x:c r="B157" s="49" t="str">
        <x:v>Krushi Jivan Vikas Pratishthan, Ballarpur Institute of Technology, Mouza Bamni</x:v>
      </x:c>
      <x:c r="C157" s="49" t="str">
        <x:v>Maharashtra</x:v>
      </x:c>
      <x:c r="D157" s="49" t="str">
        <x:v>Nagpur</x:v>
      </x:c>
      <x:c r="E157" s="49" t="str">
        <x:v>Chandrapur</x:v>
      </x:c>
      <x:c r="F157" s="49" t="str">
        <x:v>Bamani, Rajapura Road, Tal. Ballarpur. Chandrapur</x:v>
      </x:c>
      <x:c r="G157" s="49" t="str">
        <x:v>Un-Aided</x:v>
      </x:c>
      <x:c r="H157" s="49" t="str">
        <x:v>Non-Autonomous</x:v>
      </x:c>
      <x:c r="I157" s="49" t="str">
        <x:v>Non-Minority</x:v>
      </x:c>
      <x:c r="J157" s="49" t="str">
        <x:v>Dr. Babasaheb Ambedkar Technological University,Lonere</x:v>
      </x:c>
      <x:c r="K157" s="49" t="n">
        <x:v>7</x:v>
      </x:c>
      <x:c r="L157" s="49" t="n">
        <x:v>188</x:v>
      </x:c>
      <x:c r="M157" s="49" t="n">
        <x:v>156</x:v>
      </x:c>
      <x:c r="N157" s="49" t="n">
        <x:v>32</x:v>
      </x:c>
      <x:c r="O157" s="49"/>
      <x:c r="P157" s="49"/>
      <x:c r="Q157" s="49" t="str">
        <x:v>Parsed from official 2025-26 PDF</x:v>
      </x:c>
      <x:c r="R157" s="49" t="str">
        <x:v>2024-25</x:v>
      </x:c>
      <x:c r="S157" s="64" t="n">
        <x:v>79322</x:v>
      </x:c>
      <x:c r="T157" s="64" t="n">
        <x:v>9678</x:v>
      </x:c>
      <x:c r="U157" s="64" t="n">
        <x:v>89000</x:v>
      </x:c>
      <x:c r="V157" s="49" t="str">
        <x:v>Normal FRA-approved annual tuition + development fee; not seat-type-specific</x:v>
      </x:c>
      <x:c r="W157" s="49"/>
      <x:c r="X157" s="49"/>
      <x:c r="Y157" s="68"/>
      <x:c r="Z157" s="49"/>
      <x:c r="AA157" s="49"/>
      <x:c r="AB157" s="49" t="str">
        <x:v>Not centrally verified</x:v>
      </x:c>
      <x:c r="AC157" s="49" t="str">
        <x:v>Not centrally verified</x:v>
      </x:c>
      <x:c r="AD157" s="49" t="str">
        <x:v>Not centrally verified</x:v>
      </x:c>
      <x:c r="AE157" s="49" t="str">
        <x:v>Not available in a standardized official source</x:v>
      </x:c>
      <x:c r="AF157" s="49" t="str">
        <x:v>Not included: no official standardized source; cutoff-derived proxy excluded</x:v>
      </x:c>
      <x:c r="AG157" s="49" t="str">
        <x:v>https://dse2025.mahacet.org.in/dse25/admin/allotment/cap2/4188_4.pdf</x:v>
      </x:c>
      <x:c r="AH157" s="49" t="str">
        <x:v>https://fe2025.mahacet.org/StaticPages/frmInstituteSummary.aspx?InstituteCode=04188</x:v>
      </x:c>
      <x:c r="AI157" s="49"/>
      <x:c r="AJ157" s="49" t="str"/>
      <x:c r="AK157" s="69" t="n">
        <x:f>IF(W157&lt;&gt;"",50,IF(X157="101-150",45,IF(X157="151-200",40,IF(X157="201-300",35,0))))+IF(H157="Autonomous",20,0)+IF(OR(G157="Government",G157="Government-Aided",G157="University Department",G157="University",G157="University Autonomous"),15,0)+MIN(K157,10)+IF(AA157&lt;&gt;"",3,0)+IF(U157&lt;&gt;"",2,0)</x:f>
        <x:v>9</x:v>
      </x:c>
      <x:c r="AL157" s="49" t="str">
        <x:f>IF(AK157&gt;=70,"Official/high-evidence reference",IF(AK157&gt;=40,"Planning reference","Broader option"))</x:f>
        <x:v>Broader option</x:v>
      </x:c>
    </x:row>
    <x:row r="158">
      <x:c r="A158" s="63" t="n">
        <x:v>4190</x:v>
      </x:c>
      <x:c r="B158" s="49" t="str">
        <x:v>M.D. Yergude Memorial Shikshan Prasarak Mandal's Shri Sai College of Engineering &amp; Technology, Bhadrawati</x:v>
      </x:c>
      <x:c r="C158" s="49" t="str">
        <x:v>Maharashtra</x:v>
      </x:c>
      <x:c r="D158" s="49" t="str">
        <x:v>Nagpur</x:v>
      </x:c>
      <x:c r="E158" s="49" t="str">
        <x:v>Chandrapur</x:v>
      </x:c>
      <x:c r="F158" s="49" t="str">
        <x:v>Near Village Lonara, Nagpur Road, Tah- Bhadrawati, Dist- Chandrapur (M.S.)</x:v>
      </x:c>
      <x:c r="G158" s="49" t="str">
        <x:v>Un-Aided</x:v>
      </x:c>
      <x:c r="H158" s="49" t="str">
        <x:v>Non-Autonomous</x:v>
      </x:c>
      <x:c r="I158" s="49" t="str">
        <x:v>Non-Minority</x:v>
      </x:c>
      <x:c r="J158" s="49" t="str">
        <x:v>Dr. Babasaheb Ambedkar Technological University,Lonere</x:v>
      </x:c>
      <x:c r="K158" s="49" t="n">
        <x:v>5</x:v>
      </x:c>
      <x:c r="L158" s="49" t="n">
        <x:v>202</x:v>
      </x:c>
      <x:c r="M158" s="49" t="n">
        <x:v>174</x:v>
      </x:c>
      <x:c r="N158" s="49" t="n">
        <x:v>28</x:v>
      </x:c>
      <x:c r="O158" s="49"/>
      <x:c r="P158" s="49"/>
      <x:c r="Q158" s="49" t="str">
        <x:v>Parsed from official 2025-26 PDF</x:v>
      </x:c>
      <x:c r="R158" s="49" t="str">
        <x:v>2024-25</x:v>
      </x:c>
      <x:c r="S158" s="64" t="n">
        <x:v>69506</x:v>
      </x:c>
      <x:c r="T158" s="64" t="n">
        <x:v>7994</x:v>
      </x:c>
      <x:c r="U158" s="64" t="n">
        <x:v>77500</x:v>
      </x:c>
      <x:c r="V158" s="49" t="str">
        <x:v>Normal FRA-approved annual tuition + development fee; not seat-type-specific</x:v>
      </x:c>
      <x:c r="W158" s="49"/>
      <x:c r="X158" s="49"/>
      <x:c r="Y158" s="68"/>
      <x:c r="Z158" s="49"/>
      <x:c r="AA158" s="49"/>
      <x:c r="AB158" s="49" t="str">
        <x:v>Not centrally verified</x:v>
      </x:c>
      <x:c r="AC158" s="49" t="str">
        <x:v>Not centrally verified</x:v>
      </x:c>
      <x:c r="AD158" s="49" t="str">
        <x:v>Not centrally verified</x:v>
      </x:c>
      <x:c r="AE158" s="49" t="str">
        <x:v>Not available in a standardized official source</x:v>
      </x:c>
      <x:c r="AF158" s="49" t="str">
        <x:v>Not included: no official standardized source; cutoff-derived proxy excluded</x:v>
      </x:c>
      <x:c r="AG158" s="49" t="str">
        <x:v>https://dse2025.mahacet.org.in/dse25/admin/allotment/cap2/4190_4.pdf</x:v>
      </x:c>
      <x:c r="AH158" s="49" t="str">
        <x:v>https://fe2025.mahacet.org/StaticPages/frmInstituteSummary.aspx?InstituteCode=04190</x:v>
      </x:c>
      <x:c r="AI158" s="49"/>
      <x:c r="AJ158" s="49" t="str"/>
      <x:c r="AK158" s="69" t="n">
        <x:f>IF(W158&lt;&gt;"",50,IF(X158="101-150",45,IF(X158="151-200",40,IF(X158="201-300",35,0))))+IF(H158="Autonomous",20,0)+IF(OR(G158="Government",G158="Government-Aided",G158="University Department",G158="University",G158="University Autonomous"),15,0)+MIN(K158,10)+IF(AA158&lt;&gt;"",3,0)+IF(U158&lt;&gt;"",2,0)</x:f>
        <x:v>7</x:v>
      </x:c>
      <x:c r="AL158" s="49" t="str">
        <x:f>IF(AK158&gt;=70,"Official/high-evidence reference",IF(AK158&gt;=40,"Planning reference","Broader option"))</x:f>
        <x:v>Broader option</x:v>
      </x:c>
    </x:row>
    <x:row r="159">
      <x:c r="A159" s="63" t="n">
        <x:v>4192</x:v>
      </x:c>
      <x:c r="B159" s="49" t="str">
        <x:v>Maitraya Education Society, Nagarjuna Institute of Engineering Technology &amp; Management, Nagpur</x:v>
      </x:c>
      <x:c r="C159" s="49" t="str">
        <x:v>Maharashtra</x:v>
      </x:c>
      <x:c r="D159" s="49" t="str">
        <x:v>Nagpur</x:v>
      </x:c>
      <x:c r="E159" s="49" t="str">
        <x:v>Nagpur</x:v>
      </x:c>
      <x:c r="F159" s="49" t="str">
        <x:v>Khasara No. 27, 32-B, At Satnavari, Amravati Road, Nagpur</x:v>
      </x:c>
      <x:c r="G159" s="49" t="str">
        <x:v>Un-Aided</x:v>
      </x:c>
      <x:c r="H159" s="49" t="str">
        <x:v>Non-Autonomous</x:v>
      </x:c>
      <x:c r="I159" s="49" t="str">
        <x:v>Non-Minority</x:v>
      </x:c>
      <x:c r="J159" s="49" t="str">
        <x:v>Rashtrasant Tukadoji Maharaj Nagpur University</x:v>
      </x:c>
      <x:c r="K159" s="49" t="n">
        <x:v>5</x:v>
      </x:c>
      <x:c r="L159" s="49" t="n">
        <x:v>200</x:v>
      </x:c>
      <x:c r="M159" s="49" t="n">
        <x:v>166</x:v>
      </x:c>
      <x:c r="N159" s="49" t="n">
        <x:v>34</x:v>
      </x:c>
      <x:c r="O159" s="49"/>
      <x:c r="P159" s="49"/>
      <x:c r="Q159" s="49" t="str">
        <x:v>Parsed from official 2025-26 PDF</x:v>
      </x:c>
      <x:c r="R159" s="49" t="str">
        <x:v>2024-25</x:v>
      </x:c>
      <x:c r="S159" s="64" t="n">
        <x:v>85945</x:v>
      </x:c>
      <x:c r="T159" s="64" t="n">
        <x:v>10055</x:v>
      </x:c>
      <x:c r="U159" s="64" t="n">
        <x:v>96000</x:v>
      </x:c>
      <x:c r="V159" s="49" t="str">
        <x:v>Normal FRA-approved annual tuition + development fee; not seat-type-specific</x:v>
      </x:c>
      <x:c r="W159" s="49"/>
      <x:c r="X159" s="49"/>
      <x:c r="Y159" s="68"/>
      <x:c r="Z159" s="49"/>
      <x:c r="AA159" s="49"/>
      <x:c r="AB159" s="49" t="str">
        <x:v>Not centrally verified</x:v>
      </x:c>
      <x:c r="AC159" s="49" t="str">
        <x:v>Not centrally verified</x:v>
      </x:c>
      <x:c r="AD159" s="49" t="str">
        <x:v>Not centrally verified</x:v>
      </x:c>
      <x:c r="AE159" s="49" t="str">
        <x:v>Not available in a standardized official source</x:v>
      </x:c>
      <x:c r="AF159" s="49" t="str">
        <x:v>Not included: no official standardized source; cutoff-derived proxy excluded</x:v>
      </x:c>
      <x:c r="AG159" s="49" t="str">
        <x:v>https://dse2025.mahacet.org.in/dse25/admin/allotment/cap2/4192_4.pdf</x:v>
      </x:c>
      <x:c r="AH159" s="49" t="str">
        <x:v>https://fe2025.mahacet.org/StaticPages/frmInstituteSummary.aspx?InstituteCode=04192</x:v>
      </x:c>
      <x:c r="AI159" s="49"/>
      <x:c r="AJ159" s="49" t="str"/>
      <x:c r="AK159" s="69" t="n">
        <x:f>IF(W159&lt;&gt;"",50,IF(X159="101-150",45,IF(X159="151-200",40,IF(X159="201-300",35,0))))+IF(H159="Autonomous",20,0)+IF(OR(G159="Government",G159="Government-Aided",G159="University Department",G159="University",G159="University Autonomous"),15,0)+MIN(K159,10)+IF(AA159&lt;&gt;"",3,0)+IF(U159&lt;&gt;"",2,0)</x:f>
        <x:v>7</x:v>
      </x:c>
      <x:c r="AL159" s="49" t="str">
        <x:f>IF(AK159&gt;=70,"Official/high-evidence reference",IF(AK159&gt;=40,"Planning reference","Broader option"))</x:f>
        <x:v>Broader option</x:v>
      </x:c>
    </x:row>
    <x:row r="160">
      <x:c r="A160" s="63" t="n">
        <x:v>4193</x:v>
      </x:c>
      <x:c r="B160" s="49" t="str">
        <x:v>K.D.M. Education Society, Vidharbha Institute of Technology,Umred Road ,Nagpur</x:v>
      </x:c>
      <x:c r="C160" s="49" t="str">
        <x:v>Maharashtra</x:v>
      </x:c>
      <x:c r="D160" s="49" t="str">
        <x:v>Nagpur</x:v>
      </x:c>
      <x:c r="E160" s="49" t="str">
        <x:v>Nagpur</x:v>
      </x:c>
      <x:c r="F160" s="49" t="str">
        <x:v>Gram UTI, Umred Road, Nagpur</x:v>
      </x:c>
      <x:c r="G160" s="49" t="str">
        <x:v>Un-Aided</x:v>
      </x:c>
      <x:c r="H160" s="49" t="str">
        <x:v>Autonomous</x:v>
      </x:c>
      <x:c r="I160" s="49" t="str">
        <x:v>Linguistic Minority - Hindi</x:v>
      </x:c>
      <x:c r="J160" s="49" t="str">
        <x:v>Dr. Babasaheb Ambedkar Technological University,Lonere</x:v>
      </x:c>
      <x:c r="K160" s="49" t="n">
        <x:v>6</x:v>
      </x:c>
      <x:c r="L160" s="49" t="n">
        <x:v>134</x:v>
      </x:c>
      <x:c r="M160" s="49" t="n">
        <x:v>63</x:v>
      </x:c>
      <x:c r="N160" s="49"/>
      <x:c r="O160" s="49" t="n">
        <x:v>71</x:v>
      </x:c>
      <x:c r="P160" s="49"/>
      <x:c r="Q160" s="49" t="str">
        <x:v>Parsed from official 2025-26 PDF</x:v>
      </x:c>
      <x:c r="R160" s="49" t="str">
        <x:v>2024-25</x:v>
      </x:c>
      <x:c r="S160" s="64" t="n">
        <x:v>77297</x:v>
      </x:c>
      <x:c r="T160" s="64" t="n">
        <x:v>10203</x:v>
      </x:c>
      <x:c r="U160" s="64" t="n">
        <x:v>87500</x:v>
      </x:c>
      <x:c r="V160" s="49" t="str">
        <x:v>Normal FRA-approved annual tuition + development fee; not seat-type-specific</x:v>
      </x:c>
      <x:c r="W160" s="49"/>
      <x:c r="X160" s="49"/>
      <x:c r="Y160" s="68"/>
      <x:c r="Z160" s="49"/>
      <x:c r="AA160" s="49"/>
      <x:c r="AB160" s="49" t="str">
        <x:v>Not centrally verified</x:v>
      </x:c>
      <x:c r="AC160" s="49" t="str">
        <x:v>Not centrally verified</x:v>
      </x:c>
      <x:c r="AD160" s="49" t="str">
        <x:v>Not centrally verified</x:v>
      </x:c>
      <x:c r="AE160" s="49" t="str">
        <x:v>Not available in a standardized official source</x:v>
      </x:c>
      <x:c r="AF160" s="49" t="str">
        <x:v>Not included: no official standardized source; cutoff-derived proxy excluded</x:v>
      </x:c>
      <x:c r="AG160" s="49" t="str">
        <x:v>https://dse2025.mahacet.org.in/dse25/admin/allotment/cap2/4193_4.pdf</x:v>
      </x:c>
      <x:c r="AH160" s="49" t="str">
        <x:v>https://fe2025.mahacet.org/StaticPages/frmInstituteSummary.aspx?InstituteCode=04193</x:v>
      </x:c>
      <x:c r="AI160" s="49"/>
      <x:c r="AJ160" s="49" t="str"/>
      <x:c r="AK160" s="69" t="n">
        <x:f>IF(W160&lt;&gt;"",50,IF(X160="101-150",45,IF(X160="151-200",40,IF(X160="201-300",35,0))))+IF(H160="Autonomous",20,0)+IF(OR(G160="Government",G160="Government-Aided",G160="University Department",G160="University",G160="University Autonomous"),15,0)+MIN(K160,10)+IF(AA160&lt;&gt;"",3,0)+IF(U160&lt;&gt;"",2,0)</x:f>
        <x:v>28</x:v>
      </x:c>
      <x:c r="AL160" s="49" t="str">
        <x:f>IF(AK160&gt;=70,"Official/high-evidence reference",IF(AK160&gt;=40,"Planning reference","Broader option"))</x:f>
        <x:v>Broader option</x:v>
      </x:c>
    </x:row>
    <x:row r="161">
      <x:c r="A161" s="63" t="n">
        <x:v>4196</x:v>
      </x:c>
      <x:c r="B161" s="49" t="str">
        <x:v>Gurunanak Educational Society's Gurunanak Institute of Technology, Nagpur</x:v>
      </x:c>
      <x:c r="C161" s="49" t="str">
        <x:v>Maharashtra</x:v>
      </x:c>
      <x:c r="D161" s="49" t="str">
        <x:v>Nagpur</x:v>
      </x:c>
      <x:c r="E161" s="49" t="str">
        <x:v>Nagpur</x:v>
      </x:c>
      <x:c r="F161" s="49" t="str">
        <x:v>Dahegaon, Kalmeshwar Road, Nagpur</x:v>
      </x:c>
      <x:c r="G161" s="49" t="str">
        <x:v>Un-Aided</x:v>
      </x:c>
      <x:c r="H161" s="49" t="str">
        <x:v>Non-Autonomous</x:v>
      </x:c>
      <x:c r="I161" s="49" t="str">
        <x:v>Non-Minority</x:v>
      </x:c>
      <x:c r="J161" s="49" t="str">
        <x:v>Rashtrasant Tukadoji Maharaj Nagpur University</x:v>
      </x:c>
      <x:c r="K161" s="49" t="n">
        <x:v>7</x:v>
      </x:c>
      <x:c r="L161" s="49" t="n">
        <x:v>195</x:v>
      </x:c>
      <x:c r="M161" s="49" t="n">
        <x:v>154</x:v>
      </x:c>
      <x:c r="N161" s="49" t="n">
        <x:v>41</x:v>
      </x:c>
      <x:c r="O161" s="49"/>
      <x:c r="P161" s="49"/>
      <x:c r="Q161" s="49" t="str">
        <x:v>Parsed from official 2025-26 PDF</x:v>
      </x:c>
      <x:c r="R161" s="49" t="str">
        <x:v>2024-25</x:v>
      </x:c>
      <x:c r="S161" s="64" t="n">
        <x:v>49465</x:v>
      </x:c>
      <x:c r="T161" s="64" t="n">
        <x:v>6035</x:v>
      </x:c>
      <x:c r="U161" s="64" t="n">
        <x:v>55500</x:v>
      </x:c>
      <x:c r="V161" s="49" t="str">
        <x:v>Normal FRA-approved annual tuition + development fee; not seat-type-specific</x:v>
      </x:c>
      <x:c r="W161" s="49"/>
      <x:c r="X161" s="49"/>
      <x:c r="Y161" s="68"/>
      <x:c r="Z161" s="49"/>
      <x:c r="AA161" s="49"/>
      <x:c r="AB161" s="49" t="str">
        <x:v>Not centrally verified</x:v>
      </x:c>
      <x:c r="AC161" s="49" t="str">
        <x:v>Not centrally verified</x:v>
      </x:c>
      <x:c r="AD161" s="49" t="str">
        <x:v>Not centrally verified</x:v>
      </x:c>
      <x:c r="AE161" s="49" t="str">
        <x:v>Not available in a standardized official source</x:v>
      </x:c>
      <x:c r="AF161" s="49" t="str">
        <x:v>Not included: no official standardized source; cutoff-derived proxy excluded</x:v>
      </x:c>
      <x:c r="AG161" s="49" t="str">
        <x:v>https://dse2025.mahacet.org.in/dse25/admin/allotment/cap2/4196_4.pdf</x:v>
      </x:c>
      <x:c r="AH161" s="49" t="str">
        <x:v>https://fe2025.mahacet.org/StaticPages/frmInstituteSummary.aspx?InstituteCode=04196</x:v>
      </x:c>
      <x:c r="AI161" s="49"/>
      <x:c r="AJ161" s="49" t="str"/>
      <x:c r="AK161" s="69" t="n">
        <x:f>IF(W161&lt;&gt;"",50,IF(X161="101-150",45,IF(X161="151-200",40,IF(X161="201-300",35,0))))+IF(H161="Autonomous",20,0)+IF(OR(G161="Government",G161="Government-Aided",G161="University Department",G161="University",G161="University Autonomous"),15,0)+MIN(K161,10)+IF(AA161&lt;&gt;"",3,0)+IF(U161&lt;&gt;"",2,0)</x:f>
        <x:v>9</x:v>
      </x:c>
      <x:c r="AL161" s="49" t="str">
        <x:f>IF(AK161&gt;=70,"Official/high-evidence reference",IF(AK161&gt;=40,"Planning reference","Broader option"))</x:f>
        <x:v>Broader option</x:v>
      </x:c>
    </x:row>
    <x:row r="162">
      <x:c r="A162" s="63" t="n">
        <x:v>4197</x:v>
      </x:c>
      <x:c r="B162" s="49" t="str">
        <x:v>Jai Mahakali Shikshan Sanstha, Agnihotri College of Engineering, Sindhi(Meghe)</x:v>
      </x:c>
      <x:c r="C162" s="49" t="str">
        <x:v>Maharashtra</x:v>
      </x:c>
      <x:c r="D162" s="49" t="str">
        <x:v>Nagpur</x:v>
      </x:c>
      <x:c r="E162" s="49" t="str">
        <x:v>Wardha</x:v>
      </x:c>
      <x:c r="F162" s="49" t="str">
        <x:v>Nagthana Road, Near Bypass Highway Road, Sindhi (Meghe). Wardha</x:v>
      </x:c>
      <x:c r="G162" s="49" t="str">
        <x:v>Un-Aided</x:v>
      </x:c>
      <x:c r="H162" s="49" t="str">
        <x:v>Non-Autonomous</x:v>
      </x:c>
      <x:c r="I162" s="49" t="str">
        <x:v>Non-Minority</x:v>
      </x:c>
      <x:c r="J162" s="49" t="str">
        <x:v>Rashtrasant Tukadoji Maharaj Nagpur University</x:v>
      </x:c>
      <x:c r="K162" s="49" t="n">
        <x:v>5</x:v>
      </x:c>
      <x:c r="L162" s="49" t="n">
        <x:v>100</x:v>
      </x:c>
      <x:c r="M162" s="49" t="n">
        <x:v>87</x:v>
      </x:c>
      <x:c r="N162" s="49" t="n">
        <x:v>13</x:v>
      </x:c>
      <x:c r="O162" s="49"/>
      <x:c r="P162" s="49"/>
      <x:c r="Q162" s="49" t="str">
        <x:v>Parsed from official 2025-26 PDF</x:v>
      </x:c>
      <x:c r="R162" s="49" t="str">
        <x:v>2024-25</x:v>
      </x:c>
      <x:c r="S162" s="64" t="n">
        <x:v>76993</x:v>
      </x:c>
      <x:c r="T162" s="64" t="n">
        <x:v>8007</x:v>
      </x:c>
      <x:c r="U162" s="64" t="n">
        <x:v>85000</x:v>
      </x:c>
      <x:c r="V162" s="49" t="str">
        <x:v>Normal FRA-approved annual tuition + development fee; not seat-type-specific</x:v>
      </x:c>
      <x:c r="W162" s="49"/>
      <x:c r="X162" s="49"/>
      <x:c r="Y162" s="68"/>
      <x:c r="Z162" s="49"/>
      <x:c r="AA162" s="49"/>
      <x:c r="AB162" s="49" t="str">
        <x:v>Not centrally verified</x:v>
      </x:c>
      <x:c r="AC162" s="49" t="str">
        <x:v>Not centrally verified</x:v>
      </x:c>
      <x:c r="AD162" s="49" t="str">
        <x:v>Not centrally verified</x:v>
      </x:c>
      <x:c r="AE162" s="49" t="str">
        <x:v>Not available in a standardized official source</x:v>
      </x:c>
      <x:c r="AF162" s="49" t="str">
        <x:v>Not included: no official standardized source; cutoff-derived proxy excluded</x:v>
      </x:c>
      <x:c r="AG162" s="49" t="str">
        <x:v>https://dse2025.mahacet.org.in/dse25/admin/allotment/cap2/4197_4.pdf</x:v>
      </x:c>
      <x:c r="AH162" s="49" t="str">
        <x:v>https://fe2025.mahacet.org/StaticPages/frmInstituteSummary.aspx?InstituteCode=04197</x:v>
      </x:c>
      <x:c r="AI162" s="49"/>
      <x:c r="AJ162" s="49" t="str"/>
      <x:c r="AK162" s="69" t="n">
        <x:f>IF(W162&lt;&gt;"",50,IF(X162="101-150",45,IF(X162="151-200",40,IF(X162="201-300",35,0))))+IF(H162="Autonomous",20,0)+IF(OR(G162="Government",G162="Government-Aided",G162="University Department",G162="University",G162="University Autonomous"),15,0)+MIN(K162,10)+IF(AA162&lt;&gt;"",3,0)+IF(U162&lt;&gt;"",2,0)</x:f>
        <x:v>7</x:v>
      </x:c>
      <x:c r="AL162" s="49" t="str">
        <x:f>IF(AK162&gt;=70,"Official/high-evidence reference",IF(AK162&gt;=40,"Planning reference","Broader option"))</x:f>
        <x:v>Broader option</x:v>
      </x:c>
    </x:row>
    <x:row r="163">
      <x:c r="A163" s="63" t="n">
        <x:v>4285</x:v>
      </x:c>
      <x:c r="B163" s="49" t="str">
        <x:v>V M Institute of Engineering and Technology, Dongargaon, Nagpur</x:v>
      </x:c>
      <x:c r="C163" s="49" t="str">
        <x:v>Maharashtra</x:v>
      </x:c>
      <x:c r="D163" s="49"/>
      <x:c r="E163" s="49" t="str">
        <x:v>Nagpur</x:v>
      </x:c>
      <x:c r="F163" s="49"/>
      <x:c r="G163" s="49" t="str">
        <x:v>Un-Aided</x:v>
      </x:c>
      <x:c r="H163" s="49" t="str">
        <x:v>Not verified</x:v>
      </x:c>
      <x:c r="I163" s="49" t="str">
        <x:v>Not verified</x:v>
      </x:c>
      <x:c r="J163" s="49"/>
      <x:c r="K163" s="49" t="n">
        <x:v>4</x:v>
      </x:c>
      <x:c r="L163" s="49" t="n">
        <x:v>253</x:v>
      </x:c>
      <x:c r="M163" s="49" t="n">
        <x:v>218</x:v>
      </x:c>
      <x:c r="N163" s="49" t="n">
        <x:v>35</x:v>
      </x:c>
      <x:c r="O163" s="49"/>
      <x:c r="P163" s="49"/>
      <x:c r="Q163" s="49" t="str">
        <x:v>Parsed from official 2025-26 PDF</x:v>
      </x:c>
      <x:c r="R163" s="49" t="str">
        <x:v>2024-25</x:v>
      </x:c>
      <x:c r="S163" s="64" t="n">
        <x:v>96205</x:v>
      </x:c>
      <x:c r="T163" s="64" t="n">
        <x:v>10295</x:v>
      </x:c>
      <x:c r="U163" s="64" t="n">
        <x:v>106500</x:v>
      </x:c>
      <x:c r="V163" s="49" t="str">
        <x:v>Normal FRA-approved annual tuition + development fee; not seat-type-specific</x:v>
      </x:c>
      <x:c r="W163" s="49"/>
      <x:c r="X163" s="49"/>
      <x:c r="Y163" s="68"/>
      <x:c r="Z163" s="49"/>
      <x:c r="AA163" s="49"/>
      <x:c r="AB163" s="49" t="str">
        <x:v>Not centrally verified</x:v>
      </x:c>
      <x:c r="AC163" s="49" t="str">
        <x:v>Not centrally verified</x:v>
      </x:c>
      <x:c r="AD163" s="49" t="str">
        <x:v>Not centrally verified</x:v>
      </x:c>
      <x:c r="AE163" s="49" t="str">
        <x:v>Not available in a standardized official source</x:v>
      </x:c>
      <x:c r="AF163" s="49" t="str">
        <x:v>Not included: no official standardized source; cutoff-derived proxy excluded</x:v>
      </x:c>
      <x:c r="AG163" s="49" t="str">
        <x:v>https://dse2025.mahacet.org.in/dse25/admin/allotment/cap2/4285_4.pdf</x:v>
      </x:c>
      <x:c r="AH163" s="49" t="str">
        <x:v>https://fe2025.mahacet.org/StaticPages/frmInstituteList.aspx?did=1884</x:v>
      </x:c>
      <x:c r="AI163" s="49"/>
      <x:c r="AJ163" s="49" t="str"/>
      <x:c r="AK163" s="69" t="n">
        <x:f>IF(W163&lt;&gt;"",50,IF(X163="101-150",45,IF(X163="151-200",40,IF(X163="201-300",35,0))))+IF(H163="Autonomous",20,0)+IF(OR(G163="Government",G163="Government-Aided",G163="University Department",G163="University",G163="University Autonomous"),15,0)+MIN(K163,10)+IF(AA163&lt;&gt;"",3,0)+IF(U163&lt;&gt;"",2,0)</x:f>
        <x:v>6</x:v>
      </x:c>
      <x:c r="AL163" s="49" t="str">
        <x:f>IF(AK163&gt;=70,"Official/high-evidence reference",IF(AK163&gt;=40,"Planning reference","Broader option"))</x:f>
        <x:v>Broader option</x:v>
      </x:c>
    </x:row>
    <x:row r="164">
      <x:c r="A164" s="63" t="n">
        <x:v>4302</x:v>
      </x:c>
      <x:c r="B164" s="49" t="str">
        <x:v>Gondia Education Society's Manoharbhai Patel Institute Of Engineering &amp; Technology, Shahapur, Bhandara</x:v>
      </x:c>
      <x:c r="C164" s="49" t="str">
        <x:v>Maharashtra</x:v>
      </x:c>
      <x:c r="D164" s="49" t="str">
        <x:v>Nagpur</x:v>
      </x:c>
      <x:c r="E164" s="49" t="str">
        <x:v>Bhandara</x:v>
      </x:c>
      <x:c r="F164" s="49" t="str">
        <x:v>N.H.6 Shahapur,Bhandara</x:v>
      </x:c>
      <x:c r="G164" s="49" t="str">
        <x:v>Un-Aided</x:v>
      </x:c>
      <x:c r="H164" s="49" t="str">
        <x:v>Non-Autonomous</x:v>
      </x:c>
      <x:c r="I164" s="49" t="str">
        <x:v>Non-Minority</x:v>
      </x:c>
      <x:c r="J164" s="49" t="str">
        <x:v>Rashtrasant Tukadoji Maharaj Nagpur University</x:v>
      </x:c>
      <x:c r="K164" s="49" t="n">
        <x:v>3</x:v>
      </x:c>
      <x:c r="L164" s="49" t="n">
        <x:v>61</x:v>
      </x:c>
      <x:c r="M164" s="49" t="n">
        <x:v>51</x:v>
      </x:c>
      <x:c r="N164" s="49" t="n">
        <x:v>10</x:v>
      </x:c>
      <x:c r="O164" s="49"/>
      <x:c r="P164" s="49"/>
      <x:c r="Q164" s="49" t="str">
        <x:v>Parsed from official 2025-26 PDF</x:v>
      </x:c>
      <x:c r="R164" s="49" t="str">
        <x:v>2024-25</x:v>
      </x:c>
      <x:c r="S164" s="64" t="n">
        <x:v>57399</x:v>
      </x:c>
      <x:c r="T164" s="64" t="n">
        <x:v>6601</x:v>
      </x:c>
      <x:c r="U164" s="64" t="n">
        <x:v>64000</x:v>
      </x:c>
      <x:c r="V164" s="49" t="str">
        <x:v>Normal FRA-approved annual tuition + development fee; not seat-type-specific</x:v>
      </x:c>
      <x:c r="W164" s="49"/>
      <x:c r="X164" s="49"/>
      <x:c r="Y164" s="68"/>
      <x:c r="Z164" s="49"/>
      <x:c r="AA164" s="49"/>
      <x:c r="AB164" s="49" t="str">
        <x:v>Not centrally verified</x:v>
      </x:c>
      <x:c r="AC164" s="49" t="str">
        <x:v>Not centrally verified</x:v>
      </x:c>
      <x:c r="AD164" s="49" t="str">
        <x:v>Not centrally verified</x:v>
      </x:c>
      <x:c r="AE164" s="49" t="str">
        <x:v>Not available in a standardized official source</x:v>
      </x:c>
      <x:c r="AF164" s="49" t="str">
        <x:v>Not included: no official standardized source; cutoff-derived proxy excluded</x:v>
      </x:c>
      <x:c r="AG164" s="49" t="str">
        <x:v>https://dse2025.mahacet.org.in/dse25/admin/allotment/cap2/4302_4.pdf</x:v>
      </x:c>
      <x:c r="AH164" s="49" t="str">
        <x:v>https://fe2025.mahacet.org/StaticPages/frmInstituteSummary.aspx?InstituteCode=04302</x:v>
      </x:c>
      <x:c r="AI164" s="49"/>
      <x:c r="AJ164" s="49" t="str"/>
      <x:c r="AK164" s="69" t="n">
        <x:f>IF(W164&lt;&gt;"",50,IF(X164="101-150",45,IF(X164="151-200",40,IF(X164="201-300",35,0))))+IF(H164="Autonomous",20,0)+IF(OR(G164="Government",G164="Government-Aided",G164="University Department",G164="University",G164="University Autonomous"),15,0)+MIN(K164,10)+IF(AA164&lt;&gt;"",3,0)+IF(U164&lt;&gt;"",2,0)</x:f>
        <x:v>5</x:v>
      </x:c>
      <x:c r="AL164" s="49" t="str">
        <x:f>IF(AK164&gt;=70,"Official/high-evidence reference",IF(AK164&gt;=40,"Planning reference","Broader option"))</x:f>
        <x:v>Broader option</x:v>
      </x:c>
    </x:row>
    <x:row r="165">
      <x:c r="A165" s="63" t="n">
        <x:v>4304</x:v>
      </x:c>
      <x:c r="B165" s="49" t="str">
        <x:v>Cummins College of Engineering For Women, Sukhali (Gupchup), Tal. Hingna Hingna Nagpur</x:v>
      </x:c>
      <x:c r="C165" s="49" t="str">
        <x:v>Maharashtra</x:v>
      </x:c>
      <x:c r="D165" s="49" t="str">
        <x:v>Nagpur</x:v>
      </x:c>
      <x:c r="E165" s="49" t="str">
        <x:v>Nagpur</x:v>
      </x:c>
      <x:c r="F165" s="49" t="str">
        <x:v>Mouje Sukhali (Gupchup), Tal. Hingna Dist. Nagpur</x:v>
      </x:c>
      <x:c r="G165" s="49" t="str">
        <x:v>Un-Aided</x:v>
      </x:c>
      <x:c r="H165" s="49" t="str">
        <x:v>Non-Autonomous</x:v>
      </x:c>
      <x:c r="I165" s="49" t="str">
        <x:v>Non-Minority</x:v>
      </x:c>
      <x:c r="J165" s="49" t="str">
        <x:v>Rashtrasant Tukadoji Maharaj Nagpur University</x:v>
      </x:c>
      <x:c r="K165" s="49" t="n">
        <x:v>3</x:v>
      </x:c>
      <x:c r="L165" s="49" t="n">
        <x:v>37</x:v>
      </x:c>
      <x:c r="M165" s="49" t="n">
        <x:v>31</x:v>
      </x:c>
      <x:c r="N165" s="49" t="n">
        <x:v>6</x:v>
      </x:c>
      <x:c r="O165" s="49"/>
      <x:c r="P165" s="49"/>
      <x:c r="Q165" s="49" t="str">
        <x:v>Parsed from official 2025-26 PDF</x:v>
      </x:c>
      <x:c r="R165" s="49" t="str">
        <x:v>2024-25</x:v>
      </x:c>
      <x:c r="S165" s="64" t="n">
        <x:v>100265</x:v>
      </x:c>
      <x:c r="T165" s="64" t="n">
        <x:v>13735</x:v>
      </x:c>
      <x:c r="U165" s="64" t="n">
        <x:v>114000</x:v>
      </x:c>
      <x:c r="V165" s="49" t="str">
        <x:v>Normal FRA-approved annual tuition + development fee; not seat-type-specific</x:v>
      </x:c>
      <x:c r="W165" s="49"/>
      <x:c r="X165" s="49"/>
      <x:c r="Y165" s="68"/>
      <x:c r="Z165" s="49"/>
      <x:c r="AA165" s="49"/>
      <x:c r="AB165" s="49" t="str">
        <x:v>Not centrally verified</x:v>
      </x:c>
      <x:c r="AC165" s="49" t="str">
        <x:v>Not centrally verified</x:v>
      </x:c>
      <x:c r="AD165" s="49" t="str">
        <x:v>Not centrally verified</x:v>
      </x:c>
      <x:c r="AE165" s="49" t="str">
        <x:v>Not available in a standardized official source</x:v>
      </x:c>
      <x:c r="AF165" s="49" t="str">
        <x:v>Not included: no official standardized source; cutoff-derived proxy excluded</x:v>
      </x:c>
      <x:c r="AG165" s="49" t="str">
        <x:v>https://dse2025.mahacet.org.in/dse25/admin/allotment/cap2/4304_4.pdf</x:v>
      </x:c>
      <x:c r="AH165" s="49" t="str">
        <x:v>https://fe2025.mahacet.org/StaticPages/frmInstituteSummary.aspx?InstituteCode=04304</x:v>
      </x:c>
      <x:c r="AI165" s="49"/>
      <x:c r="AJ165" s="49" t="str"/>
      <x:c r="AK165" s="69" t="n">
        <x:f>IF(W165&lt;&gt;"",50,IF(X165="101-150",45,IF(X165="151-200",40,IF(X165="201-300",35,0))))+IF(H165="Autonomous",20,0)+IF(OR(G165="Government",G165="Government-Aided",G165="University Department",G165="University",G165="University Autonomous"),15,0)+MIN(K165,10)+IF(AA165&lt;&gt;"",3,0)+IF(U165&lt;&gt;"",2,0)</x:f>
        <x:v>5</x:v>
      </x:c>
      <x:c r="AL165" s="49" t="str">
        <x:f>IF(AK165&gt;=70,"Official/high-evidence reference",IF(AK165&gt;=40,"Planning reference","Broader option"))</x:f>
        <x:v>Broader option</x:v>
      </x:c>
    </x:row>
    <x:row r="166">
      <x:c r="A166" s="63" t="n">
        <x:v>4613</x:v>
      </x:c>
      <x:c r="B166" s="49" t="str">
        <x:v>Suryodaya College of Engineering &amp; Technology, Nagpur</x:v>
      </x:c>
      <x:c r="C166" s="49" t="str">
        <x:v>Maharashtra</x:v>
      </x:c>
      <x:c r="D166" s="49" t="str">
        <x:v>Nagpur</x:v>
      </x:c>
      <x:c r="E166" s="49" t="str">
        <x:v>Nagpur</x:v>
      </x:c>
      <x:c r="F166" s="49" t="str">
        <x:v>Survey No. 117/1 &amp; 117/3 A, Vihirgaon, Nagpur</x:v>
      </x:c>
      <x:c r="G166" s="49" t="str">
        <x:v>Un-Aided</x:v>
      </x:c>
      <x:c r="H166" s="49" t="str">
        <x:v>Autonomous</x:v>
      </x:c>
      <x:c r="I166" s="49" t="str">
        <x:v>Non-Minority</x:v>
      </x:c>
      <x:c r="J166" s="49" t="str">
        <x:v>Rashtrasant Tukadoji Maharaj Nagpur University</x:v>
      </x:c>
      <x:c r="K166" s="49" t="n">
        <x:v>7</x:v>
      </x:c>
      <x:c r="L166" s="49" t="n">
        <x:v>96</x:v>
      </x:c>
      <x:c r="M166" s="49" t="n">
        <x:v>69</x:v>
      </x:c>
      <x:c r="N166" s="49" t="n">
        <x:v>27</x:v>
      </x:c>
      <x:c r="O166" s="49"/>
      <x:c r="P166" s="49"/>
      <x:c r="Q166" s="49" t="str">
        <x:v>Parsed from official 2025-26 PDF</x:v>
      </x:c>
      <x:c r="R166" s="49" t="str">
        <x:v>2024-25</x:v>
      </x:c>
      <x:c r="S166" s="64" t="n">
        <x:v>78223</x:v>
      </x:c>
      <x:c r="T166" s="64" t="n">
        <x:v>9777</x:v>
      </x:c>
      <x:c r="U166" s="64" t="n">
        <x:v>88000</x:v>
      </x:c>
      <x:c r="V166" s="49" t="str">
        <x:v>Normal FRA-approved annual tuition + development fee; not seat-type-specific</x:v>
      </x:c>
      <x:c r="W166" s="49"/>
      <x:c r="X166" s="49"/>
      <x:c r="Y166" s="68"/>
      <x:c r="Z166" s="49"/>
      <x:c r="AA166" s="49"/>
      <x:c r="AB166" s="49" t="str">
        <x:v>Not centrally verified</x:v>
      </x:c>
      <x:c r="AC166" s="49" t="str">
        <x:v>Not centrally verified</x:v>
      </x:c>
      <x:c r="AD166" s="49" t="str">
        <x:v>Not centrally verified</x:v>
      </x:c>
      <x:c r="AE166" s="49" t="str">
        <x:v>Not available in a standardized official source</x:v>
      </x:c>
      <x:c r="AF166" s="49" t="str">
        <x:v>Not included: no official standardized source; cutoff-derived proxy excluded</x:v>
      </x:c>
      <x:c r="AG166" s="49" t="str">
        <x:v>https://dse2025.mahacet.org.in/dse25/admin/allotment/cap2/4613_4.pdf</x:v>
      </x:c>
      <x:c r="AH166" s="49" t="str">
        <x:v>https://fe2025.mahacet.org/StaticPages/frmInstituteSummary.aspx?InstituteCode=04613</x:v>
      </x:c>
      <x:c r="AI166" s="49"/>
      <x:c r="AJ166" s="49" t="str"/>
      <x:c r="AK166" s="69" t="n">
        <x:f>IF(W166&lt;&gt;"",50,IF(X166="101-150",45,IF(X166="151-200",40,IF(X166="201-300",35,0))))+IF(H166="Autonomous",20,0)+IF(OR(G166="Government",G166="Government-Aided",G166="University Department",G166="University",G166="University Autonomous"),15,0)+MIN(K166,10)+IF(AA166&lt;&gt;"",3,0)+IF(U166&lt;&gt;"",2,0)</x:f>
        <x:v>29</x:v>
      </x:c>
      <x:c r="AL166" s="49" t="str">
        <x:f>IF(AK166&gt;=70,"Official/high-evidence reference",IF(AK166&gt;=40,"Planning reference","Broader option"))</x:f>
        <x:v>Broader option</x:v>
      </x:c>
    </x:row>
    <x:row r="167">
      <x:c r="A167" s="63" t="n">
        <x:v>4648</x:v>
      </x:c>
      <x:c r="B167" s="49" t="str">
        <x:v>R.V. Parankar College of Engineering &amp; Technology, Arvi, Dist Wardha</x:v>
      </x:c>
      <x:c r="C167" s="49" t="str">
        <x:v>Maharashtra</x:v>
      </x:c>
      <x:c r="D167" s="49" t="str">
        <x:v>Nagpur</x:v>
      </x:c>
      <x:c r="E167" s="49" t="str">
        <x:v>Wardha</x:v>
      </x:c>
      <x:c r="F167" s="49" t="str">
        <x:v>Survey No. 11611, Mauza - Sarangpuri, Talao Road, Darankikar Wadi, Taluka Arvi, Dist Wardha.</x:v>
      </x:c>
      <x:c r="G167" s="49" t="str">
        <x:v>Un-Aided</x:v>
      </x:c>
      <x:c r="H167" s="49" t="str">
        <x:v>Non-Autonomous</x:v>
      </x:c>
      <x:c r="I167" s="49" t="str">
        <x:v>Non-Minority</x:v>
      </x:c>
      <x:c r="J167" s="49" t="str">
        <x:v>Rashtrasant Tukadoji Maharaj Nagpur University</x:v>
      </x:c>
      <x:c r="K167" s="49" t="n">
        <x:v>5</x:v>
      </x:c>
      <x:c r="L167" s="49" t="n">
        <x:v>151</x:v>
      </x:c>
      <x:c r="M167" s="49" t="n">
        <x:v>132</x:v>
      </x:c>
      <x:c r="N167" s="49" t="n">
        <x:v>19</x:v>
      </x:c>
      <x:c r="O167" s="49"/>
      <x:c r="P167" s="49"/>
      <x:c r="Q167" s="49" t="str">
        <x:v>Parsed from official 2025-26 PDF</x:v>
      </x:c>
      <x:c r="R167" s="49" t="str">
        <x:v>2024-25</x:v>
      </x:c>
      <x:c r="S167" s="64" t="n">
        <x:v>50678</x:v>
      </x:c>
      <x:c r="T167" s="64" t="n">
        <x:v>5322</x:v>
      </x:c>
      <x:c r="U167" s="64" t="n">
        <x:v>56000</x:v>
      </x:c>
      <x:c r="V167" s="49" t="str">
        <x:v>Normal FRA-approved annual tuition + development fee; not seat-type-specific</x:v>
      </x:c>
      <x:c r="W167" s="49"/>
      <x:c r="X167" s="49"/>
      <x:c r="Y167" s="68"/>
      <x:c r="Z167" s="49"/>
      <x:c r="AA167" s="49"/>
      <x:c r="AB167" s="49" t="str">
        <x:v>Not centrally verified</x:v>
      </x:c>
      <x:c r="AC167" s="49" t="str">
        <x:v>Not centrally verified</x:v>
      </x:c>
      <x:c r="AD167" s="49" t="str">
        <x:v>Not centrally verified</x:v>
      </x:c>
      <x:c r="AE167" s="49" t="str">
        <x:v>Not available in a standardized official source</x:v>
      </x:c>
      <x:c r="AF167" s="49" t="str">
        <x:v>Not included: no official standardized source; cutoff-derived proxy excluded</x:v>
      </x:c>
      <x:c r="AG167" s="49" t="str">
        <x:v>https://dse2025.mahacet.org.in/dse25/admin/allotment/cap2/4648_4.pdf</x:v>
      </x:c>
      <x:c r="AH167" s="49" t="str">
        <x:v>https://fe2025.mahacet.org/StaticPages/frmInstituteSummary.aspx?InstituteCode=04648</x:v>
      </x:c>
      <x:c r="AI167" s="49"/>
      <x:c r="AJ167" s="49" t="str"/>
      <x:c r="AK167" s="69" t="n">
        <x:f>IF(W167&lt;&gt;"",50,IF(X167="101-150",45,IF(X167="151-200",40,IF(X167="201-300",35,0))))+IF(H167="Autonomous",20,0)+IF(OR(G167="Government",G167="Government-Aided",G167="University Department",G167="University",G167="University Autonomous"),15,0)+MIN(K167,10)+IF(AA167&lt;&gt;"",3,0)+IF(U167&lt;&gt;"",2,0)</x:f>
        <x:v>7</x:v>
      </x:c>
      <x:c r="AL167" s="49" t="str">
        <x:f>IF(AK167&gt;=70,"Official/high-evidence reference",IF(AK167&gt;=40,"Planning reference","Broader option"))</x:f>
        <x:v>Broader option</x:v>
      </x:c>
    </x:row>
    <x:row r="168">
      <x:c r="A168" s="63" t="n">
        <x:v>4649</x:v>
      </x:c>
      <x:c r="B168" s="49" t="str">
        <x:v>Bajaj Institute of Technology, Wardha</x:v>
      </x:c>
      <x:c r="C168" s="49" t="str">
        <x:v>Maharashtra</x:v>
      </x:c>
      <x:c r="D168" s="49" t="str">
        <x:v>Nagpur</x:v>
      </x:c>
      <x:c r="E168" s="49" t="str">
        <x:v>Wardha</x:v>
      </x:c>
      <x:c r="F168" s="49" t="str">
        <x:v>Arvi Road, in Front of Ramkrishna Bajaj Agriculture College, Pipri, Wardha</x:v>
      </x:c>
      <x:c r="G168" s="49" t="str">
        <x:v>Un-Aided</x:v>
      </x:c>
      <x:c r="H168" s="49" t="str">
        <x:v>Non-Autonomous</x:v>
      </x:c>
      <x:c r="I168" s="49" t="str">
        <x:v>Linguistic Minority - Hindi</x:v>
      </x:c>
      <x:c r="J168" s="49" t="str">
        <x:v>Dr. Babasaheb Ambedkar Technological University,Lonere</x:v>
      </x:c>
      <x:c r="K168" s="49" t="n">
        <x:v>4</x:v>
      </x:c>
      <x:c r="L168" s="49" t="n">
        <x:v>44</x:v>
      </x:c>
      <x:c r="M168" s="49" t="n">
        <x:v>19</x:v>
      </x:c>
      <x:c r="N168" s="49"/>
      <x:c r="O168" s="49" t="n">
        <x:v>25</x:v>
      </x:c>
      <x:c r="P168" s="49"/>
      <x:c r="Q168" s="49" t="str">
        <x:v>Parsed from official 2025-26 PDF</x:v>
      </x:c>
      <x:c r="R168" s="49" t="str">
        <x:v>2024-25</x:v>
      </x:c>
      <x:c r="S168" s="64" t="n">
        <x:v>90335</x:v>
      </x:c>
      <x:c r="T168" s="64" t="n">
        <x:v>10390</x:v>
      </x:c>
      <x:c r="U168" s="64" t="n">
        <x:v>100725</x:v>
      </x:c>
      <x:c r="V168" s="49" t="str">
        <x:v>Normal FRA-approved annual tuition + development fee; not seat-type-specific</x:v>
      </x:c>
      <x:c r="W168" s="49"/>
      <x:c r="X168" s="49"/>
      <x:c r="Y168" s="68"/>
      <x:c r="Z168" s="49"/>
      <x:c r="AA168" s="49"/>
      <x:c r="AB168" s="49" t="str">
        <x:v>Not centrally verified</x:v>
      </x:c>
      <x:c r="AC168" s="49" t="str">
        <x:v>Not centrally verified</x:v>
      </x:c>
      <x:c r="AD168" s="49" t="str">
        <x:v>Not centrally verified</x:v>
      </x:c>
      <x:c r="AE168" s="49" t="str">
        <x:v>Not available in a standardized official source</x:v>
      </x:c>
      <x:c r="AF168" s="49" t="str">
        <x:v>Not included: no official standardized source; cutoff-derived proxy excluded</x:v>
      </x:c>
      <x:c r="AG168" s="49" t="str">
        <x:v>https://dse2025.mahacet.org.in/dse25/admin/allotment/cap2/4649_4.pdf</x:v>
      </x:c>
      <x:c r="AH168" s="49" t="str">
        <x:v>https://fe2025.mahacet.org/StaticPages/frmInstituteSummary.aspx?InstituteCode=04649</x:v>
      </x:c>
      <x:c r="AI168" s="49"/>
      <x:c r="AJ168" s="49" t="str"/>
      <x:c r="AK168" s="69" t="n">
        <x:f>IF(W168&lt;&gt;"",50,IF(X168="101-150",45,IF(X168="151-200",40,IF(X168="201-300",35,0))))+IF(H168="Autonomous",20,0)+IF(OR(G168="Government",G168="Government-Aided",G168="University Department",G168="University",G168="University Autonomous"),15,0)+MIN(K168,10)+IF(AA168&lt;&gt;"",3,0)+IF(U168&lt;&gt;"",2,0)</x:f>
        <x:v>6</x:v>
      </x:c>
      <x:c r="AL168" s="49" t="str">
        <x:f>IF(AK168&gt;=70,"Official/high-evidence reference",IF(AK168&gt;=40,"Planning reference","Broader option"))</x:f>
        <x:v>Broader option</x:v>
      </x:c>
    </x:row>
    <x:row r="169">
      <x:c r="A169" s="63" t="n">
        <x:v>4679</x:v>
      </x:c>
      <x:c r="B169" s="49" t="str">
        <x:v>Karanjekar College of Engineering &amp; Management, Sakoli</x:v>
      </x:c>
      <x:c r="C169" s="49" t="str">
        <x:v>Maharashtra</x:v>
      </x:c>
      <x:c r="D169" s="49" t="str">
        <x:v>Nagpur</x:v>
      </x:c>
      <x:c r="E169" s="49" t="str">
        <x:v>Bhandara</x:v>
      </x:c>
      <x:c r="F169" s="49" t="str">
        <x:v>Nagzira Road, Sakoli, District Bhandara</x:v>
      </x:c>
      <x:c r="G169" s="49" t="str">
        <x:v>Un-Aided</x:v>
      </x:c>
      <x:c r="H169" s="49" t="str">
        <x:v>Non-Autonomous</x:v>
      </x:c>
      <x:c r="I169" s="49" t="str">
        <x:v>Non-Minority</x:v>
      </x:c>
      <x:c r="J169" s="49" t="str">
        <x:v>Dr. Babasaheb Ambedkar Technological University,Lonere</x:v>
      </x:c>
      <x:c r="K169" s="49" t="n">
        <x:v>5</x:v>
      </x:c>
      <x:c r="L169" s="49" t="n">
        <x:v>203</x:v>
      </x:c>
      <x:c r="M169" s="49" t="n">
        <x:v>162</x:v>
      </x:c>
      <x:c r="N169" s="49" t="n">
        <x:v>41</x:v>
      </x:c>
      <x:c r="O169" s="49"/>
      <x:c r="P169" s="49"/>
      <x:c r="Q169" s="49" t="str">
        <x:v>Parsed from official 2025-26 PDF</x:v>
      </x:c>
      <x:c r="R169" s="49"/>
      <x:c r="S169" s="64"/>
      <x:c r="T169" s="64"/>
      <x:c r="U169" s="64"/>
      <x:c r="V169" s="49" t="str">
        <x:v>No verified FRA match</x:v>
      </x:c>
      <x:c r="W169" s="49"/>
      <x:c r="X169" s="49"/>
      <x:c r="Y169" s="68"/>
      <x:c r="Z169" s="49"/>
      <x:c r="AA169" s="49"/>
      <x:c r="AB169" s="49" t="str">
        <x:v>Not centrally verified</x:v>
      </x:c>
      <x:c r="AC169" s="49" t="str">
        <x:v>Not centrally verified</x:v>
      </x:c>
      <x:c r="AD169" s="49" t="str">
        <x:v>Not centrally verified</x:v>
      </x:c>
      <x:c r="AE169" s="49" t="str">
        <x:v>Not available in a standardized official source</x:v>
      </x:c>
      <x:c r="AF169" s="49" t="str">
        <x:v>Not included: no official standardized source; cutoff-derived proxy excluded</x:v>
      </x:c>
      <x:c r="AG169" s="49" t="str">
        <x:v>https://dse2025.mahacet.org.in/dse25/admin/allotment/cap2/4679_4.pdf</x:v>
      </x:c>
      <x:c r="AH169" s="49" t="str">
        <x:v>https://fe2025.mahacet.org/StaticPages/frmInstituteSummary.aspx?InstituteCode=04679</x:v>
      </x:c>
      <x:c r="AI169" s="49"/>
      <x:c r="AJ169" s="49" t="str"/>
      <x:c r="AK169" s="69" t="n">
        <x:f>IF(W169&lt;&gt;"",50,IF(X169="101-150",45,IF(X169="151-200",40,IF(X169="201-300",35,0))))+IF(H169="Autonomous",20,0)+IF(OR(G169="Government",G169="Government-Aided",G169="University Department",G169="University",G169="University Autonomous"),15,0)+MIN(K169,10)+IF(AA169&lt;&gt;"",3,0)+IF(U169&lt;&gt;"",2,0)</x:f>
        <x:v>5</x:v>
      </x:c>
      <x:c r="AL169" s="49" t="str">
        <x:f>IF(AK169&gt;=70,"Official/high-evidence reference",IF(AK169&gt;=40,"Planning reference","Broader option"))</x:f>
        <x:v>Broader option</x:v>
      </x:c>
    </x:row>
    <x:row r="170">
      <x:c r="A170" s="63" t="n">
        <x:v>4703</x:v>
      </x:c>
      <x:c r="B170" s="49" t="str">
        <x:v>Somayya Institute of Technology, Chandrapur</x:v>
      </x:c>
      <x:c r="C170" s="49" t="str">
        <x:v>Maharashtra</x:v>
      </x:c>
      <x:c r="D170" s="49" t="str">
        <x:v>Nagpur</x:v>
      </x:c>
      <x:c r="E170" s="49" t="str">
        <x:v>Chandrapur</x:v>
      </x:c>
      <x:c r="F170" s="49" t="str">
        <x:v>Wadgaon Ward, Chandrapur</x:v>
      </x:c>
      <x:c r="G170" s="49" t="str">
        <x:v>Un-Aided</x:v>
      </x:c>
      <x:c r="H170" s="49" t="str">
        <x:v>Non-Autonomous</x:v>
      </x:c>
      <x:c r="I170" s="49" t="str">
        <x:v>Non-Minority</x:v>
      </x:c>
      <x:c r="J170" s="49" t="str">
        <x:v>Dr. Babasaheb Ambedkar Technological University,Lonere</x:v>
      </x:c>
      <x:c r="K170" s="49" t="n">
        <x:v>4</x:v>
      </x:c>
      <x:c r="L170" s="49" t="n">
        <x:v>139</x:v>
      </x:c>
      <x:c r="M170" s="49" t="n">
        <x:v>112</x:v>
      </x:c>
      <x:c r="N170" s="49" t="n">
        <x:v>27</x:v>
      </x:c>
      <x:c r="O170" s="49"/>
      <x:c r="P170" s="49"/>
      <x:c r="Q170" s="49" t="str">
        <x:v>Parsed from official 2025-26 PDF</x:v>
      </x:c>
      <x:c r="R170" s="49"/>
      <x:c r="S170" s="64"/>
      <x:c r="T170" s="64"/>
      <x:c r="U170" s="64"/>
      <x:c r="V170" s="49" t="str">
        <x:v>No verified FRA match</x:v>
      </x:c>
      <x:c r="W170" s="49"/>
      <x:c r="X170" s="49"/>
      <x:c r="Y170" s="68"/>
      <x:c r="Z170" s="49"/>
      <x:c r="AA170" s="49"/>
      <x:c r="AB170" s="49" t="str">
        <x:v>Not centrally verified</x:v>
      </x:c>
      <x:c r="AC170" s="49" t="str">
        <x:v>Not centrally verified</x:v>
      </x:c>
      <x:c r="AD170" s="49" t="str">
        <x:v>Not centrally verified</x:v>
      </x:c>
      <x:c r="AE170" s="49" t="str">
        <x:v>Not available in a standardized official source</x:v>
      </x:c>
      <x:c r="AF170" s="49" t="str">
        <x:v>Not included: no official standardized source; cutoff-derived proxy excluded</x:v>
      </x:c>
      <x:c r="AG170" s="49" t="str">
        <x:v>https://dse2025.mahacet.org.in/dse25/admin/allotment/cap2/4703_4.pdf</x:v>
      </x:c>
      <x:c r="AH170" s="49" t="str">
        <x:v>https://fe2025.mahacet.org/StaticPages/frmInstituteSummary.aspx?InstituteCode=04703</x:v>
      </x:c>
      <x:c r="AI170" s="49"/>
      <x:c r="AJ170" s="49" t="str"/>
      <x:c r="AK170" s="69" t="n">
        <x:f>IF(W170&lt;&gt;"",50,IF(X170="101-150",45,IF(X170="151-200",40,IF(X170="201-300",35,0))))+IF(H170="Autonomous",20,0)+IF(OR(G170="Government",G170="Government-Aided",G170="University Department",G170="University",G170="University Autonomous"),15,0)+MIN(K170,10)+IF(AA170&lt;&gt;"",3,0)+IF(U170&lt;&gt;"",2,0)</x:f>
        <x:v>4</x:v>
      </x:c>
      <x:c r="AL170" s="49" t="str">
        <x:f>IF(AK170&gt;=70,"Official/high-evidence reference",IF(AK170&gt;=40,"Planning reference","Broader option"))</x:f>
        <x:v>Broader option</x:v>
      </x:c>
    </x:row>
    <x:row r="171">
      <x:c r="A171" s="63" t="n">
        <x:v>5003</x:v>
      </x:c>
      <x:c r="B171" s="49" t="str">
        <x:v>University Institute of Chemical Technology, North Maharashtra University, Jalgaon</x:v>
      </x:c>
      <x:c r="C171" s="49" t="str">
        <x:v>Maharashtra</x:v>
      </x:c>
      <x:c r="D171" s="49" t="str">
        <x:v>Nashik</x:v>
      </x:c>
      <x:c r="E171" s="49" t="str">
        <x:v>Jalgaon</x:v>
      </x:c>
      <x:c r="F171" s="49" t="str">
        <x:v>P.B.No. 80, Umavinagar, Jalgaon</x:v>
      </x:c>
      <x:c r="G171" s="49" t="str">
        <x:v>University Department</x:v>
      </x:c>
      <x:c r="H171" s="49" t="str">
        <x:v>Non-Autonomous</x:v>
      </x:c>
      <x:c r="I171" s="49" t="str">
        <x:v>Non-Minority</x:v>
      </x:c>
      <x:c r="J171" s="49" t="str">
        <x:v>Kavayitri Bahinabai Chaudhari North Maharashtra University, Jalgaon</x:v>
      </x:c>
      <x:c r="K171" s="49" t="n">
        <x:v>5</x:v>
      </x:c>
      <x:c r="L171" s="49" t="n">
        <x:v>42</x:v>
      </x:c>
      <x:c r="M171" s="49" t="n">
        <x:v>28</x:v>
      </x:c>
      <x:c r="N171" s="49" t="n">
        <x:v>14</x:v>
      </x:c>
      <x:c r="O171" s="49"/>
      <x:c r="P171" s="49"/>
      <x:c r="Q171" s="49" t="str">
        <x:v>Parsed from official 2025-26 PDF</x:v>
      </x:c>
      <x:c r="R171" s="49"/>
      <x:c r="S171" s="64"/>
      <x:c r="T171" s="64"/>
      <x:c r="U171" s="64"/>
      <x:c r="V171" s="49" t="str">
        <x:v>No verified FRA match</x:v>
      </x:c>
      <x:c r="W171" s="49"/>
      <x:c r="X171" s="49"/>
      <x:c r="Y171" s="68"/>
      <x:c r="Z171" s="49"/>
      <x:c r="AA171" s="49"/>
      <x:c r="AB171" s="49" t="str">
        <x:v>Not centrally verified</x:v>
      </x:c>
      <x:c r="AC171" s="49" t="str">
        <x:v>Not centrally verified</x:v>
      </x:c>
      <x:c r="AD171" s="49" t="str">
        <x:v>Not centrally verified</x:v>
      </x:c>
      <x:c r="AE171" s="49" t="str">
        <x:v>Not available in a standardized official source</x:v>
      </x:c>
      <x:c r="AF171" s="49" t="str">
        <x:v>Not included: no official standardized source; cutoff-derived proxy excluded</x:v>
      </x:c>
      <x:c r="AG171" s="49" t="str">
        <x:v>https://dse2025.mahacet.org.in/dse25/admin/allotment/cap2/5003_4.pdf</x:v>
      </x:c>
      <x:c r="AH171" s="49" t="str">
        <x:v>https://fe2025.mahacet.org/StaticPages/frmInstituteSummary.aspx?InstituteCode=05003</x:v>
      </x:c>
      <x:c r="AI171" s="49"/>
      <x:c r="AJ171" s="49" t="str"/>
      <x:c r="AK171" s="69" t="n">
        <x:f>IF(W171&lt;&gt;"",50,IF(X171="101-150",45,IF(X171="151-200",40,IF(X171="201-300",35,0))))+IF(H171="Autonomous",20,0)+IF(OR(G171="Government",G171="Government-Aided",G171="University Department",G171="University",G171="University Autonomous"),15,0)+MIN(K171,10)+IF(AA171&lt;&gt;"",3,0)+IF(U171&lt;&gt;"",2,0)</x:f>
        <x:v>20</x:v>
      </x:c>
      <x:c r="AL171" s="49" t="str">
        <x:f>IF(AK171&gt;=70,"Official/high-evidence reference",IF(AK171&gt;=40,"Planning reference","Broader option"))</x:f>
        <x:v>Broader option</x:v>
      </x:c>
    </x:row>
    <x:row r="172">
      <x:c r="A172" s="63" t="n">
        <x:v>5004</x:v>
      </x:c>
      <x:c r="B172" s="49" t="str">
        <x:v>Government College of Engineering, Jalgaon</x:v>
      </x:c>
      <x:c r="C172" s="49" t="str">
        <x:v>Maharashtra</x:v>
      </x:c>
      <x:c r="D172" s="49" t="str">
        <x:v>Nashik</x:v>
      </x:c>
      <x:c r="E172" s="49" t="str">
        <x:v>Jalgaon</x:v>
      </x:c>
      <x:c r="F172" s="49" t="str">
        <x:v>Opp.Govt I.T. I. National Highway No-6, Jalgaon</x:v>
      </x:c>
      <x:c r="G172" s="49" t="str">
        <x:v>Government</x:v>
      </x:c>
      <x:c r="H172" s="49" t="str">
        <x:v>Autonomous</x:v>
      </x:c>
      <x:c r="I172" s="49" t="str">
        <x:v>Non-Minority</x:v>
      </x:c>
      <x:c r="J172" s="49" t="str">
        <x:v>Kavayitri Bahinabai Chaudhari North Maharashtra University, Jalgaon</x:v>
      </x:c>
      <x:c r="K172" s="49" t="n">
        <x:v>6</x:v>
      </x:c>
      <x:c r="L172" s="49" t="n">
        <x:v>112</x:v>
      </x:c>
      <x:c r="M172" s="49" t="n">
        <x:v>89</x:v>
      </x:c>
      <x:c r="N172" s="49" t="n">
        <x:v>23</x:v>
      </x:c>
      <x:c r="O172" s="49"/>
      <x:c r="P172" s="49"/>
      <x:c r="Q172" s="49" t="str">
        <x:v>Parsed from official 2025-26 PDF</x:v>
      </x:c>
      <x:c r="R172" s="49"/>
      <x:c r="S172" s="64"/>
      <x:c r="T172" s="64"/>
      <x:c r="U172" s="64"/>
      <x:c r="V172" s="49" t="str">
        <x:v>No verified FRA match</x:v>
      </x:c>
      <x:c r="W172" s="49"/>
      <x:c r="X172" s="49"/>
      <x:c r="Y172" s="68"/>
      <x:c r="Z172" s="49"/>
      <x:c r="AA172" s="49" t="str">
        <x:v>https://gcoej.ac.in/</x:v>
      </x:c>
      <x:c r="AB172" s="49" t="str">
        <x:v>Verified official domain</x:v>
      </x:c>
      <x:c r="AC172" s="49" t="str">
        <x:v>Not centrally verified</x:v>
      </x:c>
      <x:c r="AD172" s="49" t="str">
        <x:v>Not centrally verified</x:v>
      </x:c>
      <x:c r="AE172" s="49" t="str">
        <x:v>Not available in a standardized official source</x:v>
      </x:c>
      <x:c r="AF172" s="49" t="str">
        <x:v>Not included: no official standardized source; cutoff-derived proxy excluded</x:v>
      </x:c>
      <x:c r="AG172" s="49" t="str">
        <x:v>https://dse2025.mahacet.org.in/dse25/admin/allotment/cap2/5004_4.pdf</x:v>
      </x:c>
      <x:c r="AH172" s="49" t="str">
        <x:v>https://fe2025.mahacet.org/StaticPages/frmInstituteSummary.aspx?InstituteCode=05004</x:v>
      </x:c>
      <x:c r="AI172" s="49"/>
      <x:c r="AJ172" s="49" t="str"/>
      <x:c r="AK172" s="69" t="n">
        <x:f>IF(W172&lt;&gt;"",50,IF(X172="101-150",45,IF(X172="151-200",40,IF(X172="201-300",35,0))))+IF(H172="Autonomous",20,0)+IF(OR(G172="Government",G172="Government-Aided",G172="University Department",G172="University",G172="University Autonomous"),15,0)+MIN(K172,10)+IF(AA172&lt;&gt;"",3,0)+IF(U172&lt;&gt;"",2,0)</x:f>
        <x:v>44</x:v>
      </x:c>
      <x:c r="AL172" s="49" t="str">
        <x:f>IF(AK172&gt;=70,"Official/high-evidence reference",IF(AK172&gt;=40,"Planning reference","Broader option"))</x:f>
        <x:v>Planning reference</x:v>
      </x:c>
    </x:row>
    <x:row r="173">
      <x:c r="A173" s="63" t="n">
        <x:v>5103</x:v>
      </x:c>
      <x:c r="B173" s="49" t="str">
        <x:v>Shri Shivaji Vidya Prasarak Sanstha's Late Bapusaheb Shivaji Rao Deore College of Engineering,Dhule</x:v>
      </x:c>
      <x:c r="C173" s="49" t="str">
        <x:v>Maharashtra</x:v>
      </x:c>
      <x:c r="D173" s="49" t="str">
        <x:v>Nashik</x:v>
      </x:c>
      <x:c r="E173" s="49" t="str">
        <x:v>Dhule</x:v>
      </x:c>
      <x:c r="F173" s="49" t="str">
        <x:v>Shri Shivaji Vidya Prasarak Sanstha's Late Bapusaheb Shivaji Rao Deore College of Engineering, Vidyanagari, Government Polytechnic Road, Deopur, Dhule</x:v>
      </x:c>
      <x:c r="G173" s="49" t="str">
        <x:v>Un-Aided</x:v>
      </x:c>
      <x:c r="H173" s="49" t="str">
        <x:v>Non-Autonomous</x:v>
      </x:c>
      <x:c r="I173" s="49" t="str">
        <x:v>Non-Minority</x:v>
      </x:c>
      <x:c r="J173" s="49" t="str">
        <x:v>Dr. Babasaheb Ambedkar Technological University,Lonere</x:v>
      </x:c>
      <x:c r="K173" s="49" t="n">
        <x:v>6</x:v>
      </x:c>
      <x:c r="L173" s="49" t="n">
        <x:v>107</x:v>
      </x:c>
      <x:c r="M173" s="49" t="n">
        <x:v>76</x:v>
      </x:c>
      <x:c r="N173" s="49" t="n">
        <x:v>31</x:v>
      </x:c>
      <x:c r="O173" s="49"/>
      <x:c r="P173" s="49"/>
      <x:c r="Q173" s="49" t="str">
        <x:v>Parsed from official 2025-26 PDF</x:v>
      </x:c>
      <x:c r="R173" s="49" t="str">
        <x:v>2024-25</x:v>
      </x:c>
      <x:c r="S173" s="64" t="n">
        <x:v>82609</x:v>
      </x:c>
      <x:c r="T173" s="64" t="n">
        <x:v>12391</x:v>
      </x:c>
      <x:c r="U173" s="64" t="n">
        <x:v>95000</x:v>
      </x:c>
      <x:c r="V173" s="49" t="str">
        <x:v>Normal FRA-approved annual tuition + development fee; not seat-type-specific</x:v>
      </x:c>
      <x:c r="W173" s="49"/>
      <x:c r="X173" s="49"/>
      <x:c r="Y173" s="68"/>
      <x:c r="Z173" s="49"/>
      <x:c r="AA173" s="49"/>
      <x:c r="AB173" s="49" t="str">
        <x:v>Not centrally verified</x:v>
      </x:c>
      <x:c r="AC173" s="49" t="str">
        <x:v>Not centrally verified</x:v>
      </x:c>
      <x:c r="AD173" s="49" t="str">
        <x:v>Not centrally verified</x:v>
      </x:c>
      <x:c r="AE173" s="49" t="str">
        <x:v>Not available in a standardized official source</x:v>
      </x:c>
      <x:c r="AF173" s="49" t="str">
        <x:v>Not included: no official standardized source; cutoff-derived proxy excluded</x:v>
      </x:c>
      <x:c r="AG173" s="49" t="str">
        <x:v>https://dse2025.mahacet.org.in/dse25/admin/allotment/cap2/5103_4.pdf</x:v>
      </x:c>
      <x:c r="AH173" s="49" t="str">
        <x:v>https://fe2025.mahacet.org/StaticPages/frmInstituteSummary.aspx?InstituteCode=05103</x:v>
      </x:c>
      <x:c r="AI173" s="49"/>
      <x:c r="AJ173" s="49" t="str"/>
      <x:c r="AK173" s="69" t="n">
        <x:f>IF(W173&lt;&gt;"",50,IF(X173="101-150",45,IF(X173="151-200",40,IF(X173="201-300",35,0))))+IF(H173="Autonomous",20,0)+IF(OR(G173="Government",G173="Government-Aided",G173="University Department",G173="University",G173="University Autonomous"),15,0)+MIN(K173,10)+IF(AA173&lt;&gt;"",3,0)+IF(U173&lt;&gt;"",2,0)</x:f>
        <x:v>8</x:v>
      </x:c>
      <x:c r="AL173" s="49" t="str">
        <x:f>IF(AK173&gt;=70,"Official/high-evidence reference",IF(AK173&gt;=40,"Planning reference","Broader option"))</x:f>
        <x:v>Broader option</x:v>
      </x:c>
    </x:row>
    <x:row r="174">
      <x:c r="A174" s="63" t="n">
        <x:v>5104</x:v>
      </x:c>
      <x:c r="B174" s="49" t="str">
        <x:v>Shramsadhana Bombay Trust, College of Engineering &amp; Technology, Jalgaon</x:v>
      </x:c>
      <x:c r="C174" s="49" t="str">
        <x:v>Maharashtra</x:v>
      </x:c>
      <x:c r="D174" s="49" t="str">
        <x:v>Nashik</x:v>
      </x:c>
      <x:c r="E174" s="49" t="str">
        <x:v>Jalgaon</x:v>
      </x:c>
      <x:c r="F174" s="49" t="str">
        <x:v>Bambori, Dharangaon, Jalgaon</x:v>
      </x:c>
      <x:c r="G174" s="49" t="str">
        <x:v>Un-Aided</x:v>
      </x:c>
      <x:c r="H174" s="49" t="str">
        <x:v>Non-Autonomous</x:v>
      </x:c>
      <x:c r="I174" s="49" t="str">
        <x:v>Non-Minority</x:v>
      </x:c>
      <x:c r="J174" s="49" t="str">
        <x:v>Kavayitri Bahinabai Chaudhari North Maharashtra University, Jalgaon</x:v>
      </x:c>
      <x:c r="K174" s="49" t="n">
        <x:v>6</x:v>
      </x:c>
      <x:c r="L174" s="49" t="n">
        <x:v>77</x:v>
      </x:c>
      <x:c r="M174" s="49" t="n">
        <x:v>65</x:v>
      </x:c>
      <x:c r="N174" s="49" t="n">
        <x:v>12</x:v>
      </x:c>
      <x:c r="O174" s="49"/>
      <x:c r="P174" s="49"/>
      <x:c r="Q174" s="49" t="str">
        <x:v>Parsed from official 2025-26 PDF</x:v>
      </x:c>
      <x:c r="R174" s="49" t="str">
        <x:v>2024-25</x:v>
      </x:c>
      <x:c r="S174" s="64" t="n">
        <x:v>68723</x:v>
      </x:c>
      <x:c r="T174" s="64" t="n">
        <x:v>9277</x:v>
      </x:c>
      <x:c r="U174" s="64" t="n">
        <x:v>78000</x:v>
      </x:c>
      <x:c r="V174" s="49" t="str">
        <x:v>Normal FRA-approved annual tuition + development fee; not seat-type-specific</x:v>
      </x:c>
      <x:c r="W174" s="49"/>
      <x:c r="X174" s="49"/>
      <x:c r="Y174" s="68"/>
      <x:c r="Z174" s="49"/>
      <x:c r="AA174" s="49"/>
      <x:c r="AB174" s="49" t="str">
        <x:v>Not centrally verified</x:v>
      </x:c>
      <x:c r="AC174" s="49" t="str">
        <x:v>Not centrally verified</x:v>
      </x:c>
      <x:c r="AD174" s="49" t="str">
        <x:v>Not centrally verified</x:v>
      </x:c>
      <x:c r="AE174" s="49" t="str">
        <x:v>Not available in a standardized official source</x:v>
      </x:c>
      <x:c r="AF174" s="49" t="str">
        <x:v>Not included: no official standardized source; cutoff-derived proxy excluded</x:v>
      </x:c>
      <x:c r="AG174" s="49" t="str">
        <x:v>https://dse2025.mahacet.org.in/dse25/admin/allotment/cap2/5104_4.pdf</x:v>
      </x:c>
      <x:c r="AH174" s="49" t="str">
        <x:v>https://fe2025.mahacet.org/StaticPages/frmInstituteSummary.aspx?InstituteCode=05104</x:v>
      </x:c>
      <x:c r="AI174" s="49"/>
      <x:c r="AJ174" s="49" t="str"/>
      <x:c r="AK174" s="69" t="n">
        <x:f>IF(W174&lt;&gt;"",50,IF(X174="101-150",45,IF(X174="151-200",40,IF(X174="201-300",35,0))))+IF(H174="Autonomous",20,0)+IF(OR(G174="Government",G174="Government-Aided",G174="University Department",G174="University",G174="University Autonomous"),15,0)+MIN(K174,10)+IF(AA174&lt;&gt;"",3,0)+IF(U174&lt;&gt;"",2,0)</x:f>
        <x:v>8</x:v>
      </x:c>
      <x:c r="AL174" s="49" t="str">
        <x:f>IF(AK174&gt;=70,"Official/high-evidence reference",IF(AK174&gt;=40,"Planning reference","Broader option"))</x:f>
        <x:v>Broader option</x:v>
      </x:c>
    </x:row>
    <x:row r="175">
      <x:c r="A175" s="63" t="n">
        <x:v>5106</x:v>
      </x:c>
      <x:c r="B175" s="49" t="str">
        <x:v>Khandesh College Education Society's College Of Engineering And Management, Jalgaon</x:v>
      </x:c>
      <x:c r="C175" s="49" t="str">
        <x:v>Maharashtra</x:v>
      </x:c>
      <x:c r="D175" s="49" t="str">
        <x:v>Nashik</x:v>
      </x:c>
      <x:c r="E175" s="49" t="str">
        <x:v>Jalgaon</x:v>
      </x:c>
      <x:c r="F175" s="49" t="str">
        <x:v>C.S. No. 7480 and 7323, Behind D.I.C., N.H.No.6, IMR Campus, Jilha Path, Jalgaon</x:v>
      </x:c>
      <x:c r="G175" s="49" t="str">
        <x:v>Un-Aided</x:v>
      </x:c>
      <x:c r="H175" s="49" t="str">
        <x:v>Autonomous</x:v>
      </x:c>
      <x:c r="I175" s="49" t="str">
        <x:v>Non-Minority</x:v>
      </x:c>
      <x:c r="J175" s="49" t="str">
        <x:v>Dr. Babasaheb Ambedkar Technological University,Lonere</x:v>
      </x:c>
      <x:c r="K175" s="49" t="n">
        <x:v>5</x:v>
      </x:c>
      <x:c r="L175" s="49" t="n">
        <x:v>161</x:v>
      </x:c>
      <x:c r="M175" s="49" t="n">
        <x:v>129</x:v>
      </x:c>
      <x:c r="N175" s="49" t="n">
        <x:v>32</x:v>
      </x:c>
      <x:c r="O175" s="49"/>
      <x:c r="P175" s="49"/>
      <x:c r="Q175" s="49" t="str">
        <x:v>Parsed from official 2025-26 PDF</x:v>
      </x:c>
      <x:c r="R175" s="49" t="str">
        <x:v>2024-25</x:v>
      </x:c>
      <x:c r="S175" s="64" t="n">
        <x:v>61778</x:v>
      </x:c>
      <x:c r="T175" s="64" t="n">
        <x:v>7722</x:v>
      </x:c>
      <x:c r="U175" s="64" t="n">
        <x:v>69500</x:v>
      </x:c>
      <x:c r="V175" s="49" t="str">
        <x:v>Normal FRA-approved annual tuition + development fee; not seat-type-specific</x:v>
      </x:c>
      <x:c r="W175" s="49"/>
      <x:c r="X175" s="49"/>
      <x:c r="Y175" s="68"/>
      <x:c r="Z175" s="49"/>
      <x:c r="AA175" s="49"/>
      <x:c r="AB175" s="49" t="str">
        <x:v>Not centrally verified</x:v>
      </x:c>
      <x:c r="AC175" s="49" t="str">
        <x:v>Not centrally verified</x:v>
      </x:c>
      <x:c r="AD175" s="49" t="str">
        <x:v>Not centrally verified</x:v>
      </x:c>
      <x:c r="AE175" s="49" t="str">
        <x:v>Not available in a standardized official source</x:v>
      </x:c>
      <x:c r="AF175" s="49" t="str">
        <x:v>Not included: no official standardized source; cutoff-derived proxy excluded</x:v>
      </x:c>
      <x:c r="AG175" s="49" t="str">
        <x:v>https://dse2025.mahacet.org.in/dse25/admin/allotment/cap2/5106_4.pdf</x:v>
      </x:c>
      <x:c r="AH175" s="49" t="str">
        <x:v>https://fe2025.mahacet.org/StaticPages/frmInstituteSummary.aspx?InstituteCode=05106</x:v>
      </x:c>
      <x:c r="AI175" s="49"/>
      <x:c r="AJ175" s="49" t="str"/>
      <x:c r="AK175" s="69" t="n">
        <x:f>IF(W175&lt;&gt;"",50,IF(X175="101-150",45,IF(X175="151-200",40,IF(X175="201-300",35,0))))+IF(H175="Autonomous",20,0)+IF(OR(G175="Government",G175="Government-Aided",G175="University Department",G175="University",G175="University Autonomous"),15,0)+MIN(K175,10)+IF(AA175&lt;&gt;"",3,0)+IF(U175&lt;&gt;"",2,0)</x:f>
        <x:v>27</x:v>
      </x:c>
      <x:c r="AL175" s="49" t="str">
        <x:f>IF(AK175&gt;=70,"Official/high-evidence reference",IF(AK175&gt;=40,"Planning reference","Broader option"))</x:f>
        <x:v>Broader option</x:v>
      </x:c>
    </x:row>
    <x:row r="176">
      <x:c r="A176" s="63" t="n">
        <x:v>5108</x:v>
      </x:c>
      <x:c r="B176" s="49" t="str">
        <x:v>Maratha Vidya Prasarak Samaj's Karmaveer Adv. Baburao Ganpatrao Thakare College Of Engineering, Nashik</x:v>
      </x:c>
      <x:c r="C176" s="49" t="str">
        <x:v>Maharashtra</x:v>
      </x:c>
      <x:c r="D176" s="49" t="str">
        <x:v>Nashik</x:v>
      </x:c>
      <x:c r="E176" s="49" t="str">
        <x:v>Nashik</x:v>
      </x:c>
      <x:c r="F176" s="49" t="str">
        <x:v>Udoji Maratha Boarding Campus, Near Pumping Station, Gangapur Road, Nashik</x:v>
      </x:c>
      <x:c r="G176" s="49" t="str">
        <x:v>Un-Aided</x:v>
      </x:c>
      <x:c r="H176" s="49" t="str">
        <x:v>Autonomous</x:v>
      </x:c>
      <x:c r="I176" s="49" t="str">
        <x:v>Non-Minority</x:v>
      </x:c>
      <x:c r="J176" s="49" t="str">
        <x:v>Savitribai Phule Pune University</x:v>
      </x:c>
      <x:c r="K176" s="49" t="n">
        <x:v>8</x:v>
      </x:c>
      <x:c r="L176" s="49" t="n">
        <x:v>155</x:v>
      </x:c>
      <x:c r="M176" s="49" t="n">
        <x:v>119</x:v>
      </x:c>
      <x:c r="N176" s="49" t="n">
        <x:v>36</x:v>
      </x:c>
      <x:c r="O176" s="49"/>
      <x:c r="P176" s="49"/>
      <x:c r="Q176" s="49" t="str">
        <x:v>Parsed from official 2025-26 PDF</x:v>
      </x:c>
      <x:c r="R176" s="49" t="str">
        <x:v>2024-25</x:v>
      </x:c>
      <x:c r="S176" s="64" t="n">
        <x:v>110000</x:v>
      </x:c>
      <x:c r="T176" s="64" t="n">
        <x:v>16500</x:v>
      </x:c>
      <x:c r="U176" s="64" t="n">
        <x:v>126500</x:v>
      </x:c>
      <x:c r="V176" s="49" t="str">
        <x:v>Normal FRA-approved annual tuition + development fee; not seat-type-specific</x:v>
      </x:c>
      <x:c r="W176" s="49"/>
      <x:c r="X176" s="49"/>
      <x:c r="Y176" s="68"/>
      <x:c r="Z176" s="49"/>
      <x:c r="AA176" s="49"/>
      <x:c r="AB176" s="49" t="str">
        <x:v>Not centrally verified</x:v>
      </x:c>
      <x:c r="AC176" s="49" t="str">
        <x:v>Not centrally verified</x:v>
      </x:c>
      <x:c r="AD176" s="49" t="str">
        <x:v>Not centrally verified</x:v>
      </x:c>
      <x:c r="AE176" s="49" t="str">
        <x:v>Not available in a standardized official source</x:v>
      </x:c>
      <x:c r="AF176" s="49" t="str">
        <x:v>Not included: no official standardized source; cutoff-derived proxy excluded</x:v>
      </x:c>
      <x:c r="AG176" s="49" t="str">
        <x:v>https://dse2025.mahacet.org.in/dse25/admin/allotment/cap2/5108_4.pdf</x:v>
      </x:c>
      <x:c r="AH176" s="49" t="str">
        <x:v>https://fe2025.mahacet.org/StaticPages/frmInstituteSummary.aspx?InstituteCode=05108</x:v>
      </x:c>
      <x:c r="AI176" s="49"/>
      <x:c r="AJ176" s="49" t="str"/>
      <x:c r="AK176" s="69" t="n">
        <x:f>IF(W176&lt;&gt;"",50,IF(X176="101-150",45,IF(X176="151-200",40,IF(X176="201-300",35,0))))+IF(H176="Autonomous",20,0)+IF(OR(G176="Government",G176="Government-Aided",G176="University Department",G176="University",G176="University Autonomous"),15,0)+MIN(K176,10)+IF(AA176&lt;&gt;"",3,0)+IF(U176&lt;&gt;"",2,0)</x:f>
        <x:v>30</x:v>
      </x:c>
      <x:c r="AL176" s="49" t="str">
        <x:f>IF(AK176&gt;=70,"Official/high-evidence reference",IF(AK176&gt;=40,"Planning reference","Broader option"))</x:f>
        <x:v>Broader option</x:v>
      </x:c>
    </x:row>
    <x:row r="177">
      <x:c r="A177" s="63" t="n">
        <x:v>5109</x:v>
      </x:c>
      <x:c r="B177" s="49" t="str">
        <x:v>Sandip Foundation, Sandip Institute of Technology and Research Centre, Mahiravani, Nashik</x:v>
      </x:c>
      <x:c r="C177" s="49" t="str">
        <x:v>Maharashtra</x:v>
      </x:c>
      <x:c r="D177" s="49" t="str">
        <x:v>Nashik</x:v>
      </x:c>
      <x:c r="E177" s="49" t="str">
        <x:v>Nashik</x:v>
      </x:c>
      <x:c r="F177" s="49" t="str">
        <x:v>At Post mahiravani, Trimbak Road Dist Nashik</x:v>
      </x:c>
      <x:c r="G177" s="49" t="str">
        <x:v>Un-Aided</x:v>
      </x:c>
      <x:c r="H177" s="49" t="str">
        <x:v>Autonomous</x:v>
      </x:c>
      <x:c r="I177" s="49" t="str">
        <x:v>Non-Minority</x:v>
      </x:c>
      <x:c r="J177" s="49" t="str">
        <x:v>Savitribai Phule Pune University</x:v>
      </x:c>
      <x:c r="K177" s="49" t="n">
        <x:v>10</x:v>
      </x:c>
      <x:c r="L177" s="49" t="n">
        <x:v>150</x:v>
      </x:c>
      <x:c r="M177" s="49" t="n">
        <x:v>103</x:v>
      </x:c>
      <x:c r="N177" s="49" t="n">
        <x:v>47</x:v>
      </x:c>
      <x:c r="O177" s="49"/>
      <x:c r="P177" s="49"/>
      <x:c r="Q177" s="49" t="str">
        <x:v>Parsed from official 2025-26 PDF</x:v>
      </x:c>
      <x:c r="R177" s="49" t="str">
        <x:v>2024-25</x:v>
      </x:c>
      <x:c r="S177" s="64" t="n">
        <x:v>117776</x:v>
      </x:c>
      <x:c r="T177" s="64" t="n">
        <x:v>16724</x:v>
      </x:c>
      <x:c r="U177" s="64" t="n">
        <x:v>134500</x:v>
      </x:c>
      <x:c r="V177" s="49" t="str">
        <x:v>Normal FRA-approved annual tuition + development fee; not seat-type-specific</x:v>
      </x:c>
      <x:c r="W177" s="49"/>
      <x:c r="X177" s="49"/>
      <x:c r="Y177" s="68"/>
      <x:c r="Z177" s="49"/>
      <x:c r="AA177" s="49"/>
      <x:c r="AB177" s="49" t="str">
        <x:v>Not centrally verified</x:v>
      </x:c>
      <x:c r="AC177" s="49" t="str">
        <x:v>Not centrally verified</x:v>
      </x:c>
      <x:c r="AD177" s="49" t="str">
        <x:v>Not centrally verified</x:v>
      </x:c>
      <x:c r="AE177" s="49" t="str">
        <x:v>Not available in a standardized official source</x:v>
      </x:c>
      <x:c r="AF177" s="49" t="str">
        <x:v>Not included: no official standardized source; cutoff-derived proxy excluded</x:v>
      </x:c>
      <x:c r="AG177" s="49" t="str">
        <x:v>https://dse2025.mahacet.org.in/dse25/admin/allotment/cap2/5109_4.pdf</x:v>
      </x:c>
      <x:c r="AH177" s="49" t="str">
        <x:v>https://fe2025.mahacet.org/StaticPages/frmInstituteSummary.aspx?InstituteCode=05109</x:v>
      </x:c>
      <x:c r="AI177" s="49"/>
      <x:c r="AJ177" s="49" t="str"/>
      <x:c r="AK177" s="69" t="n">
        <x:f>IF(W177&lt;&gt;"",50,IF(X177="101-150",45,IF(X177="151-200",40,IF(X177="201-300",35,0))))+IF(H177="Autonomous",20,0)+IF(OR(G177="Government",G177="Government-Aided",G177="University Department",G177="University",G177="University Autonomous"),15,0)+MIN(K177,10)+IF(AA177&lt;&gt;"",3,0)+IF(U177&lt;&gt;"",2,0)</x:f>
        <x:v>32</x:v>
      </x:c>
      <x:c r="AL177" s="49" t="str">
        <x:f>IF(AK177&gt;=70,"Official/high-evidence reference",IF(AK177&gt;=40,"Planning reference","Broader option"))</x:f>
        <x:v>Broader option</x:v>
      </x:c>
    </x:row>
    <x:row r="178">
      <x:c r="A178" s="63" t="n">
        <x:v>5121</x:v>
      </x:c>
      <x:c r="B178" s="49" t="str">
        <x:v>K. K. Wagh Institute of Engineering Education and Research, Nashik</x:v>
      </x:c>
      <x:c r="C178" s="49" t="str">
        <x:v>Maharashtra</x:v>
      </x:c>
      <x:c r="D178" s="49" t="str">
        <x:v>Nashik</x:v>
      </x:c>
      <x:c r="E178" s="49" t="str">
        <x:v>Nashik</x:v>
      </x:c>
      <x:c r="F178" s="49" t="str">
        <x:v>Hirabai Haridas Vidyanagari, Amrut Dham, Panchawati, Nashik</x:v>
      </x:c>
      <x:c r="G178" s="49" t="str">
        <x:v>Un-Aided</x:v>
      </x:c>
      <x:c r="H178" s="49" t="str">
        <x:v>Autonomous</x:v>
      </x:c>
      <x:c r="I178" s="49" t="str">
        <x:v>Non-Minority</x:v>
      </x:c>
      <x:c r="J178" s="49" t="str">
        <x:v>Savitribai Phule Pune University</x:v>
      </x:c>
      <x:c r="K178" s="49" t="n">
        <x:v>10</x:v>
      </x:c>
      <x:c r="L178" s="49" t="n">
        <x:v>165</x:v>
      </x:c>
      <x:c r="M178" s="49" t="n">
        <x:v>142</x:v>
      </x:c>
      <x:c r="N178" s="49" t="n">
        <x:v>23</x:v>
      </x:c>
      <x:c r="O178" s="49"/>
      <x:c r="P178" s="49"/>
      <x:c r="Q178" s="49" t="str">
        <x:v>Parsed from official 2025-26 PDF</x:v>
      </x:c>
      <x:c r="R178" s="49" t="str">
        <x:v>2024-25</x:v>
      </x:c>
      <x:c r="S178" s="64" t="n">
        <x:v>128695</x:v>
      </x:c>
      <x:c r="T178" s="64" t="n">
        <x:v>19305</x:v>
      </x:c>
      <x:c r="U178" s="64" t="n">
        <x:v>148000</x:v>
      </x:c>
      <x:c r="V178" s="49" t="str">
        <x:v>Normal FRA-approved annual tuition + development fee; not seat-type-specific</x:v>
      </x:c>
      <x:c r="W178" s="49"/>
      <x:c r="X178" s="49"/>
      <x:c r="Y178" s="68"/>
      <x:c r="Z178" s="49"/>
      <x:c r="AA178" s="49"/>
      <x:c r="AB178" s="49" t="str">
        <x:v>Not centrally verified</x:v>
      </x:c>
      <x:c r="AC178" s="49" t="str">
        <x:v>Not centrally verified</x:v>
      </x:c>
      <x:c r="AD178" s="49" t="str">
        <x:v>Not centrally verified</x:v>
      </x:c>
      <x:c r="AE178" s="49" t="str">
        <x:v>Not available in a standardized official source</x:v>
      </x:c>
      <x:c r="AF178" s="49" t="str">
        <x:v>Not included: no official standardized source; cutoff-derived proxy excluded</x:v>
      </x:c>
      <x:c r="AG178" s="49" t="str">
        <x:v>https://dse2025.mahacet.org.in/dse25/admin/allotment/cap2/5121_4.pdf</x:v>
      </x:c>
      <x:c r="AH178" s="49" t="str">
        <x:v>https://fe2025.mahacet.org/StaticPages/frmInstituteSummary.aspx?InstituteCode=05121</x:v>
      </x:c>
      <x:c r="AI178" s="49"/>
      <x:c r="AJ178" s="49" t="str"/>
      <x:c r="AK178" s="69" t="n">
        <x:f>IF(W178&lt;&gt;"",50,IF(X178="101-150",45,IF(X178="151-200",40,IF(X178="201-300",35,0))))+IF(H178="Autonomous",20,0)+IF(OR(G178="Government",G178="Government-Aided",G178="University Department",G178="University",G178="University Autonomous"),15,0)+MIN(K178,10)+IF(AA178&lt;&gt;"",3,0)+IF(U178&lt;&gt;"",2,0)</x:f>
        <x:v>32</x:v>
      </x:c>
      <x:c r="AL178" s="49" t="str">
        <x:f>IF(AK178&gt;=70,"Official/high-evidence reference",IF(AK178&gt;=40,"Planning reference","Broader option"))</x:f>
        <x:v>Broader option</x:v>
      </x:c>
    </x:row>
    <x:row r="179">
      <x:c r="A179" s="63" t="n">
        <x:v>5124</x:v>
      </x:c>
      <x:c r="B179" s="49" t="str">
        <x:v>Jagadamba Education Soc. Nashik's S.N.D. College of Engineering &amp; Reserch, Babulgaon</x:v>
      </x:c>
      <x:c r="C179" s="49" t="str">
        <x:v>Maharashtra</x:v>
      </x:c>
      <x:c r="D179" s="49" t="str">
        <x:v>Nashik</x:v>
      </x:c>
      <x:c r="E179" s="49" t="str">
        <x:v>Nashik</x:v>
      </x:c>
      <x:c r="F179" s="49" t="str">
        <x:v>At. Post Babulgaon, Tal Yeola, Nashik</x:v>
      </x:c>
      <x:c r="G179" s="49" t="str">
        <x:v>Un-Aided</x:v>
      </x:c>
      <x:c r="H179" s="49" t="str">
        <x:v>Non-Autonomous</x:v>
      </x:c>
      <x:c r="I179" s="49" t="str">
        <x:v>Non-Minority</x:v>
      </x:c>
      <x:c r="J179" s="49" t="str">
        <x:v>Savitribai Phule Pune University</x:v>
      </x:c>
      <x:c r="K179" s="49" t="n">
        <x:v>7</x:v>
      </x:c>
      <x:c r="L179" s="49" t="n">
        <x:v>190</x:v>
      </x:c>
      <x:c r="M179" s="49" t="n">
        <x:v>147</x:v>
      </x:c>
      <x:c r="N179" s="49" t="n">
        <x:v>43</x:v>
      </x:c>
      <x:c r="O179" s="49"/>
      <x:c r="P179" s="49"/>
      <x:c r="Q179" s="49" t="str">
        <x:v>Parsed from official 2025-26 PDF</x:v>
      </x:c>
      <x:c r="R179" s="49" t="str">
        <x:v>2024-25</x:v>
      </x:c>
      <x:c r="S179" s="64" t="n">
        <x:v>70486</x:v>
      </x:c>
      <x:c r="T179" s="64" t="n">
        <x:v>9514</x:v>
      </x:c>
      <x:c r="U179" s="64" t="n">
        <x:v>80000</x:v>
      </x:c>
      <x:c r="V179" s="49" t="str">
        <x:v>Normal FRA-approved annual tuition + development fee; not seat-type-specific</x:v>
      </x:c>
      <x:c r="W179" s="49"/>
      <x:c r="X179" s="49"/>
      <x:c r="Y179" s="68"/>
      <x:c r="Z179" s="49"/>
      <x:c r="AA179" s="49"/>
      <x:c r="AB179" s="49" t="str">
        <x:v>Not centrally verified</x:v>
      </x:c>
      <x:c r="AC179" s="49" t="str">
        <x:v>Not centrally verified</x:v>
      </x:c>
      <x:c r="AD179" s="49" t="str">
        <x:v>Not centrally verified</x:v>
      </x:c>
      <x:c r="AE179" s="49" t="str">
        <x:v>Not available in a standardized official source</x:v>
      </x:c>
      <x:c r="AF179" s="49" t="str">
        <x:v>Not included: no official standardized source; cutoff-derived proxy excluded</x:v>
      </x:c>
      <x:c r="AG179" s="49" t="str">
        <x:v>https://dse2025.mahacet.org.in/dse25/admin/allotment/cap2/5124_4.pdf</x:v>
      </x:c>
      <x:c r="AH179" s="49" t="str">
        <x:v>https://fe2025.mahacet.org/StaticPages/frmInstituteSummary.aspx?InstituteCode=05124</x:v>
      </x:c>
      <x:c r="AI179" s="49"/>
      <x:c r="AJ179" s="49" t="str"/>
      <x:c r="AK179" s="69" t="n">
        <x:f>IF(W179&lt;&gt;"",50,IF(X179="101-150",45,IF(X179="151-200",40,IF(X179="201-300",35,0))))+IF(H179="Autonomous",20,0)+IF(OR(G179="Government",G179="Government-Aided",G179="University Department",G179="University",G179="University Autonomous"),15,0)+MIN(K179,10)+IF(AA179&lt;&gt;"",3,0)+IF(U179&lt;&gt;"",2,0)</x:f>
        <x:v>9</x:v>
      </x:c>
      <x:c r="AL179" s="49" t="str">
        <x:f>IF(AK179&gt;=70,"Official/high-evidence reference",IF(AK179&gt;=40,"Planning reference","Broader option"))</x:f>
        <x:v>Broader option</x:v>
      </x:c>
    </x:row>
    <x:row r="180">
      <x:c r="A180" s="63" t="n">
        <x:v>5125</x:v>
      </x:c>
      <x:c r="B180" s="49" t="str">
        <x:v>Pravara Rural Education Society's Sir Visvesvaraya Institute of Technology, Chincholi Dist. Nashik</x:v>
      </x:c>
      <x:c r="C180" s="49" t="str">
        <x:v>Maharashtra</x:v>
      </x:c>
      <x:c r="D180" s="49" t="str">
        <x:v>Nashik</x:v>
      </x:c>
      <x:c r="E180" s="49" t="str">
        <x:v>Nashik</x:v>
      </x:c>
      <x:c r="F180" s="49" t="str">
        <x:v>At / Po Chincholi, Tal. Sinnar, Nashik</x:v>
      </x:c>
      <x:c r="G180" s="49" t="str">
        <x:v>Un-Aided</x:v>
      </x:c>
      <x:c r="H180" s="49" t="str">
        <x:v>Non-Autonomous</x:v>
      </x:c>
      <x:c r="I180" s="49" t="str">
        <x:v>Non-Minority</x:v>
      </x:c>
      <x:c r="J180" s="49" t="str">
        <x:v>Savitribai Phule Pune University</x:v>
      </x:c>
      <x:c r="K180" s="49" t="n">
        <x:v>4</x:v>
      </x:c>
      <x:c r="L180" s="49" t="n">
        <x:v>57</x:v>
      </x:c>
      <x:c r="M180" s="49" t="n">
        <x:v>34</x:v>
      </x:c>
      <x:c r="N180" s="49" t="n">
        <x:v>23</x:v>
      </x:c>
      <x:c r="O180" s="49"/>
      <x:c r="P180" s="49"/>
      <x:c r="Q180" s="49" t="str">
        <x:v>Parsed from official 2025-26 PDF</x:v>
      </x:c>
      <x:c r="R180" s="49" t="str">
        <x:v>2024-25</x:v>
      </x:c>
      <x:c r="S180" s="64" t="n">
        <x:v>79017</x:v>
      </x:c>
      <x:c r="T180" s="64" t="n">
        <x:v>9483</x:v>
      </x:c>
      <x:c r="U180" s="64" t="n">
        <x:v>88500</x:v>
      </x:c>
      <x:c r="V180" s="49" t="str">
        <x:v>Normal FRA-approved annual tuition + development fee; not seat-type-specific</x:v>
      </x:c>
      <x:c r="W180" s="49"/>
      <x:c r="X180" s="49"/>
      <x:c r="Y180" s="68"/>
      <x:c r="Z180" s="49"/>
      <x:c r="AA180" s="49"/>
      <x:c r="AB180" s="49" t="str">
        <x:v>Not centrally verified</x:v>
      </x:c>
      <x:c r="AC180" s="49" t="str">
        <x:v>Not centrally verified</x:v>
      </x:c>
      <x:c r="AD180" s="49" t="str">
        <x:v>Not centrally verified</x:v>
      </x:c>
      <x:c r="AE180" s="49" t="str">
        <x:v>Not available in a standardized official source</x:v>
      </x:c>
      <x:c r="AF180" s="49" t="str">
        <x:v>Not included: no official standardized source; cutoff-derived proxy excluded</x:v>
      </x:c>
      <x:c r="AG180" s="49" t="str">
        <x:v>https://dse2025.mahacet.org.in/dse25/admin/allotment/cap2/5125_4.pdf</x:v>
      </x:c>
      <x:c r="AH180" s="49" t="str">
        <x:v>https://fe2025.mahacet.org/StaticPages/frmInstituteSummary.aspx?InstituteCode=05125</x:v>
      </x:c>
      <x:c r="AI180" s="49"/>
      <x:c r="AJ180" s="49" t="str"/>
      <x:c r="AK180" s="69" t="n">
        <x:f>IF(W180&lt;&gt;"",50,IF(X180="101-150",45,IF(X180="151-200",40,IF(X180="201-300",35,0))))+IF(H180="Autonomous",20,0)+IF(OR(G180="Government",G180="Government-Aided",G180="University Department",G180="University",G180="University Autonomous"),15,0)+MIN(K180,10)+IF(AA180&lt;&gt;"",3,0)+IF(U180&lt;&gt;"",2,0)</x:f>
        <x:v>6</x:v>
      </x:c>
      <x:c r="AL180" s="49" t="str">
        <x:f>IF(AK180&gt;=70,"Official/high-evidence reference",IF(AK180&gt;=40,"Planning reference","Broader option"))</x:f>
        <x:v>Broader option</x:v>
      </x:c>
    </x:row>
    <x:row r="181">
      <x:c r="A181" s="63" t="n">
        <x:v>5130</x:v>
      </x:c>
      <x:c r="B181" s="49" t="str">
        <x:v>Brahma Valley College of Engineering &amp; Research, Trimbakeshwar, Nashik</x:v>
      </x:c>
      <x:c r="C181" s="49" t="str">
        <x:v>Maharashtra</x:v>
      </x:c>
      <x:c r="D181" s="49" t="str">
        <x:v>Nashik</x:v>
      </x:c>
      <x:c r="E181" s="49" t="str">
        <x:v>Nashik</x:v>
      </x:c>
      <x:c r="F181" s="49" t="str">
        <x:v>Anjaneri Village, Trimbakeshwar, Dist.Nashik 422103</x:v>
      </x:c>
      <x:c r="G181" s="49" t="str">
        <x:v>Un-Aided</x:v>
      </x:c>
      <x:c r="H181" s="49" t="str">
        <x:v>Non-Autonomous</x:v>
      </x:c>
      <x:c r="I181" s="49" t="str">
        <x:v>Non-Minority</x:v>
      </x:c>
      <x:c r="J181" s="49" t="str">
        <x:v>Savitribai Phule Pune University</x:v>
      </x:c>
      <x:c r="K181" s="49" t="n">
        <x:v>4</x:v>
      </x:c>
      <x:c r="L181" s="49" t="n">
        <x:v>191</x:v>
      </x:c>
      <x:c r="M181" s="49" t="n">
        <x:v>162</x:v>
      </x:c>
      <x:c r="N181" s="49" t="n">
        <x:v>29</x:v>
      </x:c>
      <x:c r="O181" s="49"/>
      <x:c r="P181" s="49"/>
      <x:c r="Q181" s="49" t="str">
        <x:v>Parsed from official 2025-26 PDF</x:v>
      </x:c>
      <x:c r="R181" s="49"/>
      <x:c r="S181" s="64"/>
      <x:c r="T181" s="64"/>
      <x:c r="U181" s="64"/>
      <x:c r="V181" s="49" t="str">
        <x:v>No verified FRA match</x:v>
      </x:c>
      <x:c r="W181" s="49"/>
      <x:c r="X181" s="49"/>
      <x:c r="Y181" s="68"/>
      <x:c r="Z181" s="49"/>
      <x:c r="AA181" s="49"/>
      <x:c r="AB181" s="49" t="str">
        <x:v>Not centrally verified</x:v>
      </x:c>
      <x:c r="AC181" s="49" t="str">
        <x:v>Not centrally verified</x:v>
      </x:c>
      <x:c r="AD181" s="49" t="str">
        <x:v>Not centrally verified</x:v>
      </x:c>
      <x:c r="AE181" s="49" t="str">
        <x:v>Not available in a standardized official source</x:v>
      </x:c>
      <x:c r="AF181" s="49" t="str">
        <x:v>Not included: no official standardized source; cutoff-derived proxy excluded</x:v>
      </x:c>
      <x:c r="AG181" s="49" t="str">
        <x:v>https://dse2025.mahacet.org.in/dse25/admin/allotment/cap2/5130_4.pdf</x:v>
      </x:c>
      <x:c r="AH181" s="49" t="str">
        <x:v>https://fe2025.mahacet.org/StaticPages/frmInstituteSummary.aspx?InstituteCode=05130</x:v>
      </x:c>
      <x:c r="AI181" s="49"/>
      <x:c r="AJ181" s="49" t="str"/>
      <x:c r="AK181" s="69" t="n">
        <x:f>IF(W181&lt;&gt;"",50,IF(X181="101-150",45,IF(X181="151-200",40,IF(X181="201-300",35,0))))+IF(H181="Autonomous",20,0)+IF(OR(G181="Government",G181="Government-Aided",G181="University Department",G181="University",G181="University Autonomous"),15,0)+MIN(K181,10)+IF(AA181&lt;&gt;"",3,0)+IF(U181&lt;&gt;"",2,0)</x:f>
        <x:v>4</x:v>
      </x:c>
      <x:c r="AL181" s="49" t="str">
        <x:f>IF(AK181&gt;=70,"Official/high-evidence reference",IF(AK181&gt;=40,"Planning reference","Broader option"))</x:f>
        <x:v>Broader option</x:v>
      </x:c>
    </x:row>
    <x:row r="182">
      <x:c r="A182" s="63" t="n">
        <x:v>5139</x:v>
      </x:c>
      <x:c r="B182" s="49" t="str">
        <x:v>Pravara Rural College of Engineering, Loni, Pravaranagar, Ahmednagar.</x:v>
      </x:c>
      <x:c r="C182" s="49" t="str">
        <x:v>Maharashtra</x:v>
      </x:c>
      <x:c r="D182" s="49" t="str">
        <x:v>Nashik</x:v>
      </x:c>
      <x:c r="E182" s="49" t="str">
        <x:v>Ahilyanagar</x:v>
      </x:c>
      <x:c r="F182" s="49" t="str">
        <x:v>A/P.Loni, Tal.Rahata Dist.Ahmednagar</x:v>
      </x:c>
      <x:c r="G182" s="49" t="str">
        <x:v>Un-Aided</x:v>
      </x:c>
      <x:c r="H182" s="49" t="str">
        <x:v>Non-Autonomous</x:v>
      </x:c>
      <x:c r="I182" s="49" t="str">
        <x:v>Non-Minority</x:v>
      </x:c>
      <x:c r="J182" s="49" t="str">
        <x:v>Savitribai Phule Pune University</x:v>
      </x:c>
      <x:c r="K182" s="49" t="n">
        <x:v>10</x:v>
      </x:c>
      <x:c r="L182" s="49" t="n">
        <x:v>134</x:v>
      </x:c>
      <x:c r="M182" s="49" t="n">
        <x:v>98</x:v>
      </x:c>
      <x:c r="N182" s="49" t="n">
        <x:v>36</x:v>
      </x:c>
      <x:c r="O182" s="49"/>
      <x:c r="P182" s="49"/>
      <x:c r="Q182" s="49" t="str">
        <x:v>Parsed from official 2025-26 PDF</x:v>
      </x:c>
      <x:c r="R182" s="49" t="str">
        <x:v>2024-25</x:v>
      </x:c>
      <x:c r="S182" s="64" t="n">
        <x:v>110435</x:v>
      </x:c>
      <x:c r="T182" s="64" t="n">
        <x:v>16565</x:v>
      </x:c>
      <x:c r="U182" s="64" t="n">
        <x:v>127000</x:v>
      </x:c>
      <x:c r="V182" s="49" t="str">
        <x:v>Normal FRA-approved annual tuition + development fee; not seat-type-specific</x:v>
      </x:c>
      <x:c r="W182" s="49"/>
      <x:c r="X182" s="49"/>
      <x:c r="Y182" s="68"/>
      <x:c r="Z182" s="49"/>
      <x:c r="AA182" s="49"/>
      <x:c r="AB182" s="49" t="str">
        <x:v>Not centrally verified</x:v>
      </x:c>
      <x:c r="AC182" s="49" t="str">
        <x:v>Not centrally verified</x:v>
      </x:c>
      <x:c r="AD182" s="49" t="str">
        <x:v>Not centrally verified</x:v>
      </x:c>
      <x:c r="AE182" s="49" t="str">
        <x:v>Not available in a standardized official source</x:v>
      </x:c>
      <x:c r="AF182" s="49" t="str">
        <x:v>Not included: no official standardized source; cutoff-derived proxy excluded</x:v>
      </x:c>
      <x:c r="AG182" s="49" t="str">
        <x:v>https://dse2025.mahacet.org.in/dse25/admin/allotment/cap2/5139_4.pdf</x:v>
      </x:c>
      <x:c r="AH182" s="49" t="str">
        <x:v>https://fe2025.mahacet.org/StaticPages/frmInstituteSummary.aspx?InstituteCode=05139</x:v>
      </x:c>
      <x:c r="AI182" s="49"/>
      <x:c r="AJ182" s="49" t="str"/>
      <x:c r="AK182" s="69" t="n">
        <x:f>IF(W182&lt;&gt;"",50,IF(X182="101-150",45,IF(X182="151-200",40,IF(X182="201-300",35,0))))+IF(H182="Autonomous",20,0)+IF(OR(G182="Government",G182="Government-Aided",G182="University Department",G182="University",G182="University Autonomous"),15,0)+MIN(K182,10)+IF(AA182&lt;&gt;"",3,0)+IF(U182&lt;&gt;"",2,0)</x:f>
        <x:v>12</x:v>
      </x:c>
      <x:c r="AL182" s="49" t="str">
        <x:f>IF(AK182&gt;=70,"Official/high-evidence reference",IF(AK182&gt;=40,"Planning reference","Broader option"))</x:f>
        <x:v>Broader option</x:v>
      </x:c>
    </x:row>
    <x:row r="183">
      <x:c r="A183" s="63" t="n">
        <x:v>5151</x:v>
      </x:c>
      <x:c r="B183" s="49" t="str">
        <x:v>MET Bhujbal Knowledge City MET League's Engineering College, Adgaon, Nashik.</x:v>
      </x:c>
      <x:c r="C183" s="49" t="str">
        <x:v>Maharashtra</x:v>
      </x:c>
      <x:c r="D183" s="49" t="str">
        <x:v>Nashik</x:v>
      </x:c>
      <x:c r="E183" s="49" t="str">
        <x:v>Nashik</x:v>
      </x:c>
      <x:c r="F183" s="49" t="str">
        <x:v>Bhujbal Knowledge City , MET's Institute Of Engineering, Adgaon, Nashik</x:v>
      </x:c>
      <x:c r="G183" s="49" t="str">
        <x:v>Un-Aided</x:v>
      </x:c>
      <x:c r="H183" s="49" t="str">
        <x:v>Non-Autonomous</x:v>
      </x:c>
      <x:c r="I183" s="49" t="str">
        <x:v>Non-Minority</x:v>
      </x:c>
      <x:c r="J183" s="49" t="str">
        <x:v>Savitribai Phule Pune University</x:v>
      </x:c>
      <x:c r="K183" s="49" t="n">
        <x:v>7</x:v>
      </x:c>
      <x:c r="L183" s="49" t="n">
        <x:v>127</x:v>
      </x:c>
      <x:c r="M183" s="49" t="n">
        <x:v>99</x:v>
      </x:c>
      <x:c r="N183" s="49" t="n">
        <x:v>28</x:v>
      </x:c>
      <x:c r="O183" s="49"/>
      <x:c r="P183" s="49"/>
      <x:c r="Q183" s="49" t="str">
        <x:v>Parsed from official 2025-26 PDF</x:v>
      </x:c>
      <x:c r="R183" s="49"/>
      <x:c r="S183" s="64"/>
      <x:c r="T183" s="64"/>
      <x:c r="U183" s="64"/>
      <x:c r="V183" s="49" t="str">
        <x:v>No verified FRA match</x:v>
      </x:c>
      <x:c r="W183" s="49"/>
      <x:c r="X183" s="49"/>
      <x:c r="Y183" s="68"/>
      <x:c r="Z183" s="49"/>
      <x:c r="AA183" s="49"/>
      <x:c r="AB183" s="49" t="str">
        <x:v>Not centrally verified</x:v>
      </x:c>
      <x:c r="AC183" s="49" t="str">
        <x:v>Not centrally verified</x:v>
      </x:c>
      <x:c r="AD183" s="49" t="str">
        <x:v>Not centrally verified</x:v>
      </x:c>
      <x:c r="AE183" s="49" t="str">
        <x:v>Not available in a standardized official source</x:v>
      </x:c>
      <x:c r="AF183" s="49" t="str">
        <x:v>Not included: no official standardized source; cutoff-derived proxy excluded</x:v>
      </x:c>
      <x:c r="AG183" s="49" t="str">
        <x:v>https://dse2025.mahacet.org.in/dse25/admin/allotment/cap2/5151_4.pdf</x:v>
      </x:c>
      <x:c r="AH183" s="49" t="str">
        <x:v>https://fe2025.mahacet.org/StaticPages/frmInstituteSummary.aspx?InstituteCode=05151</x:v>
      </x:c>
      <x:c r="AI183" s="49"/>
      <x:c r="AJ183" s="49" t="str"/>
      <x:c r="AK183" s="69" t="n">
        <x:f>IF(W183&lt;&gt;"",50,IF(X183="101-150",45,IF(X183="151-200",40,IF(X183="201-300",35,0))))+IF(H183="Autonomous",20,0)+IF(OR(G183="Government",G183="Government-Aided",G183="University Department",G183="University",G183="University Autonomous"),15,0)+MIN(K183,10)+IF(AA183&lt;&gt;"",3,0)+IF(U183&lt;&gt;"",2,0)</x:f>
        <x:v>7</x:v>
      </x:c>
      <x:c r="AL183" s="49" t="str">
        <x:f>IF(AK183&gt;=70,"Official/high-evidence reference",IF(AK183&gt;=40,"Planning reference","Broader option"))</x:f>
        <x:v>Broader option</x:v>
      </x:c>
    </x:row>
    <x:row r="184">
      <x:c r="A184" s="63" t="n">
        <x:v>5152</x:v>
      </x:c>
      <x:c r="B184" s="49" t="str">
        <x:v>G H Raisoni College of Engineering and Management, Jalgaon</x:v>
      </x:c>
      <x:c r="C184" s="49" t="str">
        <x:v>Maharashtra</x:v>
      </x:c>
      <x:c r="D184" s="49" t="str">
        <x:v>Nashik</x:v>
      </x:c>
      <x:c r="E184" s="49" t="str">
        <x:v>Jalgaon</x:v>
      </x:c>
      <x:c r="F184" s="49" t="str">
        <x:v>Gat No 57/1, Shirsoli Road, Mohadi, Jalgaon 425003</x:v>
      </x:c>
      <x:c r="G184" s="49" t="str">
        <x:v>Un-Aided</x:v>
      </x:c>
      <x:c r="H184" s="49" t="str">
        <x:v>Autonomous</x:v>
      </x:c>
      <x:c r="I184" s="49" t="str">
        <x:v>Linguistic Minority - Hindi</x:v>
      </x:c>
      <x:c r="J184" s="49" t="str">
        <x:v>Kavayitri Bahinabai Chaudhari North Maharashtra University, Jalgaon</x:v>
      </x:c>
      <x:c r="K184" s="49" t="n">
        <x:v>9</x:v>
      </x:c>
      <x:c r="L184" s="49" t="n">
        <x:v>112</x:v>
      </x:c>
      <x:c r="M184" s="49" t="n">
        <x:v>48</x:v>
      </x:c>
      <x:c r="N184" s="49"/>
      <x:c r="O184" s="49" t="n">
        <x:v>64</x:v>
      </x:c>
      <x:c r="P184" s="49"/>
      <x:c r="Q184" s="49" t="str">
        <x:v>Parsed from official 2025-26 PDF</x:v>
      </x:c>
      <x:c r="R184" s="49"/>
      <x:c r="S184" s="64"/>
      <x:c r="T184" s="64"/>
      <x:c r="U184" s="64"/>
      <x:c r="V184" s="49" t="str">
        <x:v>No verified FRA match</x:v>
      </x:c>
      <x:c r="W184" s="49"/>
      <x:c r="X184" s="49"/>
      <x:c r="Y184" s="68"/>
      <x:c r="Z184" s="49"/>
      <x:c r="AA184" s="49"/>
      <x:c r="AB184" s="49" t="str">
        <x:v>Not centrally verified</x:v>
      </x:c>
      <x:c r="AC184" s="49" t="str">
        <x:v>Not centrally verified</x:v>
      </x:c>
      <x:c r="AD184" s="49" t="str">
        <x:v>Not centrally verified</x:v>
      </x:c>
      <x:c r="AE184" s="49" t="str">
        <x:v>Not available in a standardized official source</x:v>
      </x:c>
      <x:c r="AF184" s="49" t="str">
        <x:v>Not included: no official standardized source; cutoff-derived proxy excluded</x:v>
      </x:c>
      <x:c r="AG184" s="49" t="str">
        <x:v>https://dse2025.mahacet.org.in/dse25/admin/allotment/cap2/5152_4.pdf</x:v>
      </x:c>
      <x:c r="AH184" s="49" t="str">
        <x:v>https://fe2025.mahacet.org/StaticPages/frmInstituteSummary.aspx?InstituteCode=05152</x:v>
      </x:c>
      <x:c r="AI184" s="49"/>
      <x:c r="AJ184" s="49" t="str"/>
      <x:c r="AK184" s="69" t="n">
        <x:f>IF(W184&lt;&gt;"",50,IF(X184="101-150",45,IF(X184="151-200",40,IF(X184="201-300",35,0))))+IF(H184="Autonomous",20,0)+IF(OR(G184="Government",G184="Government-Aided",G184="University Department",G184="University",G184="University Autonomous"),15,0)+MIN(K184,10)+IF(AA184&lt;&gt;"",3,0)+IF(U184&lt;&gt;"",2,0)</x:f>
        <x:v>29</x:v>
      </x:c>
      <x:c r="AL184" s="49" t="str">
        <x:f>IF(AK184&gt;=70,"Official/high-evidence reference",IF(AK184&gt;=40,"Planning reference","Broader option"))</x:f>
        <x:v>Broader option</x:v>
      </x:c>
    </x:row>
    <x:row r="185">
      <x:c r="A185" s="63" t="n">
        <x:v>5160</x:v>
      </x:c>
      <x:c r="B185" s="49" t="str">
        <x:v>Sanjivani Rural Education Society's Sanjivani College of Engineering, Kopargaon</x:v>
      </x:c>
      <x:c r="C185" s="49" t="str">
        <x:v>Maharashtra</x:v>
      </x:c>
      <x:c r="D185" s="49" t="str">
        <x:v>Nashik</x:v>
      </x:c>
      <x:c r="E185" s="49" t="str">
        <x:v>Ahilyanagar</x:v>
      </x:c>
      <x:c r="F185" s="49" t="str">
        <x:v>Sahajanand Nagar, Po : Shingnapur, Tal : Kopargaon, Dist. Ahmednagar</x:v>
      </x:c>
      <x:c r="G185" s="49" t="str">
        <x:v>Un-Aided</x:v>
      </x:c>
      <x:c r="H185" s="49" t="str">
        <x:v>Autonomous</x:v>
      </x:c>
      <x:c r="I185" s="49" t="str">
        <x:v>Non-Minority</x:v>
      </x:c>
      <x:c r="J185" s="49" t="str">
        <x:v>Savitribai Phule Pune University</x:v>
      </x:c>
      <x:c r="K185" s="49" t="n">
        <x:v>8</x:v>
      </x:c>
      <x:c r="L185" s="49" t="n">
        <x:v>139</x:v>
      </x:c>
      <x:c r="M185" s="49" t="n">
        <x:v>109</x:v>
      </x:c>
      <x:c r="N185" s="49" t="n">
        <x:v>30</x:v>
      </x:c>
      <x:c r="O185" s="49"/>
      <x:c r="P185" s="49"/>
      <x:c r="Q185" s="49" t="str">
        <x:v>Parsed from official 2025-26 PDF</x:v>
      </x:c>
      <x:c r="R185" s="49" t="str">
        <x:v>2024-25</x:v>
      </x:c>
      <x:c r="S185" s="64" t="n">
        <x:v>139130</x:v>
      </x:c>
      <x:c r="T185" s="64" t="n">
        <x:v>20870</x:v>
      </x:c>
      <x:c r="U185" s="64" t="n">
        <x:v>160000</x:v>
      </x:c>
      <x:c r="V185" s="49" t="str">
        <x:v>Normal FRA-approved annual tuition + development fee; not seat-type-specific</x:v>
      </x:c>
      <x:c r="W185" s="49"/>
      <x:c r="X185" s="49"/>
      <x:c r="Y185" s="68"/>
      <x:c r="Z185" s="49"/>
      <x:c r="AA185" s="49"/>
      <x:c r="AB185" s="49" t="str">
        <x:v>Not centrally verified</x:v>
      </x:c>
      <x:c r="AC185" s="49" t="str">
        <x:v>Not centrally verified</x:v>
      </x:c>
      <x:c r="AD185" s="49" t="str">
        <x:v>Not centrally verified</x:v>
      </x:c>
      <x:c r="AE185" s="49" t="str">
        <x:v>Not available in a standardized official source</x:v>
      </x:c>
      <x:c r="AF185" s="49" t="str">
        <x:v>Not included: no official standardized source; cutoff-derived proxy excluded</x:v>
      </x:c>
      <x:c r="AG185" s="49" t="str">
        <x:v>https://dse2025.mahacet.org.in/dse25/admin/allotment/cap2/5160_4.pdf</x:v>
      </x:c>
      <x:c r="AH185" s="49" t="str">
        <x:v>https://fe2025.mahacet.org/StaticPages/frmInstituteSummary.aspx?InstituteCode=05160</x:v>
      </x:c>
      <x:c r="AI185" s="49"/>
      <x:c r="AJ185" s="49" t="str"/>
      <x:c r="AK185" s="69" t="n">
        <x:f>IF(W185&lt;&gt;"",50,IF(X185="101-150",45,IF(X185="151-200",40,IF(X185="201-300",35,0))))+IF(H185="Autonomous",20,0)+IF(OR(G185="Government",G185="Government-Aided",G185="University Department",G185="University",G185="University Autonomous"),15,0)+MIN(K185,10)+IF(AA185&lt;&gt;"",3,0)+IF(U185&lt;&gt;"",2,0)</x:f>
        <x:v>30</x:v>
      </x:c>
      <x:c r="AL185" s="49" t="str">
        <x:f>IF(AK185&gt;=70,"Official/high-evidence reference",IF(AK185&gt;=40,"Planning reference","Broader option"))</x:f>
        <x:v>Broader option</x:v>
      </x:c>
    </x:row>
    <x:row r="186">
      <x:c r="A186" s="63" t="n">
        <x:v>5161</x:v>
      </x:c>
      <x:c r="B186" s="49" t="str">
        <x:v>Dr. Vithalrao Vikhe Patil College of Engineering, Ahmednagar</x:v>
      </x:c>
      <x:c r="C186" s="49" t="str">
        <x:v>Maharashtra</x:v>
      </x:c>
      <x:c r="D186" s="49" t="str">
        <x:v>Nashik</x:v>
      </x:c>
      <x:c r="E186" s="49" t="str">
        <x:v>Ahilyanagar</x:v>
      </x:c>
      <x:c r="F186" s="49" t="str">
        <x:v>vadgaon Gupta, Vilad Ghat, P.O.-MIDC, Ahmednagar</x:v>
      </x:c>
      <x:c r="G186" s="49" t="str">
        <x:v>Un-Aided</x:v>
      </x:c>
      <x:c r="H186" s="49" t="str">
        <x:v>Non-Autonomous</x:v>
      </x:c>
      <x:c r="I186" s="49" t="str">
        <x:v>Non-Minority</x:v>
      </x:c>
      <x:c r="J186" s="49" t="str">
        <x:v>Savitribai Phule Pune University</x:v>
      </x:c>
      <x:c r="K186" s="49" t="n">
        <x:v>9</x:v>
      </x:c>
      <x:c r="L186" s="49" t="n">
        <x:v>141</x:v>
      </x:c>
      <x:c r="M186" s="49" t="n">
        <x:v>102</x:v>
      </x:c>
      <x:c r="N186" s="49" t="n">
        <x:v>39</x:v>
      </x:c>
      <x:c r="O186" s="49"/>
      <x:c r="P186" s="49"/>
      <x:c r="Q186" s="49" t="str">
        <x:v>Parsed from official 2025-26 PDF</x:v>
      </x:c>
      <x:c r="R186" s="49" t="str">
        <x:v>2024-25</x:v>
      </x:c>
      <x:c r="S186" s="64" t="n">
        <x:v>92173</x:v>
      </x:c>
      <x:c r="T186" s="64" t="n">
        <x:v>13827</x:v>
      </x:c>
      <x:c r="U186" s="64" t="n">
        <x:v>106000</x:v>
      </x:c>
      <x:c r="V186" s="49" t="str">
        <x:v>Normal FRA-approved annual tuition + development fee; not seat-type-specific</x:v>
      </x:c>
      <x:c r="W186" s="49"/>
      <x:c r="X186" s="49"/>
      <x:c r="Y186" s="68"/>
      <x:c r="Z186" s="49"/>
      <x:c r="AA186" s="49"/>
      <x:c r="AB186" s="49" t="str">
        <x:v>Not centrally verified</x:v>
      </x:c>
      <x:c r="AC186" s="49" t="str">
        <x:v>Not centrally verified</x:v>
      </x:c>
      <x:c r="AD186" s="49" t="str">
        <x:v>Not centrally verified</x:v>
      </x:c>
      <x:c r="AE186" s="49" t="str">
        <x:v>Not available in a standardized official source</x:v>
      </x:c>
      <x:c r="AF186" s="49" t="str">
        <x:v>Not included: no official standardized source; cutoff-derived proxy excluded</x:v>
      </x:c>
      <x:c r="AG186" s="49" t="str">
        <x:v>https://dse2025.mahacet.org.in/dse25/admin/allotment/cap2/5161_4.pdf</x:v>
      </x:c>
      <x:c r="AH186" s="49" t="str">
        <x:v>https://fe2025.mahacet.org/StaticPages/frmInstituteSummary.aspx?InstituteCode=05161</x:v>
      </x:c>
      <x:c r="AI186" s="49"/>
      <x:c r="AJ186" s="49" t="str"/>
      <x:c r="AK186" s="69" t="n">
        <x:f>IF(W186&lt;&gt;"",50,IF(X186="101-150",45,IF(X186="151-200",40,IF(X186="201-300",35,0))))+IF(H186="Autonomous",20,0)+IF(OR(G186="Government",G186="Government-Aided",G186="University Department",G186="University",G186="University Autonomous"),15,0)+MIN(K186,10)+IF(AA186&lt;&gt;"",3,0)+IF(U186&lt;&gt;"",2,0)</x:f>
        <x:v>11</x:v>
      </x:c>
      <x:c r="AL186" s="49" t="str">
        <x:f>IF(AK186&gt;=70,"Official/high-evidence reference",IF(AK186&gt;=40,"Planning reference","Broader option"))</x:f>
        <x:v>Broader option</x:v>
      </x:c>
    </x:row>
    <x:row r="187">
      <x:c r="A187" s="63" t="n">
        <x:v>5162</x:v>
      </x:c>
      <x:c r="B187" s="49" t="str">
        <x:v>Amrutvahini Sheti &amp; Shikshan Vikas Sanstha's Amrutvahini College of Engineering, Sangamner</x:v>
      </x:c>
      <x:c r="C187" s="49" t="str">
        <x:v>Maharashtra</x:v>
      </x:c>
      <x:c r="D187" s="49" t="str">
        <x:v>Nashik</x:v>
      </x:c>
      <x:c r="E187" s="49" t="str">
        <x:v>Ahilyanagar</x:v>
      </x:c>
      <x:c r="F187" s="49" t="str">
        <x:v>P.O.: Sangamner Sakhar Karkhana, Tal : Sangamner, Dist. Ahmednagar</x:v>
      </x:c>
      <x:c r="G187" s="49" t="str">
        <x:v>Un-Aided</x:v>
      </x:c>
      <x:c r="H187" s="49" t="str">
        <x:v>Autonomous</x:v>
      </x:c>
      <x:c r="I187" s="49" t="str">
        <x:v>Non-Minority</x:v>
      </x:c>
      <x:c r="J187" s="49" t="str">
        <x:v>Savitribai Phule Pune University</x:v>
      </x:c>
      <x:c r="K187" s="49" t="n">
        <x:v>9</x:v>
      </x:c>
      <x:c r="L187" s="49" t="n">
        <x:v>192</x:v>
      </x:c>
      <x:c r="M187" s="49" t="n">
        <x:v>156</x:v>
      </x:c>
      <x:c r="N187" s="49" t="n">
        <x:v>36</x:v>
      </x:c>
      <x:c r="O187" s="49"/>
      <x:c r="P187" s="49"/>
      <x:c r="Q187" s="49" t="str">
        <x:v>Parsed from official 2025-26 PDF</x:v>
      </x:c>
      <x:c r="R187" s="49" t="str">
        <x:v>2024-25</x:v>
      </x:c>
      <x:c r="S187" s="64" t="n">
        <x:v>115652</x:v>
      </x:c>
      <x:c r="T187" s="64" t="n">
        <x:v>17348</x:v>
      </x:c>
      <x:c r="U187" s="64" t="n">
        <x:v>133000</x:v>
      </x:c>
      <x:c r="V187" s="49" t="str">
        <x:v>Normal FRA-approved annual tuition + development fee; not seat-type-specific</x:v>
      </x:c>
      <x:c r="W187" s="49"/>
      <x:c r="X187" s="49"/>
      <x:c r="Y187" s="68"/>
      <x:c r="Z187" s="49"/>
      <x:c r="AA187" s="49"/>
      <x:c r="AB187" s="49" t="str">
        <x:v>Not centrally verified</x:v>
      </x:c>
      <x:c r="AC187" s="49" t="str">
        <x:v>Not centrally verified</x:v>
      </x:c>
      <x:c r="AD187" s="49" t="str">
        <x:v>Not centrally verified</x:v>
      </x:c>
      <x:c r="AE187" s="49" t="str">
        <x:v>Not available in a standardized official source</x:v>
      </x:c>
      <x:c r="AF187" s="49" t="str">
        <x:v>Not included: no official standardized source; cutoff-derived proxy excluded</x:v>
      </x:c>
      <x:c r="AG187" s="49" t="str">
        <x:v>https://dse2025.mahacet.org.in/dse25/admin/allotment/cap2/5162_4.pdf</x:v>
      </x:c>
      <x:c r="AH187" s="49" t="str">
        <x:v>https://fe2025.mahacet.org/StaticPages/frmInstituteSummary.aspx?InstituteCode=05162</x:v>
      </x:c>
      <x:c r="AI187" s="49"/>
      <x:c r="AJ187" s="49" t="str"/>
      <x:c r="AK187" s="69" t="n">
        <x:f>IF(W187&lt;&gt;"",50,IF(X187="101-150",45,IF(X187="151-200",40,IF(X187="201-300",35,0))))+IF(H187="Autonomous",20,0)+IF(OR(G187="Government",G187="Government-Aided",G187="University Department",G187="University",G187="University Autonomous"),15,0)+MIN(K187,10)+IF(AA187&lt;&gt;"",3,0)+IF(U187&lt;&gt;"",2,0)</x:f>
        <x:v>31</x:v>
      </x:c>
      <x:c r="AL187" s="49" t="str">
        <x:f>IF(AK187&gt;=70,"Official/high-evidence reference",IF(AK187&gt;=40,"Planning reference","Broader option"))</x:f>
        <x:v>Broader option</x:v>
      </x:c>
    </x:row>
    <x:row r="188">
      <x:c r="A188" s="63" t="n">
        <x:v>5164</x:v>
      </x:c>
      <x:c r="B188" s="49" t="str">
        <x:v>P.S.G.V.P. Mandal's D.N. Patel College of Engineering, Shahada, Dist. Nandurbar</x:v>
      </x:c>
      <x:c r="C188" s="49" t="str">
        <x:v>Maharashtra</x:v>
      </x:c>
      <x:c r="D188" s="49" t="str">
        <x:v>Nashik</x:v>
      </x:c>
      <x:c r="E188" s="49" t="str">
        <x:v>Nandurbar</x:v>
      </x:c>
      <x:c r="F188" s="49" t="str">
        <x:v>Poojya Sane Guruji Vidya Prasarak Mandal's, D.N. Patel College of Engineering, Shahada, Dist. Nandurbar</x:v>
      </x:c>
      <x:c r="G188" s="49" t="str">
        <x:v>Un-Aided</x:v>
      </x:c>
      <x:c r="H188" s="49" t="str">
        <x:v>Non-Autonomous</x:v>
      </x:c>
      <x:c r="I188" s="49" t="str">
        <x:v>Linguistic Minority - Gujar</x:v>
      </x:c>
      <x:c r="J188" s="49" t="str">
        <x:v>Dr. Babasaheb Ambedkar Technological University,Lonere</x:v>
      </x:c>
      <x:c r="K188" s="49" t="n">
        <x:v>6</x:v>
      </x:c>
      <x:c r="L188" s="49" t="n">
        <x:v>185</x:v>
      </x:c>
      <x:c r="M188" s="49" t="n">
        <x:v>87</x:v>
      </x:c>
      <x:c r="N188" s="49"/>
      <x:c r="O188" s="49" t="n">
        <x:v>98</x:v>
      </x:c>
      <x:c r="P188" s="49"/>
      <x:c r="Q188" s="49" t="str">
        <x:v>Parsed from official 2025-26 PDF</x:v>
      </x:c>
      <x:c r="R188" s="49" t="str">
        <x:v>2024-25</x:v>
      </x:c>
      <x:c r="S188" s="64" t="n">
        <x:v>71554</x:v>
      </x:c>
      <x:c r="T188" s="64" t="n">
        <x:v>8946</x:v>
      </x:c>
      <x:c r="U188" s="64" t="n">
        <x:v>80500</x:v>
      </x:c>
      <x:c r="V188" s="49" t="str">
        <x:v>Normal FRA-approved annual tuition + development fee; not seat-type-specific</x:v>
      </x:c>
      <x:c r="W188" s="49"/>
      <x:c r="X188" s="49"/>
      <x:c r="Y188" s="68"/>
      <x:c r="Z188" s="49"/>
      <x:c r="AA188" s="49"/>
      <x:c r="AB188" s="49" t="str">
        <x:v>Not centrally verified</x:v>
      </x:c>
      <x:c r="AC188" s="49" t="str">
        <x:v>Not centrally verified</x:v>
      </x:c>
      <x:c r="AD188" s="49" t="str">
        <x:v>Not centrally verified</x:v>
      </x:c>
      <x:c r="AE188" s="49" t="str">
        <x:v>Not available in a standardized official source</x:v>
      </x:c>
      <x:c r="AF188" s="49" t="str">
        <x:v>Not included: no official standardized source; cutoff-derived proxy excluded</x:v>
      </x:c>
      <x:c r="AG188" s="49" t="str">
        <x:v>https://dse2025.mahacet.org.in/dse25/admin/allotment/cap2/5164_4.pdf</x:v>
      </x:c>
      <x:c r="AH188" s="49" t="str">
        <x:v>https://fe2025.mahacet.org/StaticPages/frmInstituteSummary.aspx?InstituteCode=05164</x:v>
      </x:c>
      <x:c r="AI188" s="49"/>
      <x:c r="AJ188" s="49" t="str"/>
      <x:c r="AK188" s="69" t="n">
        <x:f>IF(W188&lt;&gt;"",50,IF(X188="101-150",45,IF(X188="151-200",40,IF(X188="201-300",35,0))))+IF(H188="Autonomous",20,0)+IF(OR(G188="Government",G188="Government-Aided",G188="University Department",G188="University",G188="University Autonomous"),15,0)+MIN(K188,10)+IF(AA188&lt;&gt;"",3,0)+IF(U188&lt;&gt;"",2,0)</x:f>
        <x:v>8</x:v>
      </x:c>
      <x:c r="AL188" s="49" t="str">
        <x:f>IF(AK188&gt;=70,"Official/high-evidence reference",IF(AK188&gt;=40,"Planning reference","Broader option"))</x:f>
        <x:v>Broader option</x:v>
      </x:c>
    </x:row>
    <x:row r="189">
      <x:c r="A189" s="63" t="n">
        <x:v>5168</x:v>
      </x:c>
      <x:c r="B189" s="49" t="str">
        <x:v>T.M.E. Society's J.T.Mahajan College of Engineering, Faizpur</x:v>
      </x:c>
      <x:c r="C189" s="49" t="str">
        <x:v>Maharashtra</x:v>
      </x:c>
      <x:c r="D189" s="49" t="str">
        <x:v>Nashik</x:v>
      </x:c>
      <x:c r="E189" s="49" t="str">
        <x:v>Jalgaon</x:v>
      </x:c>
      <x:c r="F189" s="49" t="str">
        <x:v>Jivram Nagar, ,Nhavi Marg, PO:Faizpur(MSSK), Dist. Jalgaon</x:v>
      </x:c>
      <x:c r="G189" s="49" t="str">
        <x:v>Un-Aided</x:v>
      </x:c>
      <x:c r="H189" s="49" t="str">
        <x:v>Non-Autonomous</x:v>
      </x:c>
      <x:c r="I189" s="49" t="str">
        <x:v>Non-Minority</x:v>
      </x:c>
      <x:c r="J189" s="49" t="str">
        <x:v>Dr. Babasaheb Ambedkar Technological University,Lonere</x:v>
      </x:c>
      <x:c r="K189" s="49" t="n">
        <x:v>4</x:v>
      </x:c>
      <x:c r="L189" s="49" t="n">
        <x:v>174</x:v>
      </x:c>
      <x:c r="M189" s="49" t="n">
        <x:v>153</x:v>
      </x:c>
      <x:c r="N189" s="49" t="n">
        <x:v>21</x:v>
      </x:c>
      <x:c r="O189" s="49"/>
      <x:c r="P189" s="49"/>
      <x:c r="Q189" s="49" t="str">
        <x:v>Parsed from official 2025-26 PDF</x:v>
      </x:c>
      <x:c r="R189" s="49" t="str">
        <x:v>2024-25</x:v>
      </x:c>
      <x:c r="S189" s="64" t="n">
        <x:v>48548</x:v>
      </x:c>
      <x:c r="T189" s="64" t="n">
        <x:v>4952</x:v>
      </x:c>
      <x:c r="U189" s="64" t="n">
        <x:v>53500</x:v>
      </x:c>
      <x:c r="V189" s="49" t="str">
        <x:v>Normal FRA-approved annual tuition + development fee; not seat-type-specific</x:v>
      </x:c>
      <x:c r="W189" s="49"/>
      <x:c r="X189" s="49"/>
      <x:c r="Y189" s="68"/>
      <x:c r="Z189" s="49"/>
      <x:c r="AA189" s="49"/>
      <x:c r="AB189" s="49" t="str">
        <x:v>Not centrally verified</x:v>
      </x:c>
      <x:c r="AC189" s="49" t="str">
        <x:v>Not centrally verified</x:v>
      </x:c>
      <x:c r="AD189" s="49" t="str">
        <x:v>Not centrally verified</x:v>
      </x:c>
      <x:c r="AE189" s="49" t="str">
        <x:v>Not available in a standardized official source</x:v>
      </x:c>
      <x:c r="AF189" s="49" t="str">
        <x:v>Not included: no official standardized source; cutoff-derived proxy excluded</x:v>
      </x:c>
      <x:c r="AG189" s="49" t="str">
        <x:v>https://dse2025.mahacet.org.in/dse25/admin/allotment/cap2/5168_4.pdf</x:v>
      </x:c>
      <x:c r="AH189" s="49" t="str">
        <x:v>https://fe2025.mahacet.org/StaticPages/frmInstituteSummary.aspx?InstituteCode=05168</x:v>
      </x:c>
      <x:c r="AI189" s="49"/>
      <x:c r="AJ189" s="49" t="str"/>
      <x:c r="AK189" s="69" t="n">
        <x:f>IF(W189&lt;&gt;"",50,IF(X189="101-150",45,IF(X189="151-200",40,IF(X189="201-300",35,0))))+IF(H189="Autonomous",20,0)+IF(OR(G189="Government",G189="Government-Aided",G189="University Department",G189="University",G189="University Autonomous"),15,0)+MIN(K189,10)+IF(AA189&lt;&gt;"",3,0)+IF(U189&lt;&gt;"",2,0)</x:f>
        <x:v>6</x:v>
      </x:c>
      <x:c r="AL189" s="49" t="str">
        <x:f>IF(AK189&gt;=70,"Official/high-evidence reference",IF(AK189&gt;=40,"Planning reference","Broader option"))</x:f>
        <x:v>Broader option</x:v>
      </x:c>
    </x:row>
    <x:row r="190">
      <x:c r="A190" s="63" t="n">
        <x:v>5169</x:v>
      </x:c>
      <x:c r="B190" s="49" t="str">
        <x:v>Nagaon Education Society's Gangamai College of Engineering, Nagaon, Tal Dist Dhule</x:v>
      </x:c>
      <x:c r="C190" s="49" t="str">
        <x:v>Maharashtra</x:v>
      </x:c>
      <x:c r="D190" s="49" t="str">
        <x:v>Nashik</x:v>
      </x:c>
      <x:c r="E190" s="49" t="str">
        <x:v>Dhule</x:v>
      </x:c>
      <x:c r="F190" s="49" t="str">
        <x:v>Nagaon At Post. Nagaon, Tal&amp;Dist. Dhule</x:v>
      </x:c>
      <x:c r="G190" s="49" t="str">
        <x:v>Un-Aided</x:v>
      </x:c>
      <x:c r="H190" s="49" t="str">
        <x:v>Non-Autonomous</x:v>
      </x:c>
      <x:c r="I190" s="49" t="str">
        <x:v>Non-Minority</x:v>
      </x:c>
      <x:c r="J190" s="49" t="str">
        <x:v>Kavayitri Bahinabai Chaudhari North Maharashtra University, Jalgaon</x:v>
      </x:c>
      <x:c r="K190" s="49" t="n">
        <x:v>5</x:v>
      </x:c>
      <x:c r="L190" s="49" t="n">
        <x:v>185</x:v>
      </x:c>
      <x:c r="M190" s="49" t="n">
        <x:v>152</x:v>
      </x:c>
      <x:c r="N190" s="49" t="n">
        <x:v>33</x:v>
      </x:c>
      <x:c r="O190" s="49"/>
      <x:c r="P190" s="49"/>
      <x:c r="Q190" s="49" t="str">
        <x:v>Parsed from official 2025-26 PDF</x:v>
      </x:c>
      <x:c r="R190" s="49" t="str">
        <x:v>2024-25</x:v>
      </x:c>
      <x:c r="S190" s="64" t="n">
        <x:v>53572</x:v>
      </x:c>
      <x:c r="T190" s="64" t="n">
        <x:v>6428</x:v>
      </x:c>
      <x:c r="U190" s="64" t="n">
        <x:v>60000</x:v>
      </x:c>
      <x:c r="V190" s="49" t="str">
        <x:v>Normal FRA-approved annual tuition + development fee; not seat-type-specific</x:v>
      </x:c>
      <x:c r="W190" s="49"/>
      <x:c r="X190" s="49"/>
      <x:c r="Y190" s="68"/>
      <x:c r="Z190" s="49"/>
      <x:c r="AA190" s="49"/>
      <x:c r="AB190" s="49" t="str">
        <x:v>Not centrally verified</x:v>
      </x:c>
      <x:c r="AC190" s="49" t="str">
        <x:v>Not centrally verified</x:v>
      </x:c>
      <x:c r="AD190" s="49" t="str">
        <x:v>Not centrally verified</x:v>
      </x:c>
      <x:c r="AE190" s="49" t="str">
        <x:v>Not available in a standardized official source</x:v>
      </x:c>
      <x:c r="AF190" s="49" t="str">
        <x:v>Not included: no official standardized source; cutoff-derived proxy excluded</x:v>
      </x:c>
      <x:c r="AG190" s="49" t="str">
        <x:v>https://dse2025.mahacet.org.in/dse25/admin/allotment/cap2/5169_4.pdf</x:v>
      </x:c>
      <x:c r="AH190" s="49" t="str">
        <x:v>https://fe2025.mahacet.org/StaticPages/frmInstituteSummary.aspx?InstituteCode=05169</x:v>
      </x:c>
      <x:c r="AI190" s="49"/>
      <x:c r="AJ190" s="49" t="str"/>
      <x:c r="AK190" s="69" t="n">
        <x:f>IF(W190&lt;&gt;"",50,IF(X190="101-150",45,IF(X190="151-200",40,IF(X190="201-300",35,0))))+IF(H190="Autonomous",20,0)+IF(OR(G190="Government",G190="Government-Aided",G190="University Department",G190="University",G190="University Autonomous"),15,0)+MIN(K190,10)+IF(AA190&lt;&gt;"",3,0)+IF(U190&lt;&gt;"",2,0)</x:f>
        <x:v>7</x:v>
      </x:c>
      <x:c r="AL190" s="49" t="str">
        <x:f>IF(AK190&gt;=70,"Official/high-evidence reference",IF(AK190&gt;=40,"Planning reference","Broader option"))</x:f>
        <x:v>Broader option</x:v>
      </x:c>
    </x:row>
    <x:row r="191">
      <x:c r="A191" s="63" t="n">
        <x:v>5170</x:v>
      </x:c>
      <x:c r="B191" s="49" t="str">
        <x:v>Hindi Seva Mandal's Shri Sant Gadgebaba College of Engineering &amp; Technology, Bhusawal</x:v>
      </x:c>
      <x:c r="C191" s="49" t="str">
        <x:v>Maharashtra</x:v>
      </x:c>
      <x:c r="D191" s="49" t="str">
        <x:v>Nashik</x:v>
      </x:c>
      <x:c r="E191" s="49" t="str">
        <x:v>Jalgaon</x:v>
      </x:c>
      <x:c r="F191" s="49" t="str">
        <x:v>Near Z.T.C Bhusawal, Dist. Jalgaon</x:v>
      </x:c>
      <x:c r="G191" s="49" t="str">
        <x:v>Un-Aided</x:v>
      </x:c>
      <x:c r="H191" s="49" t="str">
        <x:v>Autonomous</x:v>
      </x:c>
      <x:c r="I191" s="49" t="str">
        <x:v>Linguistic Minority - Hindi</x:v>
      </x:c>
      <x:c r="J191" s="49" t="str">
        <x:v>Dr. Babasaheb Ambedkar Technological University,Lonere</x:v>
      </x:c>
      <x:c r="K191" s="49" t="n">
        <x:v>7</x:v>
      </x:c>
      <x:c r="L191" s="49" t="n">
        <x:v>194</x:v>
      </x:c>
      <x:c r="M191" s="49" t="n">
        <x:v>92</x:v>
      </x:c>
      <x:c r="N191" s="49"/>
      <x:c r="O191" s="49" t="n">
        <x:v>102</x:v>
      </x:c>
      <x:c r="P191" s="49"/>
      <x:c r="Q191" s="49" t="str">
        <x:v>Parsed from official 2025-26 PDF</x:v>
      </x:c>
      <x:c r="R191" s="49" t="str">
        <x:v>2024-25</x:v>
      </x:c>
      <x:c r="S191" s="64" t="n">
        <x:v>79826</x:v>
      </x:c>
      <x:c r="T191" s="64" t="n">
        <x:v>11174</x:v>
      </x:c>
      <x:c r="U191" s="64" t="n">
        <x:v>91000</x:v>
      </x:c>
      <x:c r="V191" s="49" t="str">
        <x:v>Normal FRA-approved annual tuition + development fee; not seat-type-specific</x:v>
      </x:c>
      <x:c r="W191" s="49"/>
      <x:c r="X191" s="49"/>
      <x:c r="Y191" s="68"/>
      <x:c r="Z191" s="49"/>
      <x:c r="AA191" s="49"/>
      <x:c r="AB191" s="49" t="str">
        <x:v>Not centrally verified</x:v>
      </x:c>
      <x:c r="AC191" s="49" t="str">
        <x:v>Not centrally verified</x:v>
      </x:c>
      <x:c r="AD191" s="49" t="str">
        <x:v>Not centrally verified</x:v>
      </x:c>
      <x:c r="AE191" s="49" t="str">
        <x:v>Not available in a standardized official source</x:v>
      </x:c>
      <x:c r="AF191" s="49" t="str">
        <x:v>Not included: no official standardized source; cutoff-derived proxy excluded</x:v>
      </x:c>
      <x:c r="AG191" s="49" t="str">
        <x:v>https://dse2025.mahacet.org.in/dse25/admin/allotment/cap2/5170_4.pdf</x:v>
      </x:c>
      <x:c r="AH191" s="49" t="str">
        <x:v>https://fe2025.mahacet.org/StaticPages/frmInstituteSummary.aspx?InstituteCode=05170</x:v>
      </x:c>
      <x:c r="AI191" s="49"/>
      <x:c r="AJ191" s="49" t="str"/>
      <x:c r="AK191" s="69" t="n">
        <x:f>IF(W191&lt;&gt;"",50,IF(X191="101-150",45,IF(X191="151-200",40,IF(X191="201-300",35,0))))+IF(H191="Autonomous",20,0)+IF(OR(G191="Government",G191="Government-Aided",G191="University Department",G191="University",G191="University Autonomous"),15,0)+MIN(K191,10)+IF(AA191&lt;&gt;"",3,0)+IF(U191&lt;&gt;"",2,0)</x:f>
        <x:v>29</x:v>
      </x:c>
      <x:c r="AL191" s="49" t="str">
        <x:f>IF(AK191&gt;=70,"Official/high-evidence reference",IF(AK191&gt;=40,"Planning reference","Broader option"))</x:f>
        <x:v>Broader option</x:v>
      </x:c>
    </x:row>
    <x:row r="192">
      <x:c r="A192" s="63" t="n">
        <x:v>5171</x:v>
      </x:c>
      <x:c r="B192" s="49" t="str">
        <x:v>Godavari Foundation's Godavari College Of Engineering, Jalgaon</x:v>
      </x:c>
      <x:c r="C192" s="49" t="str">
        <x:v>Maharashtra</x:v>
      </x:c>
      <x:c r="D192" s="49" t="str">
        <x:v>Nashik</x:v>
      </x:c>
      <x:c r="E192" s="49" t="str">
        <x:v>Jalgaon</x:v>
      </x:c>
      <x:c r="F192" s="49" t="str">
        <x:v>Plot No.51, Dr. Ulhas Patil Nagar, Additional MIDC, Bhusawal Road, N.H.No.6, Jalgaon</x:v>
      </x:c>
      <x:c r="G192" s="49" t="str">
        <x:v>Un-Aided</x:v>
      </x:c>
      <x:c r="H192" s="49" t="str">
        <x:v>Non-Autonomous</x:v>
      </x:c>
      <x:c r="I192" s="49" t="str">
        <x:v>Non-Minority</x:v>
      </x:c>
      <x:c r="J192" s="49" t="str">
        <x:v>Dr. Babasaheb Ambedkar Technological University,Lonere</x:v>
      </x:c>
      <x:c r="K192" s="49" t="n">
        <x:v>5</x:v>
      </x:c>
      <x:c r="L192" s="49" t="n">
        <x:v>200</x:v>
      </x:c>
      <x:c r="M192" s="49" t="n">
        <x:v>171</x:v>
      </x:c>
      <x:c r="N192" s="49" t="n">
        <x:v>29</x:v>
      </x:c>
      <x:c r="O192" s="49"/>
      <x:c r="P192" s="49"/>
      <x:c r="Q192" s="49" t="str">
        <x:v>Parsed from official 2025-26 PDF</x:v>
      </x:c>
      <x:c r="R192" s="49" t="str">
        <x:v>2024-25</x:v>
      </x:c>
      <x:c r="S192" s="64" t="n">
        <x:v>69468</x:v>
      </x:c>
      <x:c r="T192" s="64" t="n">
        <x:v>9032</x:v>
      </x:c>
      <x:c r="U192" s="64" t="n">
        <x:v>78500</x:v>
      </x:c>
      <x:c r="V192" s="49" t="str">
        <x:v>Normal FRA-approved annual tuition + development fee; not seat-type-specific</x:v>
      </x:c>
      <x:c r="W192" s="49"/>
      <x:c r="X192" s="49"/>
      <x:c r="Y192" s="68"/>
      <x:c r="Z192" s="49"/>
      <x:c r="AA192" s="49"/>
      <x:c r="AB192" s="49" t="str">
        <x:v>Not centrally verified</x:v>
      </x:c>
      <x:c r="AC192" s="49" t="str">
        <x:v>Not centrally verified</x:v>
      </x:c>
      <x:c r="AD192" s="49" t="str">
        <x:v>Not centrally verified</x:v>
      </x:c>
      <x:c r="AE192" s="49" t="str">
        <x:v>Not available in a standardized official source</x:v>
      </x:c>
      <x:c r="AF192" s="49" t="str">
        <x:v>Not included: no official standardized source; cutoff-derived proxy excluded</x:v>
      </x:c>
      <x:c r="AG192" s="49" t="str">
        <x:v>https://dse2025.mahacet.org.in/dse25/admin/allotment/cap2/5171_4.pdf</x:v>
      </x:c>
      <x:c r="AH192" s="49" t="str">
        <x:v>https://fe2025.mahacet.org/StaticPages/frmInstituteSummary.aspx?InstituteCode=05171</x:v>
      </x:c>
      <x:c r="AI192" s="49"/>
      <x:c r="AJ192" s="49" t="str"/>
      <x:c r="AK192" s="69" t="n">
        <x:f>IF(W192&lt;&gt;"",50,IF(X192="101-150",45,IF(X192="151-200",40,IF(X192="201-300",35,0))))+IF(H192="Autonomous",20,0)+IF(OR(G192="Government",G192="Government-Aided",G192="University Department",G192="University",G192="University Autonomous"),15,0)+MIN(K192,10)+IF(AA192&lt;&gt;"",3,0)+IF(U192&lt;&gt;"",2,0)</x:f>
        <x:v>7</x:v>
      </x:c>
      <x:c r="AL192" s="49" t="str">
        <x:f>IF(AK192&gt;=70,"Official/high-evidence reference",IF(AK192&gt;=40,"Planning reference","Broader option"))</x:f>
        <x:v>Broader option</x:v>
      </x:c>
    </x:row>
    <x:row r="193">
      <x:c r="A193" s="63" t="n">
        <x:v>5172</x:v>
      </x:c>
      <x:c r="B193" s="49" t="str">
        <x:v>R. C. Patel Institute of Technology, Shirpur</x:v>
      </x:c>
      <x:c r="C193" s="49" t="str">
        <x:v>Maharashtra</x:v>
      </x:c>
      <x:c r="D193" s="49" t="str">
        <x:v>Nashik</x:v>
      </x:c>
      <x:c r="E193" s="49" t="str">
        <x:v>Dhule</x:v>
      </x:c>
      <x:c r="F193" s="49" t="str">
        <x:v>Near Nimzari Naka, Shirpur Dist. Dhule</x:v>
      </x:c>
      <x:c r="G193" s="49" t="str">
        <x:v>Un-Aided</x:v>
      </x:c>
      <x:c r="H193" s="49" t="str">
        <x:v>Autonomous</x:v>
      </x:c>
      <x:c r="I193" s="49" t="str">
        <x:v>Linguistic Minority - Gujarathi</x:v>
      </x:c>
      <x:c r="J193" s="49" t="str">
        <x:v>Dr. Babasaheb Ambedkar Technological University,Lonere</x:v>
      </x:c>
      <x:c r="K193" s="49" t="n">
        <x:v>9</x:v>
      </x:c>
      <x:c r="L193" s="49" t="n">
        <x:v>133</x:v>
      </x:c>
      <x:c r="M193" s="49" t="n">
        <x:v>59</x:v>
      </x:c>
      <x:c r="N193" s="49"/>
      <x:c r="O193" s="49" t="n">
        <x:v>74</x:v>
      </x:c>
      <x:c r="P193" s="49"/>
      <x:c r="Q193" s="49" t="str">
        <x:v>Parsed from official 2025-26 PDF</x:v>
      </x:c>
      <x:c r="R193" s="49" t="str">
        <x:v>2024-25</x:v>
      </x:c>
      <x:c r="S193" s="64" t="n">
        <x:v>121739</x:v>
      </x:c>
      <x:c r="T193" s="64" t="n">
        <x:v>18261</x:v>
      </x:c>
      <x:c r="U193" s="64" t="n">
        <x:v>140000</x:v>
      </x:c>
      <x:c r="V193" s="49" t="str">
        <x:v>Normal FRA-approved annual tuition + development fee; not seat-type-specific</x:v>
      </x:c>
      <x:c r="W193" s="49"/>
      <x:c r="X193" s="49"/>
      <x:c r="Y193" s="68"/>
      <x:c r="Z193" s="49"/>
      <x:c r="AA193" s="49"/>
      <x:c r="AB193" s="49" t="str">
        <x:v>Not centrally verified</x:v>
      </x:c>
      <x:c r="AC193" s="49" t="str">
        <x:v>Not centrally verified</x:v>
      </x:c>
      <x:c r="AD193" s="49" t="str">
        <x:v>Not centrally verified</x:v>
      </x:c>
      <x:c r="AE193" s="49" t="str">
        <x:v>Not available in a standardized official source</x:v>
      </x:c>
      <x:c r="AF193" s="49" t="str">
        <x:v>Not included: no official standardized source; cutoff-derived proxy excluded</x:v>
      </x:c>
      <x:c r="AG193" s="49" t="str">
        <x:v>https://dse2025.mahacet.org.in/dse25/admin/allotment/cap2/5172_4.pdf</x:v>
      </x:c>
      <x:c r="AH193" s="49" t="str">
        <x:v>https://fe2025.mahacet.org/StaticPages/frmInstituteSummary.aspx?InstituteCode=05172</x:v>
      </x:c>
      <x:c r="AI193" s="49"/>
      <x:c r="AJ193" s="49" t="str"/>
      <x:c r="AK193" s="69" t="n">
        <x:f>IF(W193&lt;&gt;"",50,IF(X193="101-150",45,IF(X193="151-200",40,IF(X193="201-300",35,0))))+IF(H193="Autonomous",20,0)+IF(OR(G193="Government",G193="Government-Aided",G193="University Department",G193="University",G193="University Autonomous"),15,0)+MIN(K193,10)+IF(AA193&lt;&gt;"",3,0)+IF(U193&lt;&gt;"",2,0)</x:f>
        <x:v>31</x:v>
      </x:c>
      <x:c r="AL193" s="49" t="str">
        <x:f>IF(AK193&gt;=70,"Official/high-evidence reference",IF(AK193&gt;=40,"Planning reference","Broader option"))</x:f>
        <x:v>Broader option</x:v>
      </x:c>
    </x:row>
    <x:row r="194">
      <x:c r="A194" s="63" t="n">
        <x:v>5173</x:v>
      </x:c>
      <x:c r="B194" s="49" t="str">
        <x:v>SNJB's Late Sau. Kantabai Bhavarlalji Jain College of Engineering, (Jain Gurukul), Neminagar,Chandwad,(Nashik)</x:v>
      </x:c>
      <x:c r="C194" s="49" t="str">
        <x:v>Maharashtra</x:v>
      </x:c>
      <x:c r="D194" s="49" t="str">
        <x:v>Nashik</x:v>
      </x:c>
      <x:c r="E194" s="49" t="str">
        <x:v>Nashik</x:v>
      </x:c>
      <x:c r="F194" s="49" t="str">
        <x:v>Jain Gurukul, Neminagar, Chandwad Dist. Nashik</x:v>
      </x:c>
      <x:c r="G194" s="49" t="str">
        <x:v>Un-Aided</x:v>
      </x:c>
      <x:c r="H194" s="49" t="str">
        <x:v>Autonomous</x:v>
      </x:c>
      <x:c r="I194" s="49" t="str">
        <x:v>Religious Minority - Jain</x:v>
      </x:c>
      <x:c r="J194" s="49" t="str">
        <x:v>Savitribai Phule Pune University</x:v>
      </x:c>
      <x:c r="K194" s="49" t="n">
        <x:v>5</x:v>
      </x:c>
      <x:c r="L194" s="49" t="n">
        <x:v>55</x:v>
      </x:c>
      <x:c r="M194" s="49" t="n">
        <x:v>23</x:v>
      </x:c>
      <x:c r="N194" s="49"/>
      <x:c r="O194" s="49" t="n">
        <x:v>32</x:v>
      </x:c>
      <x:c r="P194" s="49"/>
      <x:c r="Q194" s="49" t="str">
        <x:v>Parsed from official 2025-26 PDF</x:v>
      </x:c>
      <x:c r="R194" s="49" t="str">
        <x:v>2024-25</x:v>
      </x:c>
      <x:c r="S194" s="64" t="n">
        <x:v>89209</x:v>
      </x:c>
      <x:c r="T194" s="64" t="n">
        <x:v>13291</x:v>
      </x:c>
      <x:c r="U194" s="64" t="n">
        <x:v>102500</x:v>
      </x:c>
      <x:c r="V194" s="49" t="str">
        <x:v>Normal FRA-approved annual tuition + development fee; not seat-type-specific</x:v>
      </x:c>
      <x:c r="W194" s="49"/>
      <x:c r="X194" s="49"/>
      <x:c r="Y194" s="68"/>
      <x:c r="Z194" s="49"/>
      <x:c r="AA194" s="49"/>
      <x:c r="AB194" s="49" t="str">
        <x:v>Not centrally verified</x:v>
      </x:c>
      <x:c r="AC194" s="49" t="str">
        <x:v>Not centrally verified</x:v>
      </x:c>
      <x:c r="AD194" s="49" t="str">
        <x:v>Not centrally verified</x:v>
      </x:c>
      <x:c r="AE194" s="49" t="str">
        <x:v>Not available in a standardized official source</x:v>
      </x:c>
      <x:c r="AF194" s="49" t="str">
        <x:v>Not included: no official standardized source; cutoff-derived proxy excluded</x:v>
      </x:c>
      <x:c r="AG194" s="49" t="str">
        <x:v>https://dse2025.mahacet.org.in/dse25/admin/allotment/cap2/5173_4.pdf</x:v>
      </x:c>
      <x:c r="AH194" s="49" t="str">
        <x:v>https://fe2025.mahacet.org/StaticPages/frmInstituteSummary.aspx?InstituteCode=05173</x:v>
      </x:c>
      <x:c r="AI194" s="49"/>
      <x:c r="AJ194" s="49" t="str"/>
      <x:c r="AK194" s="69" t="n">
        <x:f>IF(W194&lt;&gt;"",50,IF(X194="101-150",45,IF(X194="151-200",40,IF(X194="201-300",35,0))))+IF(H194="Autonomous",20,0)+IF(OR(G194="Government",G194="Government-Aided",G194="University Department",G194="University",G194="University Autonomous"),15,0)+MIN(K194,10)+IF(AA194&lt;&gt;"",3,0)+IF(U194&lt;&gt;"",2,0)</x:f>
        <x:v>27</x:v>
      </x:c>
      <x:c r="AL194" s="49" t="str">
        <x:f>IF(AK194&gt;=70,"Official/high-evidence reference",IF(AK194&gt;=40,"Planning reference","Broader option"))</x:f>
        <x:v>Broader option</x:v>
      </x:c>
    </x:row>
    <x:row r="195">
      <x:c r="A195" s="63" t="n">
        <x:v>5177</x:v>
      </x:c>
      <x:c r="B195" s="49" t="str">
        <x:v>Matoshri College of Engineering and Research Centre, Eklahare, Nashik</x:v>
      </x:c>
      <x:c r="C195" s="49" t="str">
        <x:v>Maharashtra</x:v>
      </x:c>
      <x:c r="D195" s="49" t="str">
        <x:v>Nashik</x:v>
      </x:c>
      <x:c r="E195" s="49" t="str">
        <x:v>Nashik</x:v>
      </x:c>
      <x:c r="F195" s="49" t="str">
        <x:v>At Post Eklahare, Taluka &amp; District Nashik</x:v>
      </x:c>
      <x:c r="G195" s="49" t="str">
        <x:v>Un-Aided</x:v>
      </x:c>
      <x:c r="H195" s="49" t="str">
        <x:v>Autonomous</x:v>
      </x:c>
      <x:c r="I195" s="49" t="str">
        <x:v>Non-Minority</x:v>
      </x:c>
      <x:c r="J195" s="49" t="str">
        <x:v>Savitribai Phule Pune University</x:v>
      </x:c>
      <x:c r="K195" s="49" t="n">
        <x:v>8</x:v>
      </x:c>
      <x:c r="L195" s="49" t="n">
        <x:v>166</x:v>
      </x:c>
      <x:c r="M195" s="49" t="n">
        <x:v>115</x:v>
      </x:c>
      <x:c r="N195" s="49" t="n">
        <x:v>51</x:v>
      </x:c>
      <x:c r="O195" s="49"/>
      <x:c r="P195" s="49"/>
      <x:c r="Q195" s="49" t="str">
        <x:v>Parsed from official 2025-26 PDF</x:v>
      </x:c>
      <x:c r="R195" s="49" t="str">
        <x:v>2024-25</x:v>
      </x:c>
      <x:c r="S195" s="64" t="n">
        <x:v>72120</x:v>
      </x:c>
      <x:c r="T195" s="64" t="n">
        <x:v>9880</x:v>
      </x:c>
      <x:c r="U195" s="64" t="n">
        <x:v>82000</x:v>
      </x:c>
      <x:c r="V195" s="49" t="str">
        <x:v>Normal FRA-approved annual tuition + development fee; not seat-type-specific</x:v>
      </x:c>
      <x:c r="W195" s="49"/>
      <x:c r="X195" s="49"/>
      <x:c r="Y195" s="68"/>
      <x:c r="Z195" s="49"/>
      <x:c r="AA195" s="49"/>
      <x:c r="AB195" s="49" t="str">
        <x:v>Not centrally verified</x:v>
      </x:c>
      <x:c r="AC195" s="49" t="str">
        <x:v>Not centrally verified</x:v>
      </x:c>
      <x:c r="AD195" s="49" t="str">
        <x:v>Not centrally verified</x:v>
      </x:c>
      <x:c r="AE195" s="49" t="str">
        <x:v>Not available in a standardized official source</x:v>
      </x:c>
      <x:c r="AF195" s="49" t="str">
        <x:v>Not included: no official standardized source; cutoff-derived proxy excluded</x:v>
      </x:c>
      <x:c r="AG195" s="49" t="str">
        <x:v>https://dse2025.mahacet.org.in/dse25/admin/allotment/cap2/5177_4.pdf</x:v>
      </x:c>
      <x:c r="AH195" s="49" t="str">
        <x:v>https://fe2025.mahacet.org/StaticPages/frmInstituteSummary.aspx?InstituteCode=05177</x:v>
      </x:c>
      <x:c r="AI195" s="49"/>
      <x:c r="AJ195" s="49" t="str"/>
      <x:c r="AK195" s="69" t="n">
        <x:f>IF(W195&lt;&gt;"",50,IF(X195="101-150",45,IF(X195="151-200",40,IF(X195="201-300",35,0))))+IF(H195="Autonomous",20,0)+IF(OR(G195="Government",G195="Government-Aided",G195="University Department",G195="University",G195="University Autonomous"),15,0)+MIN(K195,10)+IF(AA195&lt;&gt;"",3,0)+IF(U195&lt;&gt;"",2,0)</x:f>
        <x:v>30</x:v>
      </x:c>
      <x:c r="AL195" s="49" t="str">
        <x:f>IF(AK195&gt;=70,"Official/high-evidence reference",IF(AK195&gt;=40,"Planning reference","Broader option"))</x:f>
        <x:v>Broader option</x:v>
      </x:c>
    </x:row>
    <x:row r="196">
      <x:c r="A196" s="63" t="n">
        <x:v>5179</x:v>
      </x:c>
      <x:c r="B196" s="49" t="str">
        <x:v>Vishwabharati Academy's College of Engineering, Ahmednagar</x:v>
      </x:c>
      <x:c r="C196" s="49" t="str">
        <x:v>Maharashtra</x:v>
      </x:c>
      <x:c r="D196" s="49" t="str">
        <x:v>Nashik</x:v>
      </x:c>
      <x:c r="E196" s="49" t="str">
        <x:v>Ahilyanagar</x:v>
      </x:c>
      <x:c r="F196" s="49" t="str">
        <x:v>Sarola Baddi ,Jamkhed Road , Ahmednagar</x:v>
      </x:c>
      <x:c r="G196" s="49" t="str">
        <x:v>Un-Aided</x:v>
      </x:c>
      <x:c r="H196" s="49" t="str">
        <x:v>Non-Autonomous</x:v>
      </x:c>
      <x:c r="I196" s="49" t="str">
        <x:v>Non-Minority</x:v>
      </x:c>
      <x:c r="J196" s="49" t="str">
        <x:v>Savitribai Phule Pune University</x:v>
      </x:c>
      <x:c r="K196" s="49" t="n">
        <x:v>5</x:v>
      </x:c>
      <x:c r="L196" s="49" t="n">
        <x:v>221</x:v>
      </x:c>
      <x:c r="M196" s="49" t="n">
        <x:v>189</x:v>
      </x:c>
      <x:c r="N196" s="49" t="n">
        <x:v>32</x:v>
      </x:c>
      <x:c r="O196" s="49"/>
      <x:c r="P196" s="49"/>
      <x:c r="Q196" s="49" t="str">
        <x:v>Parsed from official 2025-26 PDF</x:v>
      </x:c>
      <x:c r="R196" s="49" t="str">
        <x:v>2024-25</x:v>
      </x:c>
      <x:c r="S196" s="64" t="n">
        <x:v>58717</x:v>
      </x:c>
      <x:c r="T196" s="64" t="n">
        <x:v>6283</x:v>
      </x:c>
      <x:c r="U196" s="64" t="n">
        <x:v>65000</x:v>
      </x:c>
      <x:c r="V196" s="49" t="str">
        <x:v>Normal FRA-approved annual tuition + development fee; not seat-type-specific</x:v>
      </x:c>
      <x:c r="W196" s="49"/>
      <x:c r="X196" s="49"/>
      <x:c r="Y196" s="68"/>
      <x:c r="Z196" s="49"/>
      <x:c r="AA196" s="49"/>
      <x:c r="AB196" s="49" t="str">
        <x:v>Not centrally verified</x:v>
      </x:c>
      <x:c r="AC196" s="49" t="str">
        <x:v>Not centrally verified</x:v>
      </x:c>
      <x:c r="AD196" s="49" t="str">
        <x:v>Not centrally verified</x:v>
      </x:c>
      <x:c r="AE196" s="49" t="str">
        <x:v>Not available in a standardized official source</x:v>
      </x:c>
      <x:c r="AF196" s="49" t="str">
        <x:v>Not included: no official standardized source; cutoff-derived proxy excluded</x:v>
      </x:c>
      <x:c r="AG196" s="49" t="str">
        <x:v>https://dse2025.mahacet.org.in/dse25/admin/allotment/cap2/5179_4.pdf</x:v>
      </x:c>
      <x:c r="AH196" s="49" t="str">
        <x:v>https://fe2025.mahacet.org/StaticPages/frmInstituteSummary.aspx?InstituteCode=05179</x:v>
      </x:c>
      <x:c r="AI196" s="49"/>
      <x:c r="AJ196" s="49" t="str"/>
      <x:c r="AK196" s="69" t="n">
        <x:f>IF(W196&lt;&gt;"",50,IF(X196="101-150",45,IF(X196="151-200",40,IF(X196="201-300",35,0))))+IF(H196="Autonomous",20,0)+IF(OR(G196="Government",G196="Government-Aided",G196="University Department",G196="University",G196="University Autonomous"),15,0)+MIN(K196,10)+IF(AA196&lt;&gt;"",3,0)+IF(U196&lt;&gt;"",2,0)</x:f>
        <x:v>7</x:v>
      </x:c>
      <x:c r="AL196" s="49" t="str">
        <x:f>IF(AK196&gt;=70,"Official/high-evidence reference",IF(AK196&gt;=40,"Planning reference","Broader option"))</x:f>
        <x:v>Broader option</x:v>
      </x:c>
    </x:row>
    <x:row r="197">
      <x:c r="A197" s="63" t="n">
        <x:v>5181</x:v>
      </x:c>
      <x:c r="B197" s="49" t="str">
        <x:v>Gokhale Education Society's, R.H. Sapat College of Engineering, Management Studies and Research, Nashik</x:v>
      </x:c>
      <x:c r="C197" s="49" t="str">
        <x:v>Maharashtra</x:v>
      </x:c>
      <x:c r="D197" s="49" t="str">
        <x:v>Nashik</x:v>
      </x:c>
      <x:c r="E197" s="49" t="str">
        <x:v>Nashik</x:v>
      </x:c>
      <x:c r="F197" s="49" t="str">
        <x:v>Vidyanagar, College Road, Nashik 422 005</x:v>
      </x:c>
      <x:c r="G197" s="49" t="str">
        <x:v>Un-Aided</x:v>
      </x:c>
      <x:c r="H197" s="49" t="str">
        <x:v>Non-Autonomous</x:v>
      </x:c>
      <x:c r="I197" s="49" t="str">
        <x:v>Non-Minority</x:v>
      </x:c>
      <x:c r="J197" s="49" t="str">
        <x:v>Savitribai Phule Pune University</x:v>
      </x:c>
      <x:c r="K197" s="49" t="n">
        <x:v>6</x:v>
      </x:c>
      <x:c r="L197" s="49" t="n">
        <x:v>136</x:v>
      </x:c>
      <x:c r="M197" s="49" t="n">
        <x:v>97</x:v>
      </x:c>
      <x:c r="N197" s="49" t="n">
        <x:v>39</x:v>
      </x:c>
      <x:c r="O197" s="49"/>
      <x:c r="P197" s="49"/>
      <x:c r="Q197" s="49" t="str">
        <x:v>Parsed from official 2025-26 PDF</x:v>
      </x:c>
      <x:c r="R197" s="49" t="str">
        <x:v>2024-25</x:v>
      </x:c>
      <x:c r="S197" s="64" t="n">
        <x:v>61565</x:v>
      </x:c>
      <x:c r="T197" s="64" t="n">
        <x:v>8435</x:v>
      </x:c>
      <x:c r="U197" s="64" t="n">
        <x:v>70000</x:v>
      </x:c>
      <x:c r="V197" s="49" t="str">
        <x:v>Normal FRA-approved annual tuition + development fee; not seat-type-specific</x:v>
      </x:c>
      <x:c r="W197" s="49"/>
      <x:c r="X197" s="49"/>
      <x:c r="Y197" s="68"/>
      <x:c r="Z197" s="49"/>
      <x:c r="AA197" s="49"/>
      <x:c r="AB197" s="49" t="str">
        <x:v>Not centrally verified</x:v>
      </x:c>
      <x:c r="AC197" s="49" t="str">
        <x:v>Not centrally verified</x:v>
      </x:c>
      <x:c r="AD197" s="49" t="str">
        <x:v>Not centrally verified</x:v>
      </x:c>
      <x:c r="AE197" s="49" t="str">
        <x:v>Not available in a standardized official source</x:v>
      </x:c>
      <x:c r="AF197" s="49" t="str">
        <x:v>Not included: no official standardized source; cutoff-derived proxy excluded</x:v>
      </x:c>
      <x:c r="AG197" s="49" t="str">
        <x:v>https://dse2025.mahacet.org.in/dse25/admin/allotment/cap2/5181_4.pdf</x:v>
      </x:c>
      <x:c r="AH197" s="49" t="str">
        <x:v>https://fe2025.mahacet.org/StaticPages/frmInstituteSummary.aspx?InstituteCode=05181</x:v>
      </x:c>
      <x:c r="AI197" s="49"/>
      <x:c r="AJ197" s="49" t="str"/>
      <x:c r="AK197" s="69" t="n">
        <x:f>IF(W197&lt;&gt;"",50,IF(X197="101-150",45,IF(X197="151-200",40,IF(X197="201-300",35,0))))+IF(H197="Autonomous",20,0)+IF(OR(G197="Government",G197="Government-Aided",G197="University Department",G197="University",G197="University Autonomous"),15,0)+MIN(K197,10)+IF(AA197&lt;&gt;"",3,0)+IF(U197&lt;&gt;"",2,0)</x:f>
        <x:v>8</x:v>
      </x:c>
      <x:c r="AL197" s="49" t="str">
        <x:f>IF(AK197&gt;=70,"Official/high-evidence reference",IF(AK197&gt;=40,"Planning reference","Broader option"))</x:f>
        <x:v>Broader option</x:v>
      </x:c>
    </x:row>
    <x:row r="198">
      <x:c r="A198" s="63" t="n">
        <x:v>5182</x:v>
      </x:c>
      <x:c r="B198" s="49" t="str">
        <x:v>Kalyani Charitable Trust, Late Gambhirrao Natuba Sapkal College of Engineering, Anjaneri, Trimbakeshwar Road, Nashik</x:v>
      </x:c>
      <x:c r="C198" s="49" t="str">
        <x:v>Maharashtra</x:v>
      </x:c>
      <x:c r="D198" s="49" t="str">
        <x:v>Nashik</x:v>
      </x:c>
      <x:c r="E198" s="49" t="str">
        <x:v>Nashik</x:v>
      </x:c>
      <x:c r="F198" s="49" t="str">
        <x:v>Sapkal Knowldege Hub,Kalyani Hills, Anjaneri- Wadholi, Tal. Trimbak, Nashik</x:v>
      </x:c>
      <x:c r="G198" s="49" t="str">
        <x:v>Un-Aided</x:v>
      </x:c>
      <x:c r="H198" s="49" t="str">
        <x:v>Non-Autonomous</x:v>
      </x:c>
      <x:c r="I198" s="49" t="str">
        <x:v>Non-Minority</x:v>
      </x:c>
      <x:c r="J198" s="49" t="str">
        <x:v>Savitribai Phule Pune University</x:v>
      </x:c>
      <x:c r="K198" s="49" t="n">
        <x:v>6</x:v>
      </x:c>
      <x:c r="L198" s="49" t="n">
        <x:v>152</x:v>
      </x:c>
      <x:c r="M198" s="49" t="n">
        <x:v>116</x:v>
      </x:c>
      <x:c r="N198" s="49" t="n">
        <x:v>36</x:v>
      </x:c>
      <x:c r="O198" s="49"/>
      <x:c r="P198" s="49"/>
      <x:c r="Q198" s="49" t="str">
        <x:v>Parsed from official 2025-26 PDF</x:v>
      </x:c>
      <x:c r="R198" s="49" t="str">
        <x:v>2024-25</x:v>
      </x:c>
      <x:c r="S198" s="64" t="n">
        <x:v>70403</x:v>
      </x:c>
      <x:c r="T198" s="64" t="n">
        <x:v>8097</x:v>
      </x:c>
      <x:c r="U198" s="64" t="n">
        <x:v>78500</x:v>
      </x:c>
      <x:c r="V198" s="49" t="str">
        <x:v>Normal FRA-approved annual tuition + development fee; not seat-type-specific</x:v>
      </x:c>
      <x:c r="W198" s="49"/>
      <x:c r="X198" s="49"/>
      <x:c r="Y198" s="68"/>
      <x:c r="Z198" s="49"/>
      <x:c r="AA198" s="49"/>
      <x:c r="AB198" s="49" t="str">
        <x:v>Not centrally verified</x:v>
      </x:c>
      <x:c r="AC198" s="49" t="str">
        <x:v>Not centrally verified</x:v>
      </x:c>
      <x:c r="AD198" s="49" t="str">
        <x:v>Not centrally verified</x:v>
      </x:c>
      <x:c r="AE198" s="49" t="str">
        <x:v>Not available in a standardized official source</x:v>
      </x:c>
      <x:c r="AF198" s="49" t="str">
        <x:v>Not included: no official standardized source; cutoff-derived proxy excluded</x:v>
      </x:c>
      <x:c r="AG198" s="49" t="str">
        <x:v>https://dse2025.mahacet.org.in/dse25/admin/allotment/cap2/5182_4.pdf</x:v>
      </x:c>
      <x:c r="AH198" s="49" t="str">
        <x:v>https://fe2025.mahacet.org/StaticPages/frmInstituteSummary.aspx?InstituteCode=05182</x:v>
      </x:c>
      <x:c r="AI198" s="49"/>
      <x:c r="AJ198" s="49" t="str"/>
      <x:c r="AK198" s="69" t="n">
        <x:f>IF(W198&lt;&gt;"",50,IF(X198="101-150",45,IF(X198="151-200",40,IF(X198="201-300",35,0))))+IF(H198="Autonomous",20,0)+IF(OR(G198="Government",G198="Government-Aided",G198="University Department",G198="University",G198="University Autonomous"),15,0)+MIN(K198,10)+IF(AA198&lt;&gt;"",3,0)+IF(U198&lt;&gt;"",2,0)</x:f>
        <x:v>8</x:v>
      </x:c>
      <x:c r="AL198" s="49" t="str">
        <x:f>IF(AK198&gt;=70,"Official/high-evidence reference",IF(AK198&gt;=40,"Planning reference","Broader option"))</x:f>
        <x:v>Broader option</x:v>
      </x:c>
    </x:row>
    <x:row r="199">
      <x:c r="A199" s="63" t="n">
        <x:v>5184</x:v>
      </x:c>
      <x:c r="B199" s="49" t="str">
        <x:v>Amruta Vaishnavi Education &amp; Welfare Trust's Shatabdi Institute of Engineering &amp; Research, Agaskhind Tal. Sinnar</x:v>
      </x:c>
      <x:c r="C199" s="49" t="str">
        <x:v>Maharashtra</x:v>
      </x:c>
      <x:c r="D199" s="49" t="str">
        <x:v>Nashik</x:v>
      </x:c>
      <x:c r="E199" s="49" t="str">
        <x:v>Nashik</x:v>
      </x:c>
      <x:c r="F199" s="49" t="str">
        <x:v>At- Agaskhind, Post Shenit (Via Deolali Camp-Bhagur), Tal. Sinnar Dist. Nashik</x:v>
      </x:c>
      <x:c r="G199" s="49" t="str">
        <x:v>Un-Aided</x:v>
      </x:c>
      <x:c r="H199" s="49" t="str">
        <x:v>Non-Autonomous</x:v>
      </x:c>
      <x:c r="I199" s="49" t="str">
        <x:v>Religious Minority - Christian</x:v>
      </x:c>
      <x:c r="J199" s="49" t="str">
        <x:v>Savitribai Phule Pune University</x:v>
      </x:c>
      <x:c r="K199" s="49" t="n">
        <x:v>5</x:v>
      </x:c>
      <x:c r="L199" s="49" t="n">
        <x:v>101</x:v>
      </x:c>
      <x:c r="M199" s="49" t="n">
        <x:v>47</x:v>
      </x:c>
      <x:c r="N199" s="49"/>
      <x:c r="O199" s="49" t="n">
        <x:v>54</x:v>
      </x:c>
      <x:c r="P199" s="49"/>
      <x:c r="Q199" s="49" t="str">
        <x:v>Parsed from official 2025-26 PDF</x:v>
      </x:c>
      <x:c r="R199" s="49" t="str">
        <x:v>2024-25</x:v>
      </x:c>
      <x:c r="S199" s="64" t="n">
        <x:v>66666</x:v>
      </x:c>
      <x:c r="T199" s="64" t="n">
        <x:v>7334</x:v>
      </x:c>
      <x:c r="U199" s="64" t="n">
        <x:v>74000</x:v>
      </x:c>
      <x:c r="V199" s="49" t="str">
        <x:v>Normal FRA-approved annual tuition + development fee; not seat-type-specific</x:v>
      </x:c>
      <x:c r="W199" s="49"/>
      <x:c r="X199" s="49"/>
      <x:c r="Y199" s="68"/>
      <x:c r="Z199" s="49"/>
      <x:c r="AA199" s="49"/>
      <x:c r="AB199" s="49" t="str">
        <x:v>Not centrally verified</x:v>
      </x:c>
      <x:c r="AC199" s="49" t="str">
        <x:v>Not centrally verified</x:v>
      </x:c>
      <x:c r="AD199" s="49" t="str">
        <x:v>Not centrally verified</x:v>
      </x:c>
      <x:c r="AE199" s="49" t="str">
        <x:v>Not available in a standardized official source</x:v>
      </x:c>
      <x:c r="AF199" s="49" t="str">
        <x:v>Not included: no official standardized source; cutoff-derived proxy excluded</x:v>
      </x:c>
      <x:c r="AG199" s="49" t="str">
        <x:v>https://dse2025.mahacet.org.in/dse25/admin/allotment/cap2/5184_4.pdf</x:v>
      </x:c>
      <x:c r="AH199" s="49" t="str">
        <x:v>https://fe2025.mahacet.org/StaticPages/frmInstituteSummary.aspx?InstituteCode=05184</x:v>
      </x:c>
      <x:c r="AI199" s="49"/>
      <x:c r="AJ199" s="49" t="str"/>
      <x:c r="AK199" s="69" t="n">
        <x:f>IF(W199&lt;&gt;"",50,IF(X199="101-150",45,IF(X199="151-200",40,IF(X199="201-300",35,0))))+IF(H199="Autonomous",20,0)+IF(OR(G199="Government",G199="Government-Aided",G199="University Department",G199="University",G199="University Autonomous"),15,0)+MIN(K199,10)+IF(AA199&lt;&gt;"",3,0)+IF(U199&lt;&gt;"",2,0)</x:f>
        <x:v>7</x:v>
      </x:c>
      <x:c r="AL199" s="49" t="str">
        <x:f>IF(AK199&gt;=70,"Official/high-evidence reference",IF(AK199&gt;=40,"Planning reference","Broader option"))</x:f>
        <x:v>Broader option</x:v>
      </x:c>
    </x:row>
    <x:row r="200">
      <x:c r="A200" s="63" t="n">
        <x:v>5244</x:v>
      </x:c>
      <x:c r="B200" s="49" t="str">
        <x:v>MET's Institute of Technology Polytechnic, Bhujbal Knowledge City, Adgaon Nashik</x:v>
      </x:c>
      <x:c r="C200" s="49" t="str">
        <x:v>Maharashtra</x:v>
      </x:c>
      <x:c r="D200" s="49" t="str">
        <x:v>Nashik</x:v>
      </x:c>
      <x:c r="E200" s="49" t="str">
        <x:v>Nashik</x:v>
      </x:c>
      <x:c r="F200" s="49" t="str">
        <x:v>Bhujbal Knowledge City, Adgaon ,Nashik 422003</x:v>
      </x:c>
      <x:c r="G200" s="49" t="str">
        <x:v>Un-Aided</x:v>
      </x:c>
      <x:c r="H200" s="49" t="str">
        <x:v>Non-Autonomous</x:v>
      </x:c>
      <x:c r="I200" s="49" t="str">
        <x:v>Non-Minority</x:v>
      </x:c>
      <x:c r="J200" s="49" t="str">
        <x:v>Dr. Babasaheb Ambedkar Technological University,Lonere</x:v>
      </x:c>
      <x:c r="K200" s="49" t="n">
        <x:v>3</x:v>
      </x:c>
      <x:c r="L200" s="49" t="n">
        <x:v>33</x:v>
      </x:c>
      <x:c r="M200" s="49" t="n">
        <x:v>22</x:v>
      </x:c>
      <x:c r="N200" s="49" t="n">
        <x:v>11</x:v>
      </x:c>
      <x:c r="O200" s="49"/>
      <x:c r="P200" s="49"/>
      <x:c r="Q200" s="49" t="str">
        <x:v>Parsed from official 2025-26 PDF</x:v>
      </x:c>
      <x:c r="R200" s="49" t="str">
        <x:v>2024-25</x:v>
      </x:c>
      <x:c r="S200" s="64" t="n">
        <x:v>72267</x:v>
      </x:c>
      <x:c r="T200" s="64" t="n">
        <x:v>7733</x:v>
      </x:c>
      <x:c r="U200" s="64" t="n">
        <x:v>80000</x:v>
      </x:c>
      <x:c r="V200" s="49" t="str">
        <x:v>Normal FRA-approved annual tuition + development fee; not seat-type-specific</x:v>
      </x:c>
      <x:c r="W200" s="49"/>
      <x:c r="X200" s="49"/>
      <x:c r="Y200" s="68"/>
      <x:c r="Z200" s="49"/>
      <x:c r="AA200" s="49"/>
      <x:c r="AB200" s="49" t="str">
        <x:v>Not centrally verified</x:v>
      </x:c>
      <x:c r="AC200" s="49" t="str">
        <x:v>Not centrally verified</x:v>
      </x:c>
      <x:c r="AD200" s="49" t="str">
        <x:v>Not centrally verified</x:v>
      </x:c>
      <x:c r="AE200" s="49" t="str">
        <x:v>Not available in a standardized official source</x:v>
      </x:c>
      <x:c r="AF200" s="49" t="str">
        <x:v>Not included: no official standardized source; cutoff-derived proxy excluded</x:v>
      </x:c>
      <x:c r="AG200" s="49" t="str">
        <x:v>https://dse2025.mahacet.org.in/dse25/admin/allotment/cap2/5244_4.pdf</x:v>
      </x:c>
      <x:c r="AH200" s="49" t="str">
        <x:v>https://fe2025.mahacet.org/StaticPages/frmInstituteSummary.aspx?InstituteCode=05244</x:v>
      </x:c>
      <x:c r="AI200" s="49"/>
      <x:c r="AJ200" s="49" t="str"/>
      <x:c r="AK200" s="69" t="n">
        <x:f>IF(W200&lt;&gt;"",50,IF(X200="101-150",45,IF(X200="151-200",40,IF(X200="201-300",35,0))))+IF(H200="Autonomous",20,0)+IF(OR(G200="Government",G200="Government-Aided",G200="University Department",G200="University",G200="University Autonomous"),15,0)+MIN(K200,10)+IF(AA200&lt;&gt;"",3,0)+IF(U200&lt;&gt;"",2,0)</x:f>
        <x:v>5</x:v>
      </x:c>
      <x:c r="AL200" s="49" t="str">
        <x:f>IF(AK200&gt;=70,"Official/high-evidence reference",IF(AK200&gt;=40,"Planning reference","Broader option"))</x:f>
        <x:v>Broader option</x:v>
      </x:c>
    </x:row>
    <x:row r="201">
      <x:c r="A201" s="63" t="n">
        <x:v>5249</x:v>
      </x:c>
      <x:c r="B201" s="49" t="str">
        <x:v>Trimurti Shikshan Prasarak Mandal, Trimurti Institute Of Technology, Paladhi Bk, Jalgaon</x:v>
      </x:c>
      <x:c r="C201" s="49" t="str">
        <x:v>Maharashtra</x:v>
      </x:c>
      <x:c r="D201" s="49" t="str">
        <x:v>Nashik</x:v>
      </x:c>
      <x:c r="E201" s="49" t="str">
        <x:v>Jalgaon</x:v>
      </x:c>
      <x:c r="F201" s="49" t="str">
        <x:v>Survey No.227/2, Paldhi Bk, Next To North Maharashtra University, Tal-Dhamangaon, Dist:Jalgaon</x:v>
      </x:c>
      <x:c r="G201" s="49" t="str">
        <x:v>Un-Aided</x:v>
      </x:c>
      <x:c r="H201" s="49" t="str">
        <x:v>Non-Autonomous</x:v>
      </x:c>
      <x:c r="I201" s="49" t="str">
        <x:v>Non-Minority</x:v>
      </x:c>
      <x:c r="J201" s="49" t="str">
        <x:v>Dr. Babasaheb Ambedkar Technological University,Lonere</x:v>
      </x:c>
      <x:c r="K201" s="49" t="n">
        <x:v>2</x:v>
      </x:c>
      <x:c r="L201" s="49" t="n">
        <x:v>133</x:v>
      </x:c>
      <x:c r="M201" s="49" t="n">
        <x:v>119</x:v>
      </x:c>
      <x:c r="N201" s="49" t="n">
        <x:v>14</x:v>
      </x:c>
      <x:c r="O201" s="49"/>
      <x:c r="P201" s="49"/>
      <x:c r="Q201" s="49" t="str">
        <x:v>Parsed from official 2025-26 PDF</x:v>
      </x:c>
      <x:c r="R201" s="49"/>
      <x:c r="S201" s="64"/>
      <x:c r="T201" s="64"/>
      <x:c r="U201" s="64"/>
      <x:c r="V201" s="49" t="str">
        <x:v>No verified FRA match</x:v>
      </x:c>
      <x:c r="W201" s="49"/>
      <x:c r="X201" s="49"/>
      <x:c r="Y201" s="68"/>
      <x:c r="Z201" s="49"/>
      <x:c r="AA201" s="49"/>
      <x:c r="AB201" s="49" t="str">
        <x:v>Not centrally verified</x:v>
      </x:c>
      <x:c r="AC201" s="49" t="str">
        <x:v>Not centrally verified</x:v>
      </x:c>
      <x:c r="AD201" s="49" t="str">
        <x:v>Not centrally verified</x:v>
      </x:c>
      <x:c r="AE201" s="49" t="str">
        <x:v>Not available in a standardized official source</x:v>
      </x:c>
      <x:c r="AF201" s="49" t="str">
        <x:v>Not included: no official standardized source; cutoff-derived proxy excluded</x:v>
      </x:c>
      <x:c r="AG201" s="49" t="str">
        <x:v>https://dse2025.mahacet.org.in/dse25/admin/allotment/cap2/5249_4.pdf</x:v>
      </x:c>
      <x:c r="AH201" s="49" t="str">
        <x:v>https://fe2025.mahacet.org/StaticPages/frmInstituteSummary.aspx?InstituteCode=05249</x:v>
      </x:c>
      <x:c r="AI201" s="49"/>
      <x:c r="AJ201" s="49" t="str"/>
      <x:c r="AK201" s="69" t="n">
        <x:f>IF(W201&lt;&gt;"",50,IF(X201="101-150",45,IF(X201="151-200",40,IF(X201="201-300",35,0))))+IF(H201="Autonomous",20,0)+IF(OR(G201="Government",G201="Government-Aided",G201="University Department",G201="University",G201="University Autonomous"),15,0)+MIN(K201,10)+IF(AA201&lt;&gt;"",3,0)+IF(U201&lt;&gt;"",2,0)</x:f>
        <x:v>2</x:v>
      </x:c>
      <x:c r="AL201" s="49" t="str">
        <x:f>IF(AK201&gt;=70,"Official/high-evidence reference",IF(AK201&gt;=40,"Planning reference","Broader option"))</x:f>
        <x:v>Broader option</x:v>
      </x:c>
    </x:row>
    <x:row r="202">
      <x:c r="A202" s="63" t="n">
        <x:v>5256</x:v>
      </x:c>
      <x:c r="B202" s="49" t="str">
        <x:v>Matoshri Aasarabai Institute of Technology and Research Centre</x:v>
      </x:c>
      <x:c r="C202" s="49" t="str">
        <x:v>Maharashtra</x:v>
      </x:c>
      <x:c r="D202" s="49" t="str">
        <x:v>Nashik</x:v>
      </x:c>
      <x:c r="E202" s="49" t="str">
        <x:v>Nashik</x:v>
      </x:c>
      <x:c r="F202" s="49" t="str">
        <x:v>Gut No.39/1 Eklahare, Nashik</x:v>
      </x:c>
      <x:c r="G202" s="49" t="str">
        <x:v>Un-Aided</x:v>
      </x:c>
      <x:c r="H202" s="49" t="str">
        <x:v>Non-Autonomous</x:v>
      </x:c>
      <x:c r="I202" s="49" t="str">
        <x:v>Non-Minority</x:v>
      </x:c>
      <x:c r="J202" s="49" t="str">
        <x:v>Dr. Babasaheb Ambedkar Technological University,Lonere</x:v>
      </x:c>
      <x:c r="K202" s="49" t="n">
        <x:v>2</x:v>
      </x:c>
      <x:c r="L202" s="49" t="n">
        <x:v>58</x:v>
      </x:c>
      <x:c r="M202" s="49" t="n">
        <x:v>44</x:v>
      </x:c>
      <x:c r="N202" s="49" t="n">
        <x:v>14</x:v>
      </x:c>
      <x:c r="O202" s="49"/>
      <x:c r="P202" s="49"/>
      <x:c r="Q202" s="49" t="str">
        <x:v>Parsed from official 2025-26 PDF</x:v>
      </x:c>
      <x:c r="R202" s="49"/>
      <x:c r="S202" s="64"/>
      <x:c r="T202" s="64"/>
      <x:c r="U202" s="64"/>
      <x:c r="V202" s="49" t="str">
        <x:v>No verified FRA match</x:v>
      </x:c>
      <x:c r="W202" s="49"/>
      <x:c r="X202" s="49"/>
      <x:c r="Y202" s="68"/>
      <x:c r="Z202" s="49"/>
      <x:c r="AA202" s="49"/>
      <x:c r="AB202" s="49" t="str">
        <x:v>Not centrally verified</x:v>
      </x:c>
      <x:c r="AC202" s="49" t="str">
        <x:v>Not centrally verified</x:v>
      </x:c>
      <x:c r="AD202" s="49" t="str">
        <x:v>Not centrally verified</x:v>
      </x:c>
      <x:c r="AE202" s="49" t="str">
        <x:v>Not available in a standardized official source</x:v>
      </x:c>
      <x:c r="AF202" s="49" t="str">
        <x:v>Not included: no official standardized source; cutoff-derived proxy excluded</x:v>
      </x:c>
      <x:c r="AG202" s="49" t="str">
        <x:v>https://dse2025.mahacet.org.in/dse25/admin/allotment/cap2/5256_4.pdf</x:v>
      </x:c>
      <x:c r="AH202" s="49" t="str">
        <x:v>https://fe2025.mahacet.org/StaticPages/frmInstituteSummary.aspx?InstituteCode=05256</x:v>
      </x:c>
      <x:c r="AI202" s="49"/>
      <x:c r="AJ202" s="49" t="str"/>
      <x:c r="AK202" s="69" t="n">
        <x:f>IF(W202&lt;&gt;"",50,IF(X202="101-150",45,IF(X202="151-200",40,IF(X202="201-300",35,0))))+IF(H202="Autonomous",20,0)+IF(OR(G202="Government",G202="Government-Aided",G202="University Department",G202="University",G202="University Autonomous"),15,0)+MIN(K202,10)+IF(AA202&lt;&gt;"",3,0)+IF(U202&lt;&gt;"",2,0)</x:f>
        <x:v>2</x:v>
      </x:c>
      <x:c r="AL202" s="49" t="str">
        <x:f>IF(AK202&gt;=70,"Official/high-evidence reference",IF(AK202&gt;=40,"Planning reference","Broader option"))</x:f>
        <x:v>Broader option</x:v>
      </x:c>
    </x:row>
    <x:row r="203">
      <x:c r="A203" s="63" t="n">
        <x:v>5263</x:v>
      </x:c>
      <x:c r="B203" s="49" t="str">
        <x:v>Matoshri Education Soceity, Matoshri Institute Of Technology, Dhanore, Nashik</x:v>
      </x:c>
      <x:c r="C203" s="49" t="str">
        <x:v>Maharashtra</x:v>
      </x:c>
      <x:c r="D203" s="49" t="str">
        <x:v>Nashik</x:v>
      </x:c>
      <x:c r="E203" s="49" t="str">
        <x:v>Nashik</x:v>
      </x:c>
      <x:c r="F203" s="49" t="str">
        <x:v>Dhanore Tal.Yeola, Dist.Nashik 423401</x:v>
      </x:c>
      <x:c r="G203" s="49" t="str">
        <x:v>Un-Aided</x:v>
      </x:c>
      <x:c r="H203" s="49" t="str">
        <x:v>Non-Autonomous</x:v>
      </x:c>
      <x:c r="I203" s="49" t="str">
        <x:v>Non-Minority</x:v>
      </x:c>
      <x:c r="J203" s="49" t="str">
        <x:v>Dr. Babasaheb Ambedkar Technological University,Lonere</x:v>
      </x:c>
      <x:c r="K203" s="49" t="n">
        <x:v>3</x:v>
      </x:c>
      <x:c r="L203" s="49" t="n">
        <x:v>114</x:v>
      </x:c>
      <x:c r="M203" s="49" t="n">
        <x:v>95</x:v>
      </x:c>
      <x:c r="N203" s="49" t="n">
        <x:v>19</x:v>
      </x:c>
      <x:c r="O203" s="49"/>
      <x:c r="P203" s="49"/>
      <x:c r="Q203" s="49" t="str">
        <x:v>Parsed from official 2025-26 PDF</x:v>
      </x:c>
      <x:c r="R203" s="49"/>
      <x:c r="S203" s="64"/>
      <x:c r="T203" s="64"/>
      <x:c r="U203" s="64"/>
      <x:c r="V203" s="49" t="str">
        <x:v>No verified FRA match</x:v>
      </x:c>
      <x:c r="W203" s="49"/>
      <x:c r="X203" s="49"/>
      <x:c r="Y203" s="68"/>
      <x:c r="Z203" s="49"/>
      <x:c r="AA203" s="49"/>
      <x:c r="AB203" s="49" t="str">
        <x:v>Not centrally verified</x:v>
      </x:c>
      <x:c r="AC203" s="49" t="str">
        <x:v>Not centrally verified</x:v>
      </x:c>
      <x:c r="AD203" s="49" t="str">
        <x:v>Not centrally verified</x:v>
      </x:c>
      <x:c r="AE203" s="49" t="str">
        <x:v>Not available in a standardized official source</x:v>
      </x:c>
      <x:c r="AF203" s="49" t="str">
        <x:v>Not included: no official standardized source; cutoff-derived proxy excluded</x:v>
      </x:c>
      <x:c r="AG203" s="49" t="str">
        <x:v>https://dse2025.mahacet.org.in/dse25/admin/allotment/cap2/5263_4.pdf</x:v>
      </x:c>
      <x:c r="AH203" s="49" t="str">
        <x:v>https://fe2025.mahacet.org/StaticPages/frmInstituteSummary.aspx?InstituteCode=05263</x:v>
      </x:c>
      <x:c r="AI203" s="49"/>
      <x:c r="AJ203" s="49" t="str"/>
      <x:c r="AK203" s="69" t="n">
        <x:f>IF(W203&lt;&gt;"",50,IF(X203="101-150",45,IF(X203="151-200",40,IF(X203="201-300",35,0))))+IF(H203="Autonomous",20,0)+IF(OR(G203="Government",G203="Government-Aided",G203="University Department",G203="University",G203="University Autonomous"),15,0)+MIN(K203,10)+IF(AA203&lt;&gt;"",3,0)+IF(U203&lt;&gt;"",2,0)</x:f>
        <x:v>3</x:v>
      </x:c>
      <x:c r="AL203" s="49" t="str">
        <x:f>IF(AK203&gt;=70,"Official/high-evidence reference",IF(AK203&gt;=40,"Planning reference","Broader option"))</x:f>
        <x:v>Broader option</x:v>
      </x:c>
    </x:row>
    <x:row r="204">
      <x:c r="A204" s="63" t="n">
        <x:v>5303</x:v>
      </x:c>
      <x:c r="B204" s="49" t="str">
        <x:v>Hon. Shri. Babanrao Pachpute Vichardhara Trust, Group of Institutions (Integrated Campus)-Parikrama, Kashti Shrigondha,</x:v>
      </x:c>
      <x:c r="C204" s="49" t="str">
        <x:v>Maharashtra</x:v>
      </x:c>
      <x:c r="D204" s="49" t="str">
        <x:v>Nashik</x:v>
      </x:c>
      <x:c r="E204" s="49" t="str">
        <x:v>Ahilyanagar</x:v>
      </x:c>
      <x:c r="F204" s="49" t="str">
        <x:v>At/Post Kashti, Tal Shrigonda, Dist. Ahmednagar</x:v>
      </x:c>
      <x:c r="G204" s="49" t="str">
        <x:v>Un-Aided</x:v>
      </x:c>
      <x:c r="H204" s="49" t="str">
        <x:v>Non-Autonomous</x:v>
      </x:c>
      <x:c r="I204" s="49" t="str">
        <x:v>Non-Minority</x:v>
      </x:c>
      <x:c r="J204" s="49" t="str">
        <x:v>Savitribai Phule Pune University</x:v>
      </x:c>
      <x:c r="K204" s="49" t="n">
        <x:v>5</x:v>
      </x:c>
      <x:c r="L204" s="49" t="n">
        <x:v>112</x:v>
      </x:c>
      <x:c r="M204" s="49" t="n">
        <x:v>92</x:v>
      </x:c>
      <x:c r="N204" s="49" t="n">
        <x:v>20</x:v>
      </x:c>
      <x:c r="O204" s="49"/>
      <x:c r="P204" s="49"/>
      <x:c r="Q204" s="49" t="str">
        <x:v>Parsed from official 2025-26 PDF</x:v>
      </x:c>
      <x:c r="R204" s="49" t="str">
        <x:v>2024-25</x:v>
      </x:c>
      <x:c r="S204" s="64" t="n">
        <x:v>68654</x:v>
      </x:c>
      <x:c r="T204" s="64" t="n">
        <x:v>7346</x:v>
      </x:c>
      <x:c r="U204" s="64" t="n">
        <x:v>76000</x:v>
      </x:c>
      <x:c r="V204" s="49" t="str">
        <x:v>Normal FRA-approved annual tuition + development fee; not seat-type-specific</x:v>
      </x:c>
      <x:c r="W204" s="49"/>
      <x:c r="X204" s="49"/>
      <x:c r="Y204" s="68"/>
      <x:c r="Z204" s="49"/>
      <x:c r="AA204" s="49"/>
      <x:c r="AB204" s="49" t="str">
        <x:v>Not centrally verified</x:v>
      </x:c>
      <x:c r="AC204" s="49" t="str">
        <x:v>Not centrally verified</x:v>
      </x:c>
      <x:c r="AD204" s="49" t="str">
        <x:v>Not centrally verified</x:v>
      </x:c>
      <x:c r="AE204" s="49" t="str">
        <x:v>Not available in a standardized official source</x:v>
      </x:c>
      <x:c r="AF204" s="49" t="str">
        <x:v>Not included: no official standardized source; cutoff-derived proxy excluded</x:v>
      </x:c>
      <x:c r="AG204" s="49" t="str">
        <x:v>https://dse2025.mahacet.org.in/dse25/admin/allotment/cap2/5303_4.pdf</x:v>
      </x:c>
      <x:c r="AH204" s="49" t="str">
        <x:v>https://fe2025.mahacet.org/StaticPages/frmInstituteSummary.aspx?InstituteCode=05303</x:v>
      </x:c>
      <x:c r="AI204" s="49"/>
      <x:c r="AJ204" s="49" t="str"/>
      <x:c r="AK204" s="69" t="n">
        <x:f>IF(W204&lt;&gt;"",50,IF(X204="101-150",45,IF(X204="151-200",40,IF(X204="201-300",35,0))))+IF(H204="Autonomous",20,0)+IF(OR(G204="Government",G204="Government-Aided",G204="University Department",G204="University",G204="University Autonomous"),15,0)+MIN(K204,10)+IF(AA204&lt;&gt;"",3,0)+IF(U204&lt;&gt;"",2,0)</x:f>
        <x:v>7</x:v>
      </x:c>
      <x:c r="AL204" s="49" t="str">
        <x:f>IF(AK204&gt;=70,"Official/high-evidence reference",IF(AK204&gt;=40,"Planning reference","Broader option"))</x:f>
        <x:v>Broader option</x:v>
      </x:c>
    </x:row>
    <x:row r="205">
      <x:c r="A205" s="63" t="n">
        <x:v>5322</x:v>
      </x:c>
      <x:c r="B205" s="49" t="str">
        <x:v>Jamia Institute Of Engineering And Management Studies, Akkalkuwa</x:v>
      </x:c>
      <x:c r="C205" s="49" t="str">
        <x:v>Maharashtra</x:v>
      </x:c>
      <x:c r="D205" s="49"/>
      <x:c r="E205" s="49" t="str">
        <x:v>Nandurbar</x:v>
      </x:c>
      <x:c r="F205" s="49"/>
      <x:c r="G205" s="49" t="str">
        <x:v>Un-Aided Religious Minority - Muslim</x:v>
      </x:c>
      <x:c r="H205" s="49" t="str">
        <x:v>Not verified</x:v>
      </x:c>
      <x:c r="I205" s="49" t="str">
        <x:v>Not verified</x:v>
      </x:c>
      <x:c r="J205" s="49"/>
      <x:c r="K205" s="49" t="n">
        <x:v>3</x:v>
      </x:c>
      <x:c r="L205" s="49" t="n">
        <x:v>121</x:v>
      </x:c>
      <x:c r="M205" s="49" t="n">
        <x:v>58</x:v>
      </x:c>
      <x:c r="N205" s="49"/>
      <x:c r="O205" s="49" t="n">
        <x:v>63</x:v>
      </x:c>
      <x:c r="P205" s="49"/>
      <x:c r="Q205" s="49" t="str">
        <x:v>Parsed from official 2025-26 PDF</x:v>
      </x:c>
      <x:c r="R205" s="49" t="str">
        <x:v>2024-25</x:v>
      </x:c>
      <x:c r="S205" s="64" t="n">
        <x:v>39091</x:v>
      </x:c>
      <x:c r="T205" s="64" t="n">
        <x:v>3909</x:v>
      </x:c>
      <x:c r="U205" s="64" t="n">
        <x:v>43000</x:v>
      </x:c>
      <x:c r="V205" s="49" t="str">
        <x:v>Normal FRA-approved annual tuition + development fee; not seat-type-specific</x:v>
      </x:c>
      <x:c r="W205" s="49"/>
      <x:c r="X205" s="49"/>
      <x:c r="Y205" s="68"/>
      <x:c r="Z205" s="49"/>
      <x:c r="AA205" s="49"/>
      <x:c r="AB205" s="49" t="str">
        <x:v>Not centrally verified</x:v>
      </x:c>
      <x:c r="AC205" s="49" t="str">
        <x:v>Not centrally verified</x:v>
      </x:c>
      <x:c r="AD205" s="49" t="str">
        <x:v>Not centrally verified</x:v>
      </x:c>
      <x:c r="AE205" s="49" t="str">
        <x:v>Not available in a standardized official source</x:v>
      </x:c>
      <x:c r="AF205" s="49" t="str">
        <x:v>Not included: no official standardized source; cutoff-derived proxy excluded</x:v>
      </x:c>
      <x:c r="AG205" s="49" t="str">
        <x:v>https://dse2025.mahacet.org.in/dse25/admin/allotment/cap2/5322_4.pdf</x:v>
      </x:c>
      <x:c r="AH205" s="49" t="str">
        <x:v>https://fe2025.mahacet.org/StaticPages/frmInstituteList.aspx?did=1884</x:v>
      </x:c>
      <x:c r="AI205" s="49"/>
      <x:c r="AJ205" s="49" t="str"/>
      <x:c r="AK205" s="69" t="n">
        <x:f>IF(W205&lt;&gt;"",50,IF(X205="101-150",45,IF(X205="151-200",40,IF(X205="201-300",35,0))))+IF(H205="Autonomous",20,0)+IF(OR(G205="Government",G205="Government-Aided",G205="University Department",G205="University",G205="University Autonomous"),15,0)+MIN(K205,10)+IF(AA205&lt;&gt;"",3,0)+IF(U205&lt;&gt;"",2,0)</x:f>
        <x:v>5</x:v>
      </x:c>
      <x:c r="AL205" s="49" t="str">
        <x:f>IF(AK205&gt;=70,"Official/high-evidence reference",IF(AK205&gt;=40,"Planning reference","Broader option"))</x:f>
        <x:v>Broader option</x:v>
      </x:c>
    </x:row>
    <x:row r="206">
      <x:c r="A206" s="63" t="n">
        <x:v>5330</x:v>
      </x:c>
      <x:c r="B206" s="49" t="str">
        <x:v>PUNE VIDYARTHI GRIHAS COLLEGE OF ENGINEERING &amp; SHRIKRUSHNA S. DHAMANKAR INSTITUTE OF MANAGEMENT, NASHIK</x:v>
      </x:c>
      <x:c r="C206" s="49" t="str">
        <x:v>Maharashtra</x:v>
      </x:c>
      <x:c r="D206" s="49" t="str">
        <x:v>Nashik</x:v>
      </x:c>
      <x:c r="E206" s="49" t="str">
        <x:v>Nashik</x:v>
      </x:c>
      <x:c r="F206" s="49" t="str">
        <x:v>206, Dindori Road, Near Meri, Mhasrul, Nashik</x:v>
      </x:c>
      <x:c r="G206" s="49" t="str">
        <x:v>Un-Aided</x:v>
      </x:c>
      <x:c r="H206" s="49" t="str">
        <x:v>Non-Autonomous</x:v>
      </x:c>
      <x:c r="I206" s="49" t="str">
        <x:v>Non-Minority</x:v>
      </x:c>
      <x:c r="J206" s="49" t="str">
        <x:v>Savitribai Phule Pune University</x:v>
      </x:c>
      <x:c r="K206" s="49" t="n">
        <x:v>5</x:v>
      </x:c>
      <x:c r="L206" s="49" t="n">
        <x:v>66</x:v>
      </x:c>
      <x:c r="M206" s="49" t="n">
        <x:v>49</x:v>
      </x:c>
      <x:c r="N206" s="49" t="n">
        <x:v>17</x:v>
      </x:c>
      <x:c r="O206" s="49"/>
      <x:c r="P206" s="49"/>
      <x:c r="Q206" s="49" t="str">
        <x:v>Parsed from official 2025-26 PDF</x:v>
      </x:c>
      <x:c r="R206" s="49" t="str">
        <x:v>2024-25</x:v>
      </x:c>
      <x:c r="S206" s="64" t="n">
        <x:v>59007</x:v>
      </x:c>
      <x:c r="T206" s="64" t="n">
        <x:v>7493</x:v>
      </x:c>
      <x:c r="U206" s="64" t="n">
        <x:v>66500</x:v>
      </x:c>
      <x:c r="V206" s="49" t="str">
        <x:v>Normal FRA-approved annual tuition + development fee; not seat-type-specific</x:v>
      </x:c>
      <x:c r="W206" s="49"/>
      <x:c r="X206" s="49"/>
      <x:c r="Y206" s="68"/>
      <x:c r="Z206" s="49"/>
      <x:c r="AA206" s="49"/>
      <x:c r="AB206" s="49" t="str">
        <x:v>Not centrally verified</x:v>
      </x:c>
      <x:c r="AC206" s="49" t="str">
        <x:v>Not centrally verified</x:v>
      </x:c>
      <x:c r="AD206" s="49" t="str">
        <x:v>Not centrally verified</x:v>
      </x:c>
      <x:c r="AE206" s="49" t="str">
        <x:v>Not available in a standardized official source</x:v>
      </x:c>
      <x:c r="AF206" s="49" t="str">
        <x:v>Not included: no official standardized source; cutoff-derived proxy excluded</x:v>
      </x:c>
      <x:c r="AG206" s="49" t="str">
        <x:v>https://dse2025.mahacet.org.in/dse25/admin/allotment/cap2/5330_4.pdf</x:v>
      </x:c>
      <x:c r="AH206" s="49" t="str">
        <x:v>https://fe2025.mahacet.org/StaticPages/frmInstituteSummary.aspx?InstituteCode=05330</x:v>
      </x:c>
      <x:c r="AI206" s="49"/>
      <x:c r="AJ206" s="49" t="str"/>
      <x:c r="AK206" s="69" t="n">
        <x:f>IF(W206&lt;&gt;"",50,IF(X206="101-150",45,IF(X206="151-200",40,IF(X206="201-300",35,0))))+IF(H206="Autonomous",20,0)+IF(OR(G206="Government",G206="Government-Aided",G206="University Department",G206="University",G206="University Autonomous"),15,0)+MIN(K206,10)+IF(AA206&lt;&gt;"",3,0)+IF(U206&lt;&gt;"",2,0)</x:f>
        <x:v>7</x:v>
      </x:c>
      <x:c r="AL206" s="49" t="str">
        <x:f>IF(AK206&gt;=70,"Official/high-evidence reference",IF(AK206&gt;=40,"Planning reference","Broader option"))</x:f>
        <x:v>Broader option</x:v>
      </x:c>
    </x:row>
    <x:row r="207">
      <x:c r="A207" s="63" t="n">
        <x:v>5331</x:v>
      </x:c>
      <x:c r="B207" s="49" t="str">
        <x:v>Sandip Foundation's, Sandip Institute of Engineering &amp; Management, Nashik</x:v>
      </x:c>
      <x:c r="C207" s="49" t="str">
        <x:v>Maharashtra</x:v>
      </x:c>
      <x:c r="D207" s="49" t="str">
        <x:v>Nashik</x:v>
      </x:c>
      <x:c r="E207" s="49" t="str">
        <x:v>Nashik</x:v>
      </x:c>
      <x:c r="F207" s="49" t="str">
        <x:v>Trimbak Road, Mahiravani Nashik</x:v>
      </x:c>
      <x:c r="G207" s="49" t="str">
        <x:v>Un-Aided</x:v>
      </x:c>
      <x:c r="H207" s="49" t="str">
        <x:v>Non-Autonomous</x:v>
      </x:c>
      <x:c r="I207" s="49" t="str">
        <x:v>Non-Minority</x:v>
      </x:c>
      <x:c r="J207" s="49" t="str">
        <x:v>Savitribai Phule Pune University</x:v>
      </x:c>
      <x:c r="K207" s="49" t="n">
        <x:v>5</x:v>
      </x:c>
      <x:c r="L207" s="49" t="n">
        <x:v>142</x:v>
      </x:c>
      <x:c r="M207" s="49" t="n">
        <x:v>113</x:v>
      </x:c>
      <x:c r="N207" s="49" t="n">
        <x:v>29</x:v>
      </x:c>
      <x:c r="O207" s="49"/>
      <x:c r="P207" s="49"/>
      <x:c r="Q207" s="49" t="str">
        <x:v>Parsed from official 2025-26 PDF</x:v>
      </x:c>
      <x:c r="R207" s="49" t="str">
        <x:v>2024-25</x:v>
      </x:c>
      <x:c r="S207" s="64" t="n">
        <x:v>108619</x:v>
      </x:c>
      <x:c r="T207" s="64" t="n">
        <x:v>14881</x:v>
      </x:c>
      <x:c r="U207" s="64" t="n">
        <x:v>123500</x:v>
      </x:c>
      <x:c r="V207" s="49" t="str">
        <x:v>Normal FRA-approved annual tuition + development fee; not seat-type-specific</x:v>
      </x:c>
      <x:c r="W207" s="49"/>
      <x:c r="X207" s="49"/>
      <x:c r="Y207" s="68"/>
      <x:c r="Z207" s="49"/>
      <x:c r="AA207" s="49"/>
      <x:c r="AB207" s="49" t="str">
        <x:v>Not centrally verified</x:v>
      </x:c>
      <x:c r="AC207" s="49" t="str">
        <x:v>Not centrally verified</x:v>
      </x:c>
      <x:c r="AD207" s="49" t="str">
        <x:v>Not centrally verified</x:v>
      </x:c>
      <x:c r="AE207" s="49" t="str">
        <x:v>Not available in a standardized official source</x:v>
      </x:c>
      <x:c r="AF207" s="49" t="str">
        <x:v>Not included: no official standardized source; cutoff-derived proxy excluded</x:v>
      </x:c>
      <x:c r="AG207" s="49" t="str">
        <x:v>https://dse2025.mahacet.org.in/dse25/admin/allotment/cap2/5331_4.pdf</x:v>
      </x:c>
      <x:c r="AH207" s="49" t="str">
        <x:v>https://fe2025.mahacet.org/StaticPages/frmInstituteSummary.aspx?InstituteCode=05331</x:v>
      </x:c>
      <x:c r="AI207" s="49"/>
      <x:c r="AJ207" s="49" t="str"/>
      <x:c r="AK207" s="69" t="n">
        <x:f>IF(W207&lt;&gt;"",50,IF(X207="101-150",45,IF(X207="151-200",40,IF(X207="201-300",35,0))))+IF(H207="Autonomous",20,0)+IF(OR(G207="Government",G207="Government-Aided",G207="University Department",G207="University",G207="University Autonomous"),15,0)+MIN(K207,10)+IF(AA207&lt;&gt;"",3,0)+IF(U207&lt;&gt;"",2,0)</x:f>
        <x:v>7</x:v>
      </x:c>
      <x:c r="AL207" s="49" t="str">
        <x:f>IF(AK207&gt;=70,"Official/high-evidence reference",IF(AK207&gt;=40,"Planning reference","Broader option"))</x:f>
        <x:v>Broader option</x:v>
      </x:c>
    </x:row>
    <x:row r="208">
      <x:c r="A208" s="63" t="n">
        <x:v>5365</x:v>
      </x:c>
      <x:c r="B208" s="49" t="str">
        <x:v>Vardhaman Education &amp; Welfare Society, Ahinsa Institute of Technology, Post. Dondaicha, Dhule</x:v>
      </x:c>
      <x:c r="C208" s="49" t="str">
        <x:v>Maharashtra</x:v>
      </x:c>
      <x:c r="D208" s="49" t="str">
        <x:v>Nashik</x:v>
      </x:c>
      <x:c r="E208" s="49" t="str">
        <x:v>Dhule</x:v>
      </x:c>
      <x:c r="F208" s="49" t="str">
        <x:v>Srv. No. 190/1A /1, 190/1A/2, Dhule Road, Post. Dondaicha, Dist.Dhule , 425408</x:v>
      </x:c>
      <x:c r="G208" s="49" t="str">
        <x:v>Un-Aided</x:v>
      </x:c>
      <x:c r="H208" s="49" t="str">
        <x:v>Non-Autonomous</x:v>
      </x:c>
      <x:c r="I208" s="49" t="str">
        <x:v>Religious Minority - Jain</x:v>
      </x:c>
      <x:c r="J208" s="49" t="str">
        <x:v>Dr. Babasaheb Ambedkar Technological University,Lonere</x:v>
      </x:c>
      <x:c r="K208" s="49" t="n">
        <x:v>3</x:v>
      </x:c>
      <x:c r="L208" s="49" t="n">
        <x:v>121</x:v>
      </x:c>
      <x:c r="M208" s="49" t="n">
        <x:v>56</x:v>
      </x:c>
      <x:c r="N208" s="49"/>
      <x:c r="O208" s="49" t="n">
        <x:v>65</x:v>
      </x:c>
      <x:c r="P208" s="49"/>
      <x:c r="Q208" s="49" t="str">
        <x:v>Parsed from official 2025-26 PDF</x:v>
      </x:c>
      <x:c r="R208" s="49"/>
      <x:c r="S208" s="64"/>
      <x:c r="T208" s="64"/>
      <x:c r="U208" s="64"/>
      <x:c r="V208" s="49" t="str">
        <x:v>No verified FRA match</x:v>
      </x:c>
      <x:c r="W208" s="49"/>
      <x:c r="X208" s="49"/>
      <x:c r="Y208" s="68"/>
      <x:c r="Z208" s="49"/>
      <x:c r="AA208" s="49"/>
      <x:c r="AB208" s="49" t="str">
        <x:v>Not centrally verified</x:v>
      </x:c>
      <x:c r="AC208" s="49" t="str">
        <x:v>Not centrally verified</x:v>
      </x:c>
      <x:c r="AD208" s="49" t="str">
        <x:v>Not centrally verified</x:v>
      </x:c>
      <x:c r="AE208" s="49" t="str">
        <x:v>Not available in a standardized official source</x:v>
      </x:c>
      <x:c r="AF208" s="49" t="str">
        <x:v>Not included: no official standardized source; cutoff-derived proxy excluded</x:v>
      </x:c>
      <x:c r="AG208" s="49" t="str">
        <x:v>https://dse2025.mahacet.org.in/dse25/admin/allotment/cap2/5365_4.pdf</x:v>
      </x:c>
      <x:c r="AH208" s="49" t="str">
        <x:v>https://fe2025.mahacet.org/StaticPages/frmInstituteSummary.aspx?InstituteCode=05365</x:v>
      </x:c>
      <x:c r="AI208" s="49"/>
      <x:c r="AJ208" s="49" t="str"/>
      <x:c r="AK208" s="69" t="n">
        <x:f>IF(W208&lt;&gt;"",50,IF(X208="101-150",45,IF(X208="151-200",40,IF(X208="201-300",35,0))))+IF(H208="Autonomous",20,0)+IF(OR(G208="Government",G208="Government-Aided",G208="University Department",G208="University",G208="University Autonomous"),15,0)+MIN(K208,10)+IF(AA208&lt;&gt;"",3,0)+IF(U208&lt;&gt;"",2,0)</x:f>
        <x:v>3</x:v>
      </x:c>
      <x:c r="AL208" s="49" t="str">
        <x:f>IF(AK208&gt;=70,"Official/high-evidence reference",IF(AK208&gt;=40,"Planning reference","Broader option"))</x:f>
        <x:v>Broader option</x:v>
      </x:c>
    </x:row>
    <x:row r="209">
      <x:c r="A209" s="63" t="n">
        <x:v>5370</x:v>
      </x:c>
      <x:c r="B209" s="49" t="str">
        <x:v>Kedareshwar Gramin Vikas Pratishthan, Samajbhushan Eknathrao Dhakane College, of Engineering, Shevgaon</x:v>
      </x:c>
      <x:c r="C209" s="49" t="str">
        <x:v>Maharashtra</x:v>
      </x:c>
      <x:c r="D209" s="49" t="str">
        <x:v>Nashik</x:v>
      </x:c>
      <x:c r="E209" s="49" t="str">
        <x:v>Ahilyanagar</x:v>
      </x:c>
      <x:c r="F209" s="49" t="str">
        <x:v>Gut No. 147/2, At Post-Rakshi Ahmednagar , 414502</x:v>
      </x:c>
      <x:c r="G209" s="49" t="str">
        <x:v>Un-Aided</x:v>
      </x:c>
      <x:c r="H209" s="49" t="str">
        <x:v>Non-Autonomous</x:v>
      </x:c>
      <x:c r="I209" s="49" t="str">
        <x:v>Non-Minority</x:v>
      </x:c>
      <x:c r="J209" s="49" t="str">
        <x:v>Dr. Babasaheb Ambedkar Technological University,Lonere</x:v>
      </x:c>
      <x:c r="K209" s="49" t="n">
        <x:v>5</x:v>
      </x:c>
      <x:c r="L209" s="49" t="n">
        <x:v>311</x:v>
      </x:c>
      <x:c r="M209" s="49" t="n">
        <x:v>277</x:v>
      </x:c>
      <x:c r="N209" s="49" t="n">
        <x:v>34</x:v>
      </x:c>
      <x:c r="O209" s="49"/>
      <x:c r="P209" s="49"/>
      <x:c r="Q209" s="49" t="str">
        <x:v>Parsed from official 2025-26 PDF</x:v>
      </x:c>
      <x:c r="R209" s="49"/>
      <x:c r="S209" s="64"/>
      <x:c r="T209" s="64"/>
      <x:c r="U209" s="64"/>
      <x:c r="V209" s="49" t="str">
        <x:v>No verified FRA match</x:v>
      </x:c>
      <x:c r="W209" s="49"/>
      <x:c r="X209" s="49"/>
      <x:c r="Y209" s="68"/>
      <x:c r="Z209" s="49"/>
      <x:c r="AA209" s="49"/>
      <x:c r="AB209" s="49" t="str">
        <x:v>Not centrally verified</x:v>
      </x:c>
      <x:c r="AC209" s="49" t="str">
        <x:v>Not centrally verified</x:v>
      </x:c>
      <x:c r="AD209" s="49" t="str">
        <x:v>Not centrally verified</x:v>
      </x:c>
      <x:c r="AE209" s="49" t="str">
        <x:v>Not available in a standardized official source</x:v>
      </x:c>
      <x:c r="AF209" s="49" t="str">
        <x:v>Not included: no official standardized source; cutoff-derived proxy excluded</x:v>
      </x:c>
      <x:c r="AG209" s="49" t="str">
        <x:v>https://dse2025.mahacet.org.in/dse25/admin/allotment/cap2/5370_4.pdf</x:v>
      </x:c>
      <x:c r="AH209" s="49" t="str">
        <x:v>https://fe2025.mahacet.org/StaticPages/frmInstituteSummary.aspx?InstituteCode=05370</x:v>
      </x:c>
      <x:c r="AI209" s="49"/>
      <x:c r="AJ209" s="49" t="str"/>
      <x:c r="AK209" s="69" t="n">
        <x:f>IF(W209&lt;&gt;"",50,IF(X209="101-150",45,IF(X209="151-200",40,IF(X209="201-300",35,0))))+IF(H209="Autonomous",20,0)+IF(OR(G209="Government",G209="Government-Aided",G209="University Department",G209="University",G209="University Autonomous"),15,0)+MIN(K209,10)+IF(AA209&lt;&gt;"",3,0)+IF(U209&lt;&gt;"",2,0)</x:f>
        <x:v>5</x:v>
      </x:c>
      <x:c r="AL209" s="49" t="str">
        <x:f>IF(AK209&gt;=70,"Official/high-evidence reference",IF(AK209&gt;=40,"Planning reference","Broader option"))</x:f>
        <x:v>Broader option</x:v>
      </x:c>
    </x:row>
    <x:row r="210">
      <x:c r="A210" s="63" t="n">
        <x:v>5380</x:v>
      </x:c>
      <x:c r="B210" s="49" t="str">
        <x:v>Adsul's Technical Campus, Chas Dist. Ahmednagar</x:v>
      </x:c>
      <x:c r="C210" s="49" t="str">
        <x:v>Maharashtra</x:v>
      </x:c>
      <x:c r="D210" s="49" t="str">
        <x:v>Nashik</x:v>
      </x:c>
      <x:c r="E210" s="49" t="str">
        <x:v>Ahilyanagar</x:v>
      </x:c>
      <x:c r="F210" s="49" t="str">
        <x:v>At Post Chas, Tal.&amp; Dist. Ahmednagar</x:v>
      </x:c>
      <x:c r="G210" s="49" t="str">
        <x:v>Un-Aided</x:v>
      </x:c>
      <x:c r="H210" s="49" t="str">
        <x:v>Non-Autonomous</x:v>
      </x:c>
      <x:c r="I210" s="49" t="str">
        <x:v>Non-Minority</x:v>
      </x:c>
      <x:c r="J210" s="49" t="str">
        <x:v>Savitribai Phule Pune University</x:v>
      </x:c>
      <x:c r="K210" s="49" t="n">
        <x:v>7</x:v>
      </x:c>
      <x:c r="L210" s="49" t="n">
        <x:v>254</x:v>
      </x:c>
      <x:c r="M210" s="49" t="n">
        <x:v>199</x:v>
      </x:c>
      <x:c r="N210" s="49" t="n">
        <x:v>55</x:v>
      </x:c>
      <x:c r="O210" s="49"/>
      <x:c r="P210" s="49"/>
      <x:c r="Q210" s="49" t="str">
        <x:v>Parsed from official 2025-26 PDF</x:v>
      </x:c>
      <x:c r="R210" s="49" t="str">
        <x:v>2024-25</x:v>
      </x:c>
      <x:c r="S210" s="64" t="n">
        <x:v>81632</x:v>
      </x:c>
      <x:c r="T210" s="64" t="n">
        <x:v>10368</x:v>
      </x:c>
      <x:c r="U210" s="64" t="n">
        <x:v>92000</x:v>
      </x:c>
      <x:c r="V210" s="49" t="str">
        <x:v>Normal FRA-approved annual tuition + development fee; not seat-type-specific</x:v>
      </x:c>
      <x:c r="W210" s="49"/>
      <x:c r="X210" s="49"/>
      <x:c r="Y210" s="68"/>
      <x:c r="Z210" s="49"/>
      <x:c r="AA210" s="49"/>
      <x:c r="AB210" s="49" t="str">
        <x:v>Not centrally verified</x:v>
      </x:c>
      <x:c r="AC210" s="49" t="str">
        <x:v>Not centrally verified</x:v>
      </x:c>
      <x:c r="AD210" s="49" t="str">
        <x:v>Not centrally verified</x:v>
      </x:c>
      <x:c r="AE210" s="49" t="str">
        <x:v>Not available in a standardized official source</x:v>
      </x:c>
      <x:c r="AF210" s="49" t="str">
        <x:v>Not included: no official standardized source; cutoff-derived proxy excluded</x:v>
      </x:c>
      <x:c r="AG210" s="49" t="str">
        <x:v>https://dse2025.mahacet.org.in/dse25/admin/allotment/cap2/5380_4.pdf</x:v>
      </x:c>
      <x:c r="AH210" s="49" t="str">
        <x:v>https://fe2025.mahacet.org/StaticPages/frmInstituteSummary.aspx?InstituteCode=05380</x:v>
      </x:c>
      <x:c r="AI210" s="49"/>
      <x:c r="AJ210" s="49" t="str"/>
      <x:c r="AK210" s="69" t="n">
        <x:f>IF(W210&lt;&gt;"",50,IF(X210="101-150",45,IF(X210="151-200",40,IF(X210="201-300",35,0))))+IF(H210="Autonomous",20,0)+IF(OR(G210="Government",G210="Government-Aided",G210="University Department",G210="University",G210="University Autonomous"),15,0)+MIN(K210,10)+IF(AA210&lt;&gt;"",3,0)+IF(U210&lt;&gt;"",2,0)</x:f>
        <x:v>9</x:v>
      </x:c>
      <x:c r="AL210" s="49" t="str">
        <x:f>IF(AK210&gt;=70,"Official/high-evidence reference",IF(AK210&gt;=40,"Planning reference","Broader option"))</x:f>
        <x:v>Broader option</x:v>
      </x:c>
    </x:row>
    <x:row r="211">
      <x:c r="A211" s="63" t="n">
        <x:v>5381</x:v>
      </x:c>
      <x:c r="B211" s="49" t="str">
        <x:v>Shri. Jaykumar Rawal Institute of Technology, Dondaicha.</x:v>
      </x:c>
      <x:c r="C211" s="49" t="str">
        <x:v>Maharashtra</x:v>
      </x:c>
      <x:c r="D211" s="49" t="str">
        <x:v>Nashik</x:v>
      </x:c>
      <x:c r="E211" s="49" t="str">
        <x:v>Dhule</x:v>
      </x:c>
      <x:c r="F211" s="49" t="str">
        <x:v>At Post Dondaicha, Dist. Dhule</x:v>
      </x:c>
      <x:c r="G211" s="49" t="str">
        <x:v>Un-Aided</x:v>
      </x:c>
      <x:c r="H211" s="49" t="str">
        <x:v>Non-Autonomous</x:v>
      </x:c>
      <x:c r="I211" s="49" t="str">
        <x:v>Non-Minority</x:v>
      </x:c>
      <x:c r="J211" s="49" t="str">
        <x:v>Kavayitri Bahinabai Chaudhari North Maharashtra University, Jalgaon</x:v>
      </x:c>
      <x:c r="K211" s="49" t="n">
        <x:v>5</x:v>
      </x:c>
      <x:c r="L211" s="49" t="n">
        <x:v>174</x:v>
      </x:c>
      <x:c r="M211" s="49" t="n">
        <x:v>159</x:v>
      </x:c>
      <x:c r="N211" s="49" t="n">
        <x:v>15</x:v>
      </x:c>
      <x:c r="O211" s="49"/>
      <x:c r="P211" s="49"/>
      <x:c r="Q211" s="49" t="str">
        <x:v>Parsed from official 2025-26 PDF</x:v>
      </x:c>
      <x:c r="R211" s="49" t="str">
        <x:v>2024-25</x:v>
      </x:c>
      <x:c r="S211" s="64" t="n">
        <x:v>64429</x:v>
      </x:c>
      <x:c r="T211" s="64" t="n">
        <x:v>6571</x:v>
      </x:c>
      <x:c r="U211" s="64" t="n">
        <x:v>71000</x:v>
      </x:c>
      <x:c r="V211" s="49" t="str">
        <x:v>Normal FRA-approved annual tuition + development fee; not seat-type-specific</x:v>
      </x:c>
      <x:c r="W211" s="49"/>
      <x:c r="X211" s="49"/>
      <x:c r="Y211" s="68"/>
      <x:c r="Z211" s="49"/>
      <x:c r="AA211" s="49"/>
      <x:c r="AB211" s="49" t="str">
        <x:v>Not centrally verified</x:v>
      </x:c>
      <x:c r="AC211" s="49" t="str">
        <x:v>Not centrally verified</x:v>
      </x:c>
      <x:c r="AD211" s="49" t="str">
        <x:v>Not centrally verified</x:v>
      </x:c>
      <x:c r="AE211" s="49" t="str">
        <x:v>Not available in a standardized official source</x:v>
      </x:c>
      <x:c r="AF211" s="49" t="str">
        <x:v>Not included: no official standardized source; cutoff-derived proxy excluded</x:v>
      </x:c>
      <x:c r="AG211" s="49" t="str">
        <x:v>https://dse2025.mahacet.org.in/dse25/admin/allotment/cap2/5381_4.pdf</x:v>
      </x:c>
      <x:c r="AH211" s="49" t="str">
        <x:v>https://fe2025.mahacet.org/StaticPages/frmInstituteSummary.aspx?InstituteCode=05381</x:v>
      </x:c>
      <x:c r="AI211" s="49"/>
      <x:c r="AJ211" s="49" t="str"/>
      <x:c r="AK211" s="69" t="n">
        <x:f>IF(W211&lt;&gt;"",50,IF(X211="101-150",45,IF(X211="151-200",40,IF(X211="201-300",35,0))))+IF(H211="Autonomous",20,0)+IF(OR(G211="Government",G211="Government-Aided",G211="University Department",G211="University",G211="University Autonomous"),15,0)+MIN(K211,10)+IF(AA211&lt;&gt;"",3,0)+IF(U211&lt;&gt;"",2,0)</x:f>
        <x:v>7</x:v>
      </x:c>
      <x:c r="AL211" s="49" t="str">
        <x:f>IF(AK211&gt;=70,"Official/high-evidence reference",IF(AK211&gt;=40,"Planning reference","Broader option"))</x:f>
        <x:v>Broader option</x:v>
      </x:c>
    </x:row>
    <x:row r="212">
      <x:c r="A212" s="63" t="n">
        <x:v>5382</x:v>
      </x:c>
      <x:c r="B212" s="49" t="str">
        <x:v>Ahmednagar Jilha Maratha Vidya Prasarak Samajache, Shri. Chhatrapati Shivaji Maharaj College of Engineering, Nepti</x:v>
      </x:c>
      <x:c r="C212" s="49" t="str">
        <x:v>Maharashtra</x:v>
      </x:c>
      <x:c r="D212" s="49" t="str">
        <x:v>Nashik</x:v>
      </x:c>
      <x:c r="E212" s="49" t="str">
        <x:v>Ahilyanagar</x:v>
      </x:c>
      <x:c r="F212" s="49" t="str">
        <x:v>Survey No. 162&amp; 163, Nepti, Nagar Kalyan Road, Ahmednagar</x:v>
      </x:c>
      <x:c r="G212" s="49" t="str">
        <x:v>Un-Aided</x:v>
      </x:c>
      <x:c r="H212" s="49" t="str">
        <x:v>Non-Autonomous</x:v>
      </x:c>
      <x:c r="I212" s="49" t="str">
        <x:v>Non-Minority</x:v>
      </x:c>
      <x:c r="J212" s="49" t="str">
        <x:v>Savitribai Phule Pune University</x:v>
      </x:c>
      <x:c r="K212" s="49" t="n">
        <x:v>5</x:v>
      </x:c>
      <x:c r="L212" s="49" t="n">
        <x:v>95</x:v>
      </x:c>
      <x:c r="M212" s="49" t="n">
        <x:v>67</x:v>
      </x:c>
      <x:c r="N212" s="49" t="n">
        <x:v>28</x:v>
      </x:c>
      <x:c r="O212" s="49"/>
      <x:c r="P212" s="49"/>
      <x:c r="Q212" s="49" t="str">
        <x:v>Parsed from official 2025-26 PDF</x:v>
      </x:c>
      <x:c r="R212" s="49" t="str">
        <x:v>2024-25</x:v>
      </x:c>
      <x:c r="S212" s="64" t="n">
        <x:v>41703</x:v>
      </x:c>
      <x:c r="T212" s="64" t="n">
        <x:v>5297</x:v>
      </x:c>
      <x:c r="U212" s="64" t="n">
        <x:v>47000</x:v>
      </x:c>
      <x:c r="V212" s="49" t="str">
        <x:v>Normal FRA-approved annual tuition + development fee; not seat-type-specific</x:v>
      </x:c>
      <x:c r="W212" s="49"/>
      <x:c r="X212" s="49"/>
      <x:c r="Y212" s="68"/>
      <x:c r="Z212" s="49"/>
      <x:c r="AA212" s="49"/>
      <x:c r="AB212" s="49" t="str">
        <x:v>Not centrally verified</x:v>
      </x:c>
      <x:c r="AC212" s="49" t="str">
        <x:v>Not centrally verified</x:v>
      </x:c>
      <x:c r="AD212" s="49" t="str">
        <x:v>Not centrally verified</x:v>
      </x:c>
      <x:c r="AE212" s="49" t="str">
        <x:v>Not available in a standardized official source</x:v>
      </x:c>
      <x:c r="AF212" s="49" t="str">
        <x:v>Not included: no official standardized source; cutoff-derived proxy excluded</x:v>
      </x:c>
      <x:c r="AG212" s="49" t="str">
        <x:v>https://dse2025.mahacet.org.in/dse25/admin/allotment/cap2/5382_4.pdf</x:v>
      </x:c>
      <x:c r="AH212" s="49" t="str">
        <x:v>https://fe2025.mahacet.org/StaticPages/frmInstituteSummary.aspx?InstituteCode=05382</x:v>
      </x:c>
      <x:c r="AI212" s="49"/>
      <x:c r="AJ212" s="49" t="str"/>
      <x:c r="AK212" s="69" t="n">
        <x:f>IF(W212&lt;&gt;"",50,IF(X212="101-150",45,IF(X212="151-200",40,IF(X212="201-300",35,0))))+IF(H212="Autonomous",20,0)+IF(OR(G212="Government",G212="Government-Aided",G212="University Department",G212="University",G212="University Autonomous"),15,0)+MIN(K212,10)+IF(AA212&lt;&gt;"",3,0)+IF(U212&lt;&gt;"",2,0)</x:f>
        <x:v>7</x:v>
      </x:c>
      <x:c r="AL212" s="49" t="str">
        <x:f>IF(AK212&gt;=70,"Official/high-evidence reference",IF(AK212&gt;=40,"Planning reference","Broader option"))</x:f>
        <x:v>Broader option</x:v>
      </x:c>
    </x:row>
    <x:row r="213">
      <x:c r="A213" s="63" t="n">
        <x:v>5390</x:v>
      </x:c>
      <x:c r="B213" s="49" t="str">
        <x:v>K.V.N. Naik S. P. Sansth's Loknete Gopinathji Munde Institute of Engineering Education &amp; Research, Nashik.</x:v>
      </x:c>
      <x:c r="C213" s="49" t="str">
        <x:v>Maharashtra</x:v>
      </x:c>
      <x:c r="D213" s="49" t="str">
        <x:v>Nashik</x:v>
      </x:c>
      <x:c r="E213" s="49" t="str">
        <x:v>Nashik</x:v>
      </x:c>
      <x:c r="F213" s="49" t="str">
        <x:v>Canada Corner, Sharanpur Road, Nashik</x:v>
      </x:c>
      <x:c r="G213" s="49" t="str">
        <x:v>Un-Aided</x:v>
      </x:c>
      <x:c r="H213" s="49" t="str">
        <x:v>Non-Autonomous</x:v>
      </x:c>
      <x:c r="I213" s="49" t="str">
        <x:v>Non-Minority</x:v>
      </x:c>
      <x:c r="J213" s="49" t="str">
        <x:v>Savitribai Phule Pune University</x:v>
      </x:c>
      <x:c r="K213" s="49" t="n">
        <x:v>6</x:v>
      </x:c>
      <x:c r="L213" s="49" t="n">
        <x:v>104</x:v>
      </x:c>
      <x:c r="M213" s="49" t="n">
        <x:v>75</x:v>
      </x:c>
      <x:c r="N213" s="49" t="n">
        <x:v>29</x:v>
      </x:c>
      <x:c r="O213" s="49"/>
      <x:c r="P213" s="49"/>
      <x:c r="Q213" s="49" t="str">
        <x:v>Parsed from official 2025-26 PDF</x:v>
      </x:c>
      <x:c r="R213" s="49" t="str">
        <x:v>2024-25</x:v>
      </x:c>
      <x:c r="S213" s="64" t="n">
        <x:v>48214</x:v>
      </x:c>
      <x:c r="T213" s="64" t="n">
        <x:v>5786</x:v>
      </x:c>
      <x:c r="U213" s="64" t="n">
        <x:v>54000</x:v>
      </x:c>
      <x:c r="V213" s="49" t="str">
        <x:v>Normal FRA-approved annual tuition + development fee; not seat-type-specific</x:v>
      </x:c>
      <x:c r="W213" s="49"/>
      <x:c r="X213" s="49"/>
      <x:c r="Y213" s="68"/>
      <x:c r="Z213" s="49"/>
      <x:c r="AA213" s="49"/>
      <x:c r="AB213" s="49" t="str">
        <x:v>Not centrally verified</x:v>
      </x:c>
      <x:c r="AC213" s="49" t="str">
        <x:v>Not centrally verified</x:v>
      </x:c>
      <x:c r="AD213" s="49" t="str">
        <x:v>Not centrally verified</x:v>
      </x:c>
      <x:c r="AE213" s="49" t="str">
        <x:v>Not available in a standardized official source</x:v>
      </x:c>
      <x:c r="AF213" s="49" t="str">
        <x:v>Not included: no official standardized source; cutoff-derived proxy excluded</x:v>
      </x:c>
      <x:c r="AG213" s="49" t="str">
        <x:v>https://dse2025.mahacet.org.in/dse25/admin/allotment/cap2/5390_4.pdf</x:v>
      </x:c>
      <x:c r="AH213" s="49" t="str">
        <x:v>https://fe2025.mahacet.org/StaticPages/frmInstituteSummary.aspx?InstituteCode=05390</x:v>
      </x:c>
      <x:c r="AI213" s="49"/>
      <x:c r="AJ213" s="49" t="str"/>
      <x:c r="AK213" s="69" t="n">
        <x:f>IF(W213&lt;&gt;"",50,IF(X213="101-150",45,IF(X213="151-200",40,IF(X213="201-300",35,0))))+IF(H213="Autonomous",20,0)+IF(OR(G213="Government",G213="Government-Aided",G213="University Department",G213="University",G213="University Autonomous"),15,0)+MIN(K213,10)+IF(AA213&lt;&gt;"",3,0)+IF(U213&lt;&gt;"",2,0)</x:f>
        <x:v>8</x:v>
      </x:c>
      <x:c r="AL213" s="49" t="str">
        <x:f>IF(AK213&gt;=70,"Official/high-evidence reference",IF(AK213&gt;=40,"Planning reference","Broader option"))</x:f>
        <x:v>Broader option</x:v>
      </x:c>
    </x:row>
    <x:row r="214">
      <x:c r="A214" s="63" t="n">
        <x:v>5396</x:v>
      </x:c>
      <x:c r="B214" s="49" t="str">
        <x:v>College of Engineering and Technology ,North Maharashtra Knowledge City, Jalgaon</x:v>
      </x:c>
      <x:c r="C214" s="49" t="str">
        <x:v>Maharashtra</x:v>
      </x:c>
      <x:c r="D214" s="49" t="str">
        <x:v>Nashik</x:v>
      </x:c>
      <x:c r="E214" s="49" t="str">
        <x:v>Jalgaon</x:v>
      </x:c>
      <x:c r="F214" s="49" t="str">
        <x:v>Gat No 166 Bambhori, Jalgaon</x:v>
      </x:c>
      <x:c r="G214" s="49" t="str">
        <x:v>Un-Aided</x:v>
      </x:c>
      <x:c r="H214" s="49" t="str">
        <x:v>Non-Autonomous</x:v>
      </x:c>
      <x:c r="I214" s="49" t="str">
        <x:v>Non-Minority</x:v>
      </x:c>
      <x:c r="J214" s="49" t="str">
        <x:v>Dr. Babasaheb Ambedkar Technological University,Lonere</x:v>
      </x:c>
      <x:c r="K214" s="49" t="n">
        <x:v>4</x:v>
      </x:c>
      <x:c r="L214" s="49" t="n">
        <x:v>95</x:v>
      </x:c>
      <x:c r="M214" s="49" t="n">
        <x:v>82</x:v>
      </x:c>
      <x:c r="N214" s="49" t="n">
        <x:v>13</x:v>
      </x:c>
      <x:c r="O214" s="49"/>
      <x:c r="P214" s="49"/>
      <x:c r="Q214" s="49" t="str">
        <x:v>Parsed from official 2025-26 PDF</x:v>
      </x:c>
      <x:c r="R214" s="49" t="str">
        <x:v>2024-25</x:v>
      </x:c>
      <x:c r="S214" s="64" t="n">
        <x:v>66072</x:v>
      </x:c>
      <x:c r="T214" s="64" t="n">
        <x:v>7928</x:v>
      </x:c>
      <x:c r="U214" s="64" t="n">
        <x:v>74000</x:v>
      </x:c>
      <x:c r="V214" s="49" t="str">
        <x:v>Normal FRA-approved annual tuition + development fee; not seat-type-specific</x:v>
      </x:c>
      <x:c r="W214" s="49"/>
      <x:c r="X214" s="49"/>
      <x:c r="Y214" s="68"/>
      <x:c r="Z214" s="49"/>
      <x:c r="AA214" s="49"/>
      <x:c r="AB214" s="49" t="str">
        <x:v>Not centrally verified</x:v>
      </x:c>
      <x:c r="AC214" s="49" t="str">
        <x:v>Not centrally verified</x:v>
      </x:c>
      <x:c r="AD214" s="49" t="str">
        <x:v>Not centrally verified</x:v>
      </x:c>
      <x:c r="AE214" s="49" t="str">
        <x:v>Not available in a standardized official source</x:v>
      </x:c>
      <x:c r="AF214" s="49" t="str">
        <x:v>Not included: no official standardized source; cutoff-derived proxy excluded</x:v>
      </x:c>
      <x:c r="AG214" s="49" t="str">
        <x:v>https://dse2025.mahacet.org.in/dse25/admin/allotment/cap2/5396_4.pdf</x:v>
      </x:c>
      <x:c r="AH214" s="49" t="str">
        <x:v>https://fe2025.mahacet.org/StaticPages/frmInstituteSummary.aspx?InstituteCode=05396</x:v>
      </x:c>
      <x:c r="AI214" s="49"/>
      <x:c r="AJ214" s="49" t="str"/>
      <x:c r="AK214" s="69" t="n">
        <x:f>IF(W214&lt;&gt;"",50,IF(X214="101-150",45,IF(X214="151-200",40,IF(X214="201-300",35,0))))+IF(H214="Autonomous",20,0)+IF(OR(G214="Government",G214="Government-Aided",G214="University Department",G214="University",G214="University Autonomous"),15,0)+MIN(K214,10)+IF(AA214&lt;&gt;"",3,0)+IF(U214&lt;&gt;"",2,0)</x:f>
        <x:v>6</x:v>
      </x:c>
      <x:c r="AL214" s="49" t="str">
        <x:f>IF(AK214&gt;=70,"Official/high-evidence reference",IF(AK214&gt;=40,"Planning reference","Broader option"))</x:f>
        <x:v>Broader option</x:v>
      </x:c>
    </x:row>
    <x:row r="215">
      <x:c r="A215" s="63" t="n">
        <x:v>5399</x:v>
      </x:c>
      <x:c r="B215" s="49" t="str">
        <x:v>Sanghavi College of Engineering, Varvandi, Nashik.</x:v>
      </x:c>
      <x:c r="C215" s="49" t="str">
        <x:v>Maharashtra</x:v>
      </x:c>
      <x:c r="D215" s="49" t="str">
        <x:v>Nashik</x:v>
      </x:c>
      <x:c r="E215" s="49" t="str">
        <x:v>Nashik</x:v>
      </x:c>
      <x:c r="F215" s="49" t="str">
        <x:v>Gut No. 166, Varvandi, Taluka Dindori, Dist. Nashik.</x:v>
      </x:c>
      <x:c r="G215" s="49" t="str">
        <x:v>Un-Aided</x:v>
      </x:c>
      <x:c r="H215" s="49" t="str">
        <x:v>Non-Autonomous</x:v>
      </x:c>
      <x:c r="I215" s="49" t="str">
        <x:v>Non-Minority</x:v>
      </x:c>
      <x:c r="J215" s="49" t="str">
        <x:v>Savitribai Phule Pune University</x:v>
      </x:c>
      <x:c r="K215" s="49" t="n">
        <x:v>6</x:v>
      </x:c>
      <x:c r="L215" s="49" t="n">
        <x:v>250</x:v>
      </x:c>
      <x:c r="M215" s="49" t="n">
        <x:v>209</x:v>
      </x:c>
      <x:c r="N215" s="49" t="n">
        <x:v>41</x:v>
      </x:c>
      <x:c r="O215" s="49"/>
      <x:c r="P215" s="49"/>
      <x:c r="Q215" s="49" t="str">
        <x:v>Parsed from official 2025-26 PDF</x:v>
      </x:c>
      <x:c r="R215" s="49" t="str">
        <x:v>2024-25</x:v>
      </x:c>
      <x:c r="S215" s="64" t="n">
        <x:v>67272</x:v>
      </x:c>
      <x:c r="T215" s="64" t="n">
        <x:v>6728</x:v>
      </x:c>
      <x:c r="U215" s="64" t="n">
        <x:v>74000</x:v>
      </x:c>
      <x:c r="V215" s="49" t="str">
        <x:v>Normal FRA-approved annual tuition + development fee; not seat-type-specific</x:v>
      </x:c>
      <x:c r="W215" s="49"/>
      <x:c r="X215" s="49"/>
      <x:c r="Y215" s="68"/>
      <x:c r="Z215" s="49"/>
      <x:c r="AA215" s="49"/>
      <x:c r="AB215" s="49" t="str">
        <x:v>Not centrally verified</x:v>
      </x:c>
      <x:c r="AC215" s="49" t="str">
        <x:v>Not centrally verified</x:v>
      </x:c>
      <x:c r="AD215" s="49" t="str">
        <x:v>Not centrally verified</x:v>
      </x:c>
      <x:c r="AE215" s="49" t="str">
        <x:v>Not available in a standardized official source</x:v>
      </x:c>
      <x:c r="AF215" s="49" t="str">
        <x:v>Not included: no official standardized source; cutoff-derived proxy excluded</x:v>
      </x:c>
      <x:c r="AG215" s="49" t="str">
        <x:v>https://dse2025.mahacet.org.in/dse25/admin/allotment/cap2/5399_4.pdf</x:v>
      </x:c>
      <x:c r="AH215" s="49" t="str">
        <x:v>https://fe2025.mahacet.org/StaticPages/frmInstituteSummary.aspx?InstituteCode=05399</x:v>
      </x:c>
      <x:c r="AI215" s="49"/>
      <x:c r="AJ215" s="49" t="str"/>
      <x:c r="AK215" s="69" t="n">
        <x:f>IF(W215&lt;&gt;"",50,IF(X215="101-150",45,IF(X215="151-200",40,IF(X215="201-300",35,0))))+IF(H215="Autonomous",20,0)+IF(OR(G215="Government",G215="Government-Aided",G215="University Department",G215="University",G215="University Autonomous"),15,0)+MIN(K215,10)+IF(AA215&lt;&gt;"",3,0)+IF(U215&lt;&gt;"",2,0)</x:f>
        <x:v>8</x:v>
      </x:c>
      <x:c r="AL215" s="49" t="str">
        <x:f>IF(AK215&gt;=70,"Official/high-evidence reference",IF(AK215&gt;=40,"Planning reference","Broader option"))</x:f>
        <x:v>Broader option</x:v>
      </x:c>
    </x:row>
    <x:row r="216">
      <x:c r="A216" s="63" t="n">
        <x:v>5401</x:v>
      </x:c>
      <x:c r="B216" s="49" t="str">
        <x:v>Jawahar Education Society's Institute of Technology, Management &amp; Research, Nashik.</x:v>
      </x:c>
      <x:c r="C216" s="49" t="str">
        <x:v>Maharashtra</x:v>
      </x:c>
      <x:c r="D216" s="49" t="str">
        <x:v>Nashik</x:v>
      </x:c>
      <x:c r="E216" s="49" t="str">
        <x:v>Nashik</x:v>
      </x:c>
      <x:c r="F216" s="49" t="str">
        <x:v>Survey No.48, Gowardhan, Gangapur Road, Nashik.</x:v>
      </x:c>
      <x:c r="G216" s="49" t="str">
        <x:v>Un-Aided</x:v>
      </x:c>
      <x:c r="H216" s="49" t="str">
        <x:v>Non-Autonomous</x:v>
      </x:c>
      <x:c r="I216" s="49" t="str">
        <x:v>Non-Minority</x:v>
      </x:c>
      <x:c r="J216" s="49" t="str">
        <x:v>Savitribai Phule Pune University</x:v>
      </x:c>
      <x:c r="K216" s="49" t="n">
        <x:v>7</x:v>
      </x:c>
      <x:c r="L216" s="49" t="n">
        <x:v>258</x:v>
      </x:c>
      <x:c r="M216" s="49" t="n">
        <x:v>214</x:v>
      </x:c>
      <x:c r="N216" s="49" t="n">
        <x:v>44</x:v>
      </x:c>
      <x:c r="O216" s="49"/>
      <x:c r="P216" s="49"/>
      <x:c r="Q216" s="49" t="str">
        <x:v>Parsed from official 2025-26 PDF</x:v>
      </x:c>
      <x:c r="R216" s="49" t="str">
        <x:v>2024-25</x:v>
      </x:c>
      <x:c r="S216" s="64" t="n">
        <x:v>64888</x:v>
      </x:c>
      <x:c r="T216" s="64" t="n">
        <x:v>8112</x:v>
      </x:c>
      <x:c r="U216" s="64" t="n">
        <x:v>73000</x:v>
      </x:c>
      <x:c r="V216" s="49" t="str">
        <x:v>Normal FRA-approved annual tuition + development fee; not seat-type-specific</x:v>
      </x:c>
      <x:c r="W216" s="49"/>
      <x:c r="X216" s="49"/>
      <x:c r="Y216" s="68"/>
      <x:c r="Z216" s="49"/>
      <x:c r="AA216" s="49"/>
      <x:c r="AB216" s="49" t="str">
        <x:v>Not centrally verified</x:v>
      </x:c>
      <x:c r="AC216" s="49" t="str">
        <x:v>Not centrally verified</x:v>
      </x:c>
      <x:c r="AD216" s="49" t="str">
        <x:v>Not centrally verified</x:v>
      </x:c>
      <x:c r="AE216" s="49" t="str">
        <x:v>Not available in a standardized official source</x:v>
      </x:c>
      <x:c r="AF216" s="49" t="str">
        <x:v>Not included: no official standardized source; cutoff-derived proxy excluded</x:v>
      </x:c>
      <x:c r="AG216" s="49" t="str">
        <x:v>https://dse2025.mahacet.org.in/dse25/admin/allotment/cap2/5401_4.pdf</x:v>
      </x:c>
      <x:c r="AH216" s="49" t="str">
        <x:v>https://fe2025.mahacet.org/StaticPages/frmInstituteSummary.aspx?InstituteCode=05401</x:v>
      </x:c>
      <x:c r="AI216" s="49"/>
      <x:c r="AJ216" s="49" t="str"/>
      <x:c r="AK216" s="69" t="n">
        <x:f>IF(W216&lt;&gt;"",50,IF(X216="101-150",45,IF(X216="151-200",40,IF(X216="201-300",35,0))))+IF(H216="Autonomous",20,0)+IF(OR(G216="Government",G216="Government-Aided",G216="University Department",G216="University",G216="University Autonomous"),15,0)+MIN(K216,10)+IF(AA216&lt;&gt;"",3,0)+IF(U216&lt;&gt;"",2,0)</x:f>
        <x:v>9</x:v>
      </x:c>
      <x:c r="AL216" s="49" t="str">
        <x:f>IF(AK216&gt;=70,"Official/high-evidence reference",IF(AK216&gt;=40,"Planning reference","Broader option"))</x:f>
        <x:v>Broader option</x:v>
      </x:c>
    </x:row>
    <x:row r="217">
      <x:c r="A217" s="63" t="n">
        <x:v>5408</x:v>
      </x:c>
      <x:c r="B217" s="49" t="str">
        <x:v>Vidya Niketan College of Engineering, Bota Sangamner</x:v>
      </x:c>
      <x:c r="C217" s="49" t="str">
        <x:v>Maharashtra</x:v>
      </x:c>
      <x:c r="D217" s="49" t="str">
        <x:v>Nashik</x:v>
      </x:c>
      <x:c r="E217" s="49" t="str">
        <x:v>Ahilyanagar</x:v>
      </x:c>
      <x:c r="F217" s="49" t="str">
        <x:v>Gat No. 670, Vidya Nagari, Pune Nashik Road, at post Bota, TalSangamner, Dist. Ahmednagar.</x:v>
      </x:c>
      <x:c r="G217" s="49" t="str">
        <x:v>Un-Aided</x:v>
      </x:c>
      <x:c r="H217" s="49" t="str">
        <x:v>Non-Autonomous</x:v>
      </x:c>
      <x:c r="I217" s="49" t="str">
        <x:v>Non-Minority</x:v>
      </x:c>
      <x:c r="J217" s="49" t="str">
        <x:v>Savitribai Phule Pune University</x:v>
      </x:c>
      <x:c r="K217" s="49" t="n">
        <x:v>5</x:v>
      </x:c>
      <x:c r="L217" s="49" t="n">
        <x:v>298</x:v>
      </x:c>
      <x:c r="M217" s="49" t="n">
        <x:v>268</x:v>
      </x:c>
      <x:c r="N217" s="49" t="n">
        <x:v>30</x:v>
      </x:c>
      <x:c r="O217" s="49"/>
      <x:c r="P217" s="49"/>
      <x:c r="Q217" s="49" t="str">
        <x:v>Parsed from official 2025-26 PDF</x:v>
      </x:c>
      <x:c r="R217" s="49" t="str">
        <x:v>2024-25</x:v>
      </x:c>
      <x:c r="S217" s="64" t="n">
        <x:v>68778</x:v>
      </x:c>
      <x:c r="T217" s="64" t="n">
        <x:v>7222</x:v>
      </x:c>
      <x:c r="U217" s="64" t="n">
        <x:v>76000</x:v>
      </x:c>
      <x:c r="V217" s="49" t="str">
        <x:v>Normal FRA-approved annual tuition + development fee; not seat-type-specific</x:v>
      </x:c>
      <x:c r="W217" s="49"/>
      <x:c r="X217" s="49"/>
      <x:c r="Y217" s="68"/>
      <x:c r="Z217" s="49"/>
      <x:c r="AA217" s="49"/>
      <x:c r="AB217" s="49" t="str">
        <x:v>Not centrally verified</x:v>
      </x:c>
      <x:c r="AC217" s="49" t="str">
        <x:v>Not centrally verified</x:v>
      </x:c>
      <x:c r="AD217" s="49" t="str">
        <x:v>Not centrally verified</x:v>
      </x:c>
      <x:c r="AE217" s="49" t="str">
        <x:v>Not available in a standardized official source</x:v>
      </x:c>
      <x:c r="AF217" s="49" t="str">
        <x:v>Not included: no official standardized source; cutoff-derived proxy excluded</x:v>
      </x:c>
      <x:c r="AG217" s="49" t="str">
        <x:v>https://dse2025.mahacet.org.in/dse25/admin/allotment/cap2/5408_4.pdf</x:v>
      </x:c>
      <x:c r="AH217" s="49" t="str">
        <x:v>https://fe2025.mahacet.org/StaticPages/frmInstituteSummary.aspx?InstituteCode=05408</x:v>
      </x:c>
      <x:c r="AI217" s="49"/>
      <x:c r="AJ217" s="49" t="str"/>
      <x:c r="AK217" s="69" t="n">
        <x:f>IF(W217&lt;&gt;"",50,IF(X217="101-150",45,IF(X217="151-200",40,IF(X217="201-300",35,0))))+IF(H217="Autonomous",20,0)+IF(OR(G217="Government",G217="Government-Aided",G217="University Department",G217="University",G217="University Autonomous"),15,0)+MIN(K217,10)+IF(AA217&lt;&gt;"",3,0)+IF(U217&lt;&gt;"",2,0)</x:f>
        <x:v>7</x:v>
      </x:c>
      <x:c r="AL217" s="49" t="str">
        <x:f>IF(AK217&gt;=70,"Official/high-evidence reference",IF(AK217&gt;=40,"Planning reference","Broader option"))</x:f>
        <x:v>Broader option</x:v>
      </x:c>
    </x:row>
    <x:row r="218">
      <x:c r="A218" s="63" t="n">
        <x:v>5409</x:v>
      </x:c>
      <x:c r="B218" s="49" t="str">
        <x:v>Rajiv Gandhi College of Engineering, At Post Karjule Hariya Tal.Parner, Dist.Ahmednagar</x:v>
      </x:c>
      <x:c r="C218" s="49" t="str">
        <x:v>Maharashtra</x:v>
      </x:c>
      <x:c r="D218" s="49" t="str">
        <x:v>Nashik</x:v>
      </x:c>
      <x:c r="E218" s="49" t="str">
        <x:v>Ahilyanagar</x:v>
      </x:c>
      <x:c r="F218" s="49" t="str">
        <x:v>At Post Karjule Harya, Tal. Parner, Dist Ahmednagar</x:v>
      </x:c>
      <x:c r="G218" s="49" t="str">
        <x:v>Un-Aided</x:v>
      </x:c>
      <x:c r="H218" s="49" t="str">
        <x:v>Non-Autonomous</x:v>
      </x:c>
      <x:c r="I218" s="49" t="str">
        <x:v>Non-Minority</x:v>
      </x:c>
      <x:c r="J218" s="49" t="str">
        <x:v>Savitribai Phule Pune University</x:v>
      </x:c>
      <x:c r="K218" s="49" t="n">
        <x:v>4</x:v>
      </x:c>
      <x:c r="L218" s="49" t="n">
        <x:v>401</x:v>
      </x:c>
      <x:c r="M218" s="49" t="n">
        <x:v>359</x:v>
      </x:c>
      <x:c r="N218" s="49" t="n">
        <x:v>42</x:v>
      </x:c>
      <x:c r="O218" s="49"/>
      <x:c r="P218" s="49"/>
      <x:c r="Q218" s="49" t="str">
        <x:v>Parsed from official 2025-26 PDF</x:v>
      </x:c>
      <x:c r="R218" s="49" t="str">
        <x:v>2024-25</x:v>
      </x:c>
      <x:c r="S218" s="64" t="n">
        <x:v>67874</x:v>
      </x:c>
      <x:c r="T218" s="64" t="n">
        <x:v>7126</x:v>
      </x:c>
      <x:c r="U218" s="64" t="n">
        <x:v>75000</x:v>
      </x:c>
      <x:c r="V218" s="49" t="str">
        <x:v>Normal FRA-approved annual tuition + development fee; not seat-type-specific</x:v>
      </x:c>
      <x:c r="W218" s="49"/>
      <x:c r="X218" s="49"/>
      <x:c r="Y218" s="68"/>
      <x:c r="Z218" s="49"/>
      <x:c r="AA218" s="49"/>
      <x:c r="AB218" s="49" t="str">
        <x:v>Not centrally verified</x:v>
      </x:c>
      <x:c r="AC218" s="49" t="str">
        <x:v>Not centrally verified</x:v>
      </x:c>
      <x:c r="AD218" s="49" t="str">
        <x:v>Not centrally verified</x:v>
      </x:c>
      <x:c r="AE218" s="49" t="str">
        <x:v>Not available in a standardized official source</x:v>
      </x:c>
      <x:c r="AF218" s="49" t="str">
        <x:v>Not included: no official standardized source; cutoff-derived proxy excluded</x:v>
      </x:c>
      <x:c r="AG218" s="49" t="str">
        <x:v>https://dse2025.mahacet.org.in/dse25/admin/allotment/cap2/5409_4.pdf</x:v>
      </x:c>
      <x:c r="AH218" s="49" t="str">
        <x:v>https://fe2025.mahacet.org/StaticPages/frmInstituteSummary.aspx?InstituteCode=05409</x:v>
      </x:c>
      <x:c r="AI218" s="49"/>
      <x:c r="AJ218" s="49" t="str"/>
      <x:c r="AK218" s="69" t="n">
        <x:f>IF(W218&lt;&gt;"",50,IF(X218="101-150",45,IF(X218="151-200",40,IF(X218="201-300",35,0))))+IF(H218="Autonomous",20,0)+IF(OR(G218="Government",G218="Government-Aided",G218="University Department",G218="University",G218="University Autonomous"),15,0)+MIN(K218,10)+IF(AA218&lt;&gt;"",3,0)+IF(U218&lt;&gt;"",2,0)</x:f>
        <x:v>6</x:v>
      </x:c>
      <x:c r="AL218" s="49" t="str">
        <x:f>IF(AK218&gt;=70,"Official/high-evidence reference",IF(AK218&gt;=40,"Planning reference","Broader option"))</x:f>
        <x:v>Broader option</x:v>
      </x:c>
    </x:row>
    <x:row r="219">
      <x:c r="A219" s="63" t="n">
        <x:v>5411</x:v>
      </x:c>
      <x:c r="B219" s="49" t="str">
        <x:v>Maulana Mukhtar Ahmad Nadvi Technical Campus, Malegaon.</x:v>
      </x:c>
      <x:c r="C219" s="49" t="str">
        <x:v>Maharashtra</x:v>
      </x:c>
      <x:c r="D219" s="49" t="str">
        <x:v>Nashik</x:v>
      </x:c>
      <x:c r="E219" s="49" t="str">
        <x:v>Nashik</x:v>
      </x:c>
      <x:c r="F219" s="49" t="str">
        <x:v>Mansoora, Malegaon-Manmad Road, P.B.No.144, Malegaon, Nashik.</x:v>
      </x:c>
      <x:c r="G219" s="49" t="str">
        <x:v>Un-Aided</x:v>
      </x:c>
      <x:c r="H219" s="49" t="str">
        <x:v>Non-Autonomous</x:v>
      </x:c>
      <x:c r="I219" s="49" t="str">
        <x:v>Religious Minority - Muslim</x:v>
      </x:c>
      <x:c r="J219" s="49" t="str">
        <x:v>Savitribai Phule Pune University</x:v>
      </x:c>
      <x:c r="K219" s="49" t="n">
        <x:v>5</x:v>
      </x:c>
      <x:c r="L219" s="49" t="n">
        <x:v>228</x:v>
      </x:c>
      <x:c r="M219" s="49" t="n">
        <x:v>109</x:v>
      </x:c>
      <x:c r="N219" s="49"/>
      <x:c r="O219" s="49" t="n">
        <x:v>119</x:v>
      </x:c>
      <x:c r="P219" s="49"/>
      <x:c r="Q219" s="49" t="str">
        <x:v>Parsed from official 2025-26 PDF</x:v>
      </x:c>
      <x:c r="R219" s="49" t="str">
        <x:v>2024-25</x:v>
      </x:c>
      <x:c r="S219" s="64" t="n">
        <x:v>53465</x:v>
      </x:c>
      <x:c r="T219" s="64" t="n">
        <x:v>5989</x:v>
      </x:c>
      <x:c r="U219" s="64" t="n">
        <x:v>59454</x:v>
      </x:c>
      <x:c r="V219" s="49" t="str">
        <x:v>Normal FRA-approved annual tuition + development fee; not seat-type-specific</x:v>
      </x:c>
      <x:c r="W219" s="49"/>
      <x:c r="X219" s="49"/>
      <x:c r="Y219" s="68"/>
      <x:c r="Z219" s="49"/>
      <x:c r="AA219" s="49"/>
      <x:c r="AB219" s="49" t="str">
        <x:v>Not centrally verified</x:v>
      </x:c>
      <x:c r="AC219" s="49" t="str">
        <x:v>Not centrally verified</x:v>
      </x:c>
      <x:c r="AD219" s="49" t="str">
        <x:v>Not centrally verified</x:v>
      </x:c>
      <x:c r="AE219" s="49" t="str">
        <x:v>Not available in a standardized official source</x:v>
      </x:c>
      <x:c r="AF219" s="49" t="str">
        <x:v>Not included: no official standardized source; cutoff-derived proxy excluded</x:v>
      </x:c>
      <x:c r="AG219" s="49" t="str">
        <x:v>https://dse2025.mahacet.org.in/dse25/admin/allotment/cap2/5411_4.pdf</x:v>
      </x:c>
      <x:c r="AH219" s="49" t="str">
        <x:v>https://fe2025.mahacet.org/StaticPages/frmInstituteSummary.aspx?InstituteCode=05411</x:v>
      </x:c>
      <x:c r="AI219" s="49"/>
      <x:c r="AJ219" s="49" t="str"/>
      <x:c r="AK219" s="69" t="n">
        <x:f>IF(W219&lt;&gt;"",50,IF(X219="101-150",45,IF(X219="151-200",40,IF(X219="201-300",35,0))))+IF(H219="Autonomous",20,0)+IF(OR(G219="Government",G219="Government-Aided",G219="University Department",G219="University",G219="University Autonomous"),15,0)+MIN(K219,10)+IF(AA219&lt;&gt;"",3,0)+IF(U219&lt;&gt;"",2,0)</x:f>
        <x:v>7</x:v>
      </x:c>
      <x:c r="AL219" s="49" t="str">
        <x:f>IF(AK219&gt;=70,"Official/high-evidence reference",IF(AK219&gt;=40,"Planning reference","Broader option"))</x:f>
        <x:v>Broader option</x:v>
      </x:c>
    </x:row>
    <x:row r="220">
      <x:c r="A220" s="63" t="n">
        <x:v>5418</x:v>
      </x:c>
      <x:c r="B220" s="49" t="str">
        <x:v>Guru Gobind Singh College of Engineering &amp; Research Centre, Nashik.</x:v>
      </x:c>
      <x:c r="C220" s="49" t="str">
        <x:v>Maharashtra</x:v>
      </x:c>
      <x:c r="D220" s="49" t="str">
        <x:v>Nashik</x:v>
      </x:c>
      <x:c r="E220" s="49" t="str">
        <x:v>Nashik</x:v>
      </x:c>
      <x:c r="F220" s="49" t="str">
        <x:v>Khalsa Educational Complex, Guru Gobind Singh Marg, Nashik.</x:v>
      </x:c>
      <x:c r="G220" s="49" t="str">
        <x:v>Un-Aided</x:v>
      </x:c>
      <x:c r="H220" s="49" t="str">
        <x:v>Non-Autonomous</x:v>
      </x:c>
      <x:c r="I220" s="49" t="str">
        <x:v>Non-Minority</x:v>
      </x:c>
      <x:c r="J220" s="49" t="str">
        <x:v>Savitribai Phule Pune University</x:v>
      </x:c>
      <x:c r="K220" s="49" t="n">
        <x:v>6</x:v>
      </x:c>
      <x:c r="L220" s="49" t="n">
        <x:v>111</x:v>
      </x:c>
      <x:c r="M220" s="49" t="n">
        <x:v>88</x:v>
      </x:c>
      <x:c r="N220" s="49" t="n">
        <x:v>23</x:v>
      </x:c>
      <x:c r="O220" s="49"/>
      <x:c r="P220" s="49"/>
      <x:c r="Q220" s="49" t="str">
        <x:v>Parsed from official 2025-26 PDF</x:v>
      </x:c>
      <x:c r="R220" s="49" t="str">
        <x:v>2024-25</x:v>
      </x:c>
      <x:c r="S220" s="64" t="n">
        <x:v>74336</x:v>
      </x:c>
      <x:c r="T220" s="64" t="n">
        <x:v>9664</x:v>
      </x:c>
      <x:c r="U220" s="64" t="n">
        <x:v>84000</x:v>
      </x:c>
      <x:c r="V220" s="49" t="str">
        <x:v>Normal FRA-approved annual tuition + development fee; not seat-type-specific</x:v>
      </x:c>
      <x:c r="W220" s="49"/>
      <x:c r="X220" s="49"/>
      <x:c r="Y220" s="68"/>
      <x:c r="Z220" s="49"/>
      <x:c r="AA220" s="49"/>
      <x:c r="AB220" s="49" t="str">
        <x:v>Not centrally verified</x:v>
      </x:c>
      <x:c r="AC220" s="49" t="str">
        <x:v>Not centrally verified</x:v>
      </x:c>
      <x:c r="AD220" s="49" t="str">
        <x:v>Not centrally verified</x:v>
      </x:c>
      <x:c r="AE220" s="49" t="str">
        <x:v>Not available in a standardized official source</x:v>
      </x:c>
      <x:c r="AF220" s="49" t="str">
        <x:v>Not included: no official standardized source; cutoff-derived proxy excluded</x:v>
      </x:c>
      <x:c r="AG220" s="49" t="str">
        <x:v>https://dse2025.mahacet.org.in/dse25/admin/allotment/cap2/5418_4.pdf</x:v>
      </x:c>
      <x:c r="AH220" s="49" t="str">
        <x:v>https://fe2025.mahacet.org/StaticPages/frmInstituteSummary.aspx?InstituteCode=05418</x:v>
      </x:c>
      <x:c r="AI220" s="49"/>
      <x:c r="AJ220" s="49" t="str"/>
      <x:c r="AK220" s="69" t="n">
        <x:f>IF(W220&lt;&gt;"",50,IF(X220="101-150",45,IF(X220="151-200",40,IF(X220="201-300",35,0))))+IF(H220="Autonomous",20,0)+IF(OR(G220="Government",G220="Government-Aided",G220="University Department",G220="University",G220="University Autonomous"),15,0)+MIN(K220,10)+IF(AA220&lt;&gt;"",3,0)+IF(U220&lt;&gt;"",2,0)</x:f>
        <x:v>8</x:v>
      </x:c>
      <x:c r="AL220" s="49" t="str">
        <x:f>IF(AK220&gt;=70,"Official/high-evidence reference",IF(AK220&gt;=40,"Planning reference","Broader option"))</x:f>
        <x:v>Broader option</x:v>
      </x:c>
    </x:row>
    <x:row r="221">
      <x:c r="A221" s="63" t="n">
        <x:v>5433</x:v>
      </x:c>
      <x:c r="B221" s="49" t="str">
        <x:v>R.C. Patel College of Engineering and Polytechnic, Shirpur</x:v>
      </x:c>
      <x:c r="C221" s="49" t="str">
        <x:v>Maharashtra</x:v>
      </x:c>
      <x:c r="D221" s="49" t="str">
        <x:v>Nashik</x:v>
      </x:c>
      <x:c r="E221" s="49" t="str">
        <x:v>Dhule</x:v>
      </x:c>
      <x:c r="F221" s="49" t="str">
        <x:v>Survey No. 41/1, Near Balaji Nagar, Opposite to R.C. Patel Educational Complex, Karwand Road, Shirpur.</x:v>
      </x:c>
      <x:c r="G221" s="49" t="str">
        <x:v>Un-Aided</x:v>
      </x:c>
      <x:c r="H221" s="49" t="str">
        <x:v>Non-Autonomous</x:v>
      </x:c>
      <x:c r="I221" s="49" t="str">
        <x:v>Linguistic Minority - Gujarathi</x:v>
      </x:c>
      <x:c r="J221" s="49" t="str">
        <x:v>Dr. Babasaheb Ambedkar Technological University,Lonere</x:v>
      </x:c>
      <x:c r="K221" s="49" t="n">
        <x:v>4</x:v>
      </x:c>
      <x:c r="L221" s="49" t="n">
        <x:v>37</x:v>
      </x:c>
      <x:c r="M221" s="49" t="n">
        <x:v>15</x:v>
      </x:c>
      <x:c r="N221" s="49"/>
      <x:c r="O221" s="49" t="n">
        <x:v>22</x:v>
      </x:c>
      <x:c r="P221" s="49"/>
      <x:c r="Q221" s="49" t="str">
        <x:v>Parsed from official 2025-26 PDF</x:v>
      </x:c>
      <x:c r="R221" s="49"/>
      <x:c r="S221" s="64"/>
      <x:c r="T221" s="64"/>
      <x:c r="U221" s="64"/>
      <x:c r="V221" s="49" t="str">
        <x:v>No verified FRA match</x:v>
      </x:c>
      <x:c r="W221" s="49"/>
      <x:c r="X221" s="49"/>
      <x:c r="Y221" s="68"/>
      <x:c r="Z221" s="49"/>
      <x:c r="AA221" s="49"/>
      <x:c r="AB221" s="49" t="str">
        <x:v>Not centrally verified</x:v>
      </x:c>
      <x:c r="AC221" s="49" t="str">
        <x:v>Not centrally verified</x:v>
      </x:c>
      <x:c r="AD221" s="49" t="str">
        <x:v>Not centrally verified</x:v>
      </x:c>
      <x:c r="AE221" s="49" t="str">
        <x:v>Not available in a standardized official source</x:v>
      </x:c>
      <x:c r="AF221" s="49" t="str">
        <x:v>Not included: no official standardized source; cutoff-derived proxy excluded</x:v>
      </x:c>
      <x:c r="AG221" s="49" t="str">
        <x:v>https://dse2025.mahacet.org.in/dse25/admin/allotment/cap2/5433_4.pdf</x:v>
      </x:c>
      <x:c r="AH221" s="49" t="str">
        <x:v>https://fe2025.mahacet.org/StaticPages/frmInstituteSummary.aspx?InstituteCode=05433</x:v>
      </x:c>
      <x:c r="AI221" s="49"/>
      <x:c r="AJ221" s="49" t="str"/>
      <x:c r="AK221" s="69" t="n">
        <x:f>IF(W221&lt;&gt;"",50,IF(X221="101-150",45,IF(X221="151-200",40,IF(X221="201-300",35,0))))+IF(H221="Autonomous",20,0)+IF(OR(G221="Government",G221="Government-Aided",G221="University Department",G221="University",G221="University Autonomous"),15,0)+MIN(K221,10)+IF(AA221&lt;&gt;"",3,0)+IF(U221&lt;&gt;"",2,0)</x:f>
        <x:v>4</x:v>
      </x:c>
      <x:c r="AL221" s="49" t="str">
        <x:f>IF(AK221&gt;=70,"Official/high-evidence reference",IF(AK221&gt;=40,"Planning reference","Broader option"))</x:f>
        <x:v>Broader option</x:v>
      </x:c>
    </x:row>
    <x:row r="222">
      <x:c r="A222" s="63" t="n">
        <x:v>5449</x:v>
      </x:c>
      <x:c r="B222" s="49" t="str">
        <x:v>Shri Vile Parle Kelavani Mandal's Institute of Technology, Dhule</x:v>
      </x:c>
      <x:c r="C222" s="49" t="str">
        <x:v>Maharashtra</x:v>
      </x:c>
      <x:c r="D222" s="49"/>
      <x:c r="E222" s="49" t="str">
        <x:v>Dhule</x:v>
      </x:c>
      <x:c r="F222" s="49"/>
      <x:c r="G222" s="49" t="str">
        <x:v>Un-Aided Linguistic Minority - Gujarathi</x:v>
      </x:c>
      <x:c r="H222" s="49" t="str">
        <x:v>Not verified</x:v>
      </x:c>
      <x:c r="I222" s="49" t="str">
        <x:v>Not verified</x:v>
      </x:c>
      <x:c r="J222" s="49"/>
      <x:c r="K222" s="49" t="n">
        <x:v>7</x:v>
      </x:c>
      <x:c r="L222" s="49" t="n">
        <x:v>78</x:v>
      </x:c>
      <x:c r="M222" s="49" t="n">
        <x:v>34</x:v>
      </x:c>
      <x:c r="N222" s="49"/>
      <x:c r="O222" s="49" t="n">
        <x:v>44</x:v>
      </x:c>
      <x:c r="P222" s="49"/>
      <x:c r="Q222" s="49" t="str">
        <x:v>Parsed from official 2025-26 PDF</x:v>
      </x:c>
      <x:c r="R222" s="49" t="str">
        <x:v>2024-25</x:v>
      </x:c>
      <x:c r="S222" s="64" t="n">
        <x:v>98206</x:v>
      </x:c>
      <x:c r="T222" s="64" t="n">
        <x:v>11294</x:v>
      </x:c>
      <x:c r="U222" s="64" t="n">
        <x:v>109500</x:v>
      </x:c>
      <x:c r="V222" s="49" t="str">
        <x:v>Normal FRA-approved annual tuition + development fee; not seat-type-specific</x:v>
      </x:c>
      <x:c r="W222" s="49"/>
      <x:c r="X222" s="49"/>
      <x:c r="Y222" s="68"/>
      <x:c r="Z222" s="49"/>
      <x:c r="AA222" s="49"/>
      <x:c r="AB222" s="49" t="str">
        <x:v>Not centrally verified</x:v>
      </x:c>
      <x:c r="AC222" s="49" t="str">
        <x:v>Not centrally verified</x:v>
      </x:c>
      <x:c r="AD222" s="49" t="str">
        <x:v>Not centrally verified</x:v>
      </x:c>
      <x:c r="AE222" s="49" t="str">
        <x:v>Not available in a standardized official source</x:v>
      </x:c>
      <x:c r="AF222" s="49" t="str">
        <x:v>Not included: no official standardized source; cutoff-derived proxy excluded</x:v>
      </x:c>
      <x:c r="AG222" s="49" t="str">
        <x:v>https://dse2025.mahacet.org.in/dse25/admin/allotment/cap2/5449_4.pdf</x:v>
      </x:c>
      <x:c r="AH222" s="49" t="str">
        <x:v>https://fe2025.mahacet.org/StaticPages/frmInstituteList.aspx?did=1884</x:v>
      </x:c>
      <x:c r="AI222" s="49"/>
      <x:c r="AJ222" s="49" t="str"/>
      <x:c r="AK222" s="69" t="n">
        <x:f>IF(W222&lt;&gt;"",50,IF(X222="101-150",45,IF(X222="151-200",40,IF(X222="201-300",35,0))))+IF(H222="Autonomous",20,0)+IF(OR(G222="Government",G222="Government-Aided",G222="University Department",G222="University",G222="University Autonomous"),15,0)+MIN(K222,10)+IF(AA222&lt;&gt;"",3,0)+IF(U222&lt;&gt;"",2,0)</x:f>
        <x:v>9</x:v>
      </x:c>
      <x:c r="AL222" s="49" t="str">
        <x:f>IF(AK222&gt;=70,"Official/high-evidence reference",IF(AK222&gt;=40,"Planning reference","Broader option"))</x:f>
        <x:v>Broader option</x:v>
      </x:c>
    </x:row>
    <x:row r="223">
      <x:c r="A223" s="63" t="n">
        <x:v>5497</x:v>
      </x:c>
      <x:c r="B223" s="49" t="str">
        <x:v>P.G. College of Engineering &amp; Technology, Nandurbar</x:v>
      </x:c>
      <x:c r="C223" s="49" t="str">
        <x:v>Maharashtra</x:v>
      </x:c>
      <x:c r="D223" s="49" t="str">
        <x:v>Nashik</x:v>
      </x:c>
      <x:c r="E223" s="49" t="str">
        <x:v>Nandurbar</x:v>
      </x:c>
      <x:c r="F223" s="49" t="str">
        <x:v>P.G. Knowledge City, Sant Bhumi Nagziri, Chaupale, Nandurbar</x:v>
      </x:c>
      <x:c r="G223" s="49" t="str">
        <x:v>Un-Aided</x:v>
      </x:c>
      <x:c r="H223" s="49" t="str">
        <x:v>Non-Autonomous</x:v>
      </x:c>
      <x:c r="I223" s="49" t="str">
        <x:v>Non-Minority</x:v>
      </x:c>
      <x:c r="J223" s="49" t="str">
        <x:v>Dr. Babasaheb Ambedkar Technological University,Lonere</x:v>
      </x:c>
      <x:c r="K223" s="49" t="n">
        <x:v>4</x:v>
      </x:c>
      <x:c r="L223" s="49" t="n">
        <x:v>242</x:v>
      </x:c>
      <x:c r="M223" s="49" t="n">
        <x:v>217</x:v>
      </x:c>
      <x:c r="N223" s="49" t="n">
        <x:v>25</x:v>
      </x:c>
      <x:c r="O223" s="49"/>
      <x:c r="P223" s="49"/>
      <x:c r="Q223" s="49" t="str">
        <x:v>Parsed from official 2025-26 PDF</x:v>
      </x:c>
      <x:c r="R223" s="49"/>
      <x:c r="S223" s="64"/>
      <x:c r="T223" s="64"/>
      <x:c r="U223" s="64"/>
      <x:c r="V223" s="49" t="str">
        <x:v>No verified FRA match</x:v>
      </x:c>
      <x:c r="W223" s="49"/>
      <x:c r="X223" s="49"/>
      <x:c r="Y223" s="68"/>
      <x:c r="Z223" s="49"/>
      <x:c r="AA223" s="49"/>
      <x:c r="AB223" s="49" t="str">
        <x:v>Not centrally verified</x:v>
      </x:c>
      <x:c r="AC223" s="49" t="str">
        <x:v>Not centrally verified</x:v>
      </x:c>
      <x:c r="AD223" s="49" t="str">
        <x:v>Not centrally verified</x:v>
      </x:c>
      <x:c r="AE223" s="49" t="str">
        <x:v>Not available in a standardized official source</x:v>
      </x:c>
      <x:c r="AF223" s="49" t="str">
        <x:v>Not included: no official standardized source; cutoff-derived proxy excluded</x:v>
      </x:c>
      <x:c r="AG223" s="49" t="str">
        <x:v>https://dse2025.mahacet.org.in/dse25/admin/allotment/cap2/5497_4.pdf</x:v>
      </x:c>
      <x:c r="AH223" s="49" t="str">
        <x:v>https://fe2025.mahacet.org/StaticPages/frmInstituteSummary.aspx?InstituteCode=05497</x:v>
      </x:c>
      <x:c r="AI223" s="49"/>
      <x:c r="AJ223" s="49" t="str"/>
      <x:c r="AK223" s="69" t="n">
        <x:f>IF(W223&lt;&gt;"",50,IF(X223="101-150",45,IF(X223="151-200",40,IF(X223="201-300",35,0))))+IF(H223="Autonomous",20,0)+IF(OR(G223="Government",G223="Government-Aided",G223="University Department",G223="University",G223="University Autonomous"),15,0)+MIN(K223,10)+IF(AA223&lt;&gt;"",3,0)+IF(U223&lt;&gt;"",2,0)</x:f>
        <x:v>4</x:v>
      </x:c>
      <x:c r="AL223" s="49" t="str">
        <x:f>IF(AK223&gt;=70,"Official/high-evidence reference",IF(AK223&gt;=40,"Planning reference","Broader option"))</x:f>
        <x:v>Broader option</x:v>
      </x:c>
    </x:row>
    <x:row r="224">
      <x:c r="A224" s="63" t="n">
        <x:v>5509</x:v>
      </x:c>
      <x:c r="B224" s="49" t="str">
        <x:v>Shri Swami Samarth Institute of Management and Technology, Malwadi-Bota</x:v>
      </x:c>
      <x:c r="C224" s="49" t="str">
        <x:v>Maharashtra</x:v>
      </x:c>
      <x:c r="D224" s="49" t="str">
        <x:v>Nashik</x:v>
      </x:c>
      <x:c r="E224" s="49" t="str">
        <x:v>Ahilyanagar</x:v>
      </x:c>
      <x:c r="F224" s="49" t="str">
        <x:v>At Malwadi ,Post Bota, Taluka Sangamner, District Ahmednagar</x:v>
      </x:c>
      <x:c r="G224" s="49" t="str">
        <x:v>Un-Aided</x:v>
      </x:c>
      <x:c r="H224" s="49" t="str">
        <x:v>Non-Autonomous</x:v>
      </x:c>
      <x:c r="I224" s="49" t="str">
        <x:v>Non-Minority</x:v>
      </x:c>
      <x:c r="J224" s="49" t="str">
        <x:v>Dr. Babasaheb Ambedkar Technological University,Lonere</x:v>
      </x:c>
      <x:c r="K224" s="49" t="n">
        <x:v>4</x:v>
      </x:c>
      <x:c r="L224" s="49" t="n">
        <x:v>234</x:v>
      </x:c>
      <x:c r="M224" s="49" t="n">
        <x:v>207</x:v>
      </x:c>
      <x:c r="N224" s="49" t="n">
        <x:v>27</x:v>
      </x:c>
      <x:c r="O224" s="49"/>
      <x:c r="P224" s="49"/>
      <x:c r="Q224" s="49" t="str">
        <x:v>Parsed from official 2025-26 PDF</x:v>
      </x:c>
      <x:c r="R224" s="49"/>
      <x:c r="S224" s="64"/>
      <x:c r="T224" s="64"/>
      <x:c r="U224" s="64"/>
      <x:c r="V224" s="49" t="str">
        <x:v>No verified FRA match</x:v>
      </x:c>
      <x:c r="W224" s="49"/>
      <x:c r="X224" s="49"/>
      <x:c r="Y224" s="68"/>
      <x:c r="Z224" s="49"/>
      <x:c r="AA224" s="49"/>
      <x:c r="AB224" s="49" t="str">
        <x:v>Not centrally verified</x:v>
      </x:c>
      <x:c r="AC224" s="49" t="str">
        <x:v>Not centrally verified</x:v>
      </x:c>
      <x:c r="AD224" s="49" t="str">
        <x:v>Not centrally verified</x:v>
      </x:c>
      <x:c r="AE224" s="49" t="str">
        <x:v>Not available in a standardized official source</x:v>
      </x:c>
      <x:c r="AF224" s="49" t="str">
        <x:v>Not included: no official standardized source; cutoff-derived proxy excluded</x:v>
      </x:c>
      <x:c r="AG224" s="49" t="str">
        <x:v>https://dse2025.mahacet.org.in/dse25/admin/allotment/cap2/5509_4.pdf</x:v>
      </x:c>
      <x:c r="AH224" s="49" t="str">
        <x:v>https://fe2025.mahacet.org/StaticPages/frmInstituteSummary.aspx?InstituteCode=05509</x:v>
      </x:c>
      <x:c r="AI224" s="49"/>
      <x:c r="AJ224" s="49" t="str"/>
      <x:c r="AK224" s="69" t="n">
        <x:f>IF(W224&lt;&gt;"",50,IF(X224="101-150",45,IF(X224="151-200",40,IF(X224="201-300",35,0))))+IF(H224="Autonomous",20,0)+IF(OR(G224="Government",G224="Government-Aided",G224="University Department",G224="University",G224="University Autonomous"),15,0)+MIN(K224,10)+IF(AA224&lt;&gt;"",3,0)+IF(U224&lt;&gt;"",2,0)</x:f>
        <x:v>4</x:v>
      </x:c>
      <x:c r="AL224" s="49" t="str">
        <x:f>IF(AK224&gt;=70,"Official/high-evidence reference",IF(AK224&gt;=40,"Planning reference","Broader option"))</x:f>
        <x:v>Broader option</x:v>
      </x:c>
    </x:row>
    <x:row r="225">
      <x:c r="A225" s="63" t="n">
        <x:v>5513</x:v>
      </x:c>
      <x:c r="B225" s="49" t="str">
        <x:v>MKD Institute of Technology, Nadurbar</x:v>
      </x:c>
      <x:c r="C225" s="49" t="str">
        <x:v>Maharashtra</x:v>
      </x:c>
      <x:c r="D225" s="49" t="str">
        <x:v>Nashik</x:v>
      </x:c>
      <x:c r="E225" s="49" t="str">
        <x:v>Nandurbar</x:v>
      </x:c>
      <x:c r="F225" s="49" t="str">
        <x:v>A/p Virchak, Gat No.42, Nandurbar-Navapur-Highway, Taluka District Nandurbar</x:v>
      </x:c>
      <x:c r="G225" s="49" t="str">
        <x:v>Un-Aided</x:v>
      </x:c>
      <x:c r="H225" s="49" t="str">
        <x:v>Non-Autonomous</x:v>
      </x:c>
      <x:c r="I225" s="49" t="str">
        <x:v>Non-Minority</x:v>
      </x:c>
      <x:c r="J225" s="49" t="str">
        <x:v>Dr. Babasaheb Ambedkar Technological University,Lonere</x:v>
      </x:c>
      <x:c r="K225" s="49" t="n">
        <x:v>3</x:v>
      </x:c>
      <x:c r="L225" s="49" t="n">
        <x:v>196</x:v>
      </x:c>
      <x:c r="M225" s="49" t="n">
        <x:v>175</x:v>
      </x:c>
      <x:c r="N225" s="49" t="n">
        <x:v>21</x:v>
      </x:c>
      <x:c r="O225" s="49"/>
      <x:c r="P225" s="49"/>
      <x:c r="Q225" s="49" t="str">
        <x:v>Parsed from official 2025-26 PDF</x:v>
      </x:c>
      <x:c r="R225" s="49"/>
      <x:c r="S225" s="64"/>
      <x:c r="T225" s="64"/>
      <x:c r="U225" s="64"/>
      <x:c r="V225" s="49" t="str">
        <x:v>No verified FRA match</x:v>
      </x:c>
      <x:c r="W225" s="49"/>
      <x:c r="X225" s="49"/>
      <x:c r="Y225" s="68"/>
      <x:c r="Z225" s="49"/>
      <x:c r="AA225" s="49"/>
      <x:c r="AB225" s="49" t="str">
        <x:v>Not centrally verified</x:v>
      </x:c>
      <x:c r="AC225" s="49" t="str">
        <x:v>Not centrally verified</x:v>
      </x:c>
      <x:c r="AD225" s="49" t="str">
        <x:v>Not centrally verified</x:v>
      </x:c>
      <x:c r="AE225" s="49" t="str">
        <x:v>Not available in a standardized official source</x:v>
      </x:c>
      <x:c r="AF225" s="49" t="str">
        <x:v>Not included: no official standardized source; cutoff-derived proxy excluded</x:v>
      </x:c>
      <x:c r="AG225" s="49" t="str">
        <x:v>https://dse2025.mahacet.org.in/dse25/admin/allotment/cap2/5513_4.pdf</x:v>
      </x:c>
      <x:c r="AH225" s="49" t="str">
        <x:v>https://fe2025.mahacet.org/StaticPages/frmInstituteSummary.aspx?InstituteCode=05513</x:v>
      </x:c>
      <x:c r="AI225" s="49"/>
      <x:c r="AJ225" s="49" t="str"/>
      <x:c r="AK225" s="69" t="n">
        <x:f>IF(W225&lt;&gt;"",50,IF(X225="101-150",45,IF(X225="151-200",40,IF(X225="201-300",35,0))))+IF(H225="Autonomous",20,0)+IF(OR(G225="Government",G225="Government-Aided",G225="University Department",G225="University",G225="University Autonomous"),15,0)+MIN(K225,10)+IF(AA225&lt;&gt;"",3,0)+IF(U225&lt;&gt;"",2,0)</x:f>
        <x:v>3</x:v>
      </x:c>
      <x:c r="AL225" s="49" t="str">
        <x:f>IF(AK225&gt;=70,"Official/high-evidence reference",IF(AK225&gt;=40,"Planning reference","Broader option"))</x:f>
        <x:v>Broader option</x:v>
      </x:c>
    </x:row>
    <x:row r="226">
      <x:c r="A226" s="63" t="n">
        <x:v>5545</x:v>
      </x:c>
      <x:c r="B226" s="49" t="str">
        <x:v>Shri Vile Parle Kelavani Mandal's College of Engineering, Shirpur</x:v>
      </x:c>
      <x:c r="C226" s="49" t="str">
        <x:v>Maharashtra</x:v>
      </x:c>
      <x:c r="D226" s="49" t="str">
        <x:v>Nashik</x:v>
      </x:c>
      <x:c r="E226" s="49" t="str">
        <x:v>Dhule</x:v>
      </x:c>
      <x:c r="F226" s="49" t="str">
        <x:v>Survey No. 9/1, 9/2, At Post Dahivad, Behind Textile Park, Ankleshwar Burhanpur Highway, Shirpur, District Dhule.</x:v>
      </x:c>
      <x:c r="G226" s="49" t="str">
        <x:v>Un-Aided</x:v>
      </x:c>
      <x:c r="H226" s="49" t="str">
        <x:v>Non-Autonomous</x:v>
      </x:c>
      <x:c r="I226" s="49" t="str">
        <x:v>Linguistic Minority - Gujarathi</x:v>
      </x:c>
      <x:c r="J226" s="49" t="str">
        <x:v>Dr. Babasaheb Ambedkar Technological University,Lonere</x:v>
      </x:c>
      <x:c r="K226" s="49" t="n">
        <x:v>4</x:v>
      </x:c>
      <x:c r="L226" s="49" t="n">
        <x:v>82</x:v>
      </x:c>
      <x:c r="M226" s="49" t="n">
        <x:v>38</x:v>
      </x:c>
      <x:c r="N226" s="49"/>
      <x:c r="O226" s="49" t="n">
        <x:v>44</x:v>
      </x:c>
      <x:c r="P226" s="49"/>
      <x:c r="Q226" s="49" t="str">
        <x:v>Parsed from official 2025-26 PDF</x:v>
      </x:c>
      <x:c r="R226" s="49"/>
      <x:c r="S226" s="64"/>
      <x:c r="T226" s="64"/>
      <x:c r="U226" s="64"/>
      <x:c r="V226" s="49" t="str">
        <x:v>No verified FRA match</x:v>
      </x:c>
      <x:c r="W226" s="49"/>
      <x:c r="X226" s="49"/>
      <x:c r="Y226" s="68"/>
      <x:c r="Z226" s="49"/>
      <x:c r="AA226" s="49"/>
      <x:c r="AB226" s="49" t="str">
        <x:v>Not centrally verified</x:v>
      </x:c>
      <x:c r="AC226" s="49" t="str">
        <x:v>Not centrally verified</x:v>
      </x:c>
      <x:c r="AD226" s="49" t="str">
        <x:v>Not centrally verified</x:v>
      </x:c>
      <x:c r="AE226" s="49" t="str">
        <x:v>Not available in a standardized official source</x:v>
      </x:c>
      <x:c r="AF226" s="49" t="str">
        <x:v>Not included: no official standardized source; cutoff-derived proxy excluded</x:v>
      </x:c>
      <x:c r="AG226" s="49" t="str">
        <x:v>https://dse2025.mahacet.org.in/dse25/admin/allotment/cap2/5545_4.pdf</x:v>
      </x:c>
      <x:c r="AH226" s="49" t="str">
        <x:v>https://fe2025.mahacet.org/StaticPages/frmInstituteSummary.aspx?InstituteCode=05545</x:v>
      </x:c>
      <x:c r="AI226" s="49"/>
      <x:c r="AJ226" s="49" t="str"/>
      <x:c r="AK226" s="69" t="n">
        <x:f>IF(W226&lt;&gt;"",50,IF(X226="101-150",45,IF(X226="151-200",40,IF(X226="201-300",35,0))))+IF(H226="Autonomous",20,0)+IF(OR(G226="Government",G226="Government-Aided",G226="University Department",G226="University",G226="University Autonomous"),15,0)+MIN(K226,10)+IF(AA226&lt;&gt;"",3,0)+IF(U226&lt;&gt;"",2,0)</x:f>
        <x:v>4</x:v>
      </x:c>
      <x:c r="AL226" s="49" t="str">
        <x:f>IF(AK226&gt;=70,"Official/high-evidence reference",IF(AK226&gt;=40,"Planning reference","Broader option"))</x:f>
        <x:v>Broader option</x:v>
      </x:c>
    </x:row>
    <x:row r="227">
      <x:c r="A227" s="63" t="n">
        <x:v>6004</x:v>
      </x:c>
      <x:c r="B227" s="49" t="str">
        <x:v>Government College of Engineering &amp; Research, Avasari Khurd</x:v>
      </x:c>
      <x:c r="C227" s="49" t="str">
        <x:v>Maharashtra</x:v>
      </x:c>
      <x:c r="D227" s="49" t="str">
        <x:v>Pune</x:v>
      </x:c>
      <x:c r="E227" s="49" t="str">
        <x:v>Pune</x:v>
      </x:c>
      <x:c r="F227" s="49" t="str">
        <x:v>Avasari, Tal. Ambegaon. Dist. Pune</x:v>
      </x:c>
      <x:c r="G227" s="49" t="str">
        <x:v>Government</x:v>
      </x:c>
      <x:c r="H227" s="49" t="str">
        <x:v>Non-Autonomous</x:v>
      </x:c>
      <x:c r="I227" s="49" t="str">
        <x:v>Non-Minority</x:v>
      </x:c>
      <x:c r="J227" s="49" t="str">
        <x:v>Savitribai Phule Pune University</x:v>
      </x:c>
      <x:c r="K227" s="49" t="n">
        <x:v>6</x:v>
      </x:c>
      <x:c r="L227" s="49" t="n">
        <x:v>94</x:v>
      </x:c>
      <x:c r="M227" s="49" t="n">
        <x:v>76</x:v>
      </x:c>
      <x:c r="N227" s="49" t="n">
        <x:v>18</x:v>
      </x:c>
      <x:c r="O227" s="49"/>
      <x:c r="P227" s="49"/>
      <x:c r="Q227" s="49" t="str">
        <x:v>Parsed from official 2025-26 PDF</x:v>
      </x:c>
      <x:c r="R227" s="49"/>
      <x:c r="S227" s="64"/>
      <x:c r="T227" s="64"/>
      <x:c r="U227" s="64"/>
      <x:c r="V227" s="49" t="str">
        <x:v>No verified FRA match</x:v>
      </x:c>
      <x:c r="W227" s="49"/>
      <x:c r="X227" s="49"/>
      <x:c r="Y227" s="68"/>
      <x:c r="Z227" s="49"/>
      <x:c r="AA227" s="49"/>
      <x:c r="AB227" s="49" t="str">
        <x:v>Not centrally verified</x:v>
      </x:c>
      <x:c r="AC227" s="49" t="str">
        <x:v>Not centrally verified</x:v>
      </x:c>
      <x:c r="AD227" s="49" t="str">
        <x:v>Not centrally verified</x:v>
      </x:c>
      <x:c r="AE227" s="49" t="str">
        <x:v>Not available in a standardized official source</x:v>
      </x:c>
      <x:c r="AF227" s="49" t="str">
        <x:v>Not included: no official standardized source; cutoff-derived proxy excluded</x:v>
      </x:c>
      <x:c r="AG227" s="49" t="str">
        <x:v>https://dse2025.mahacet.org.in/dse25/admin/allotment/cap2/6004_4.pdf</x:v>
      </x:c>
      <x:c r="AH227" s="49" t="str">
        <x:v>https://fe2025.mahacet.org/StaticPages/frmInstituteSummary.aspx?InstituteCode=06004</x:v>
      </x:c>
      <x:c r="AI227" s="49"/>
      <x:c r="AJ227" s="49" t="str"/>
      <x:c r="AK227" s="69" t="n">
        <x:f>IF(W227&lt;&gt;"",50,IF(X227="101-150",45,IF(X227="151-200",40,IF(X227="201-300",35,0))))+IF(H227="Autonomous",20,0)+IF(OR(G227="Government",G227="Government-Aided",G227="University Department",G227="University",G227="University Autonomous"),15,0)+MIN(K227,10)+IF(AA227&lt;&gt;"",3,0)+IF(U227&lt;&gt;"",2,0)</x:f>
        <x:v>21</x:v>
      </x:c>
      <x:c r="AL227" s="49" t="str">
        <x:f>IF(AK227&gt;=70,"Official/high-evidence reference",IF(AK227&gt;=40,"Planning reference","Broader option"))</x:f>
        <x:v>Broader option</x:v>
      </x:c>
    </x:row>
    <x:row r="228">
      <x:c r="A228" s="63" t="n">
        <x:v>6005</x:v>
      </x:c>
      <x:c r="B228" s="49" t="str">
        <x:v>Government College of Engineering, Karad</x:v>
      </x:c>
      <x:c r="C228" s="49" t="str">
        <x:v>Maharashtra</x:v>
      </x:c>
      <x:c r="D228" s="49" t="str">
        <x:v>Pune</x:v>
      </x:c>
      <x:c r="E228" s="49" t="str">
        <x:v>Satara</x:v>
      </x:c>
      <x:c r="F228" s="49" t="str">
        <x:v>Vidyanagar, Karad Dist. Satara</x:v>
      </x:c>
      <x:c r="G228" s="49" t="str">
        <x:v>Government</x:v>
      </x:c>
      <x:c r="H228" s="49" t="str">
        <x:v>Autonomous</x:v>
      </x:c>
      <x:c r="I228" s="49" t="str">
        <x:v>Non-Minority</x:v>
      </x:c>
      <x:c r="J228" s="49" t="str">
        <x:v>Shivaji University</x:v>
      </x:c>
      <x:c r="K228" s="49" t="n">
        <x:v>5</x:v>
      </x:c>
      <x:c r="L228" s="49" t="n">
        <x:v>41</x:v>
      </x:c>
      <x:c r="M228" s="49" t="n">
        <x:v>35</x:v>
      </x:c>
      <x:c r="N228" s="49" t="n">
        <x:v>6</x:v>
      </x:c>
      <x:c r="O228" s="49"/>
      <x:c r="P228" s="49"/>
      <x:c r="Q228" s="49" t="str">
        <x:v>Parsed from official 2025-26 PDF</x:v>
      </x:c>
      <x:c r="R228" s="49"/>
      <x:c r="S228" s="64"/>
      <x:c r="T228" s="64"/>
      <x:c r="U228" s="64"/>
      <x:c r="V228" s="49" t="str">
        <x:v>No verified FRA match</x:v>
      </x:c>
      <x:c r="W228" s="49"/>
      <x:c r="X228" s="49"/>
      <x:c r="Y228" s="68"/>
      <x:c r="Z228" s="49"/>
      <x:c r="AA228" s="49" t="str">
        <x:v>https://gcekarad.ac.in/</x:v>
      </x:c>
      <x:c r="AB228" s="49" t="str">
        <x:v>Verified official domain</x:v>
      </x:c>
      <x:c r="AC228" s="49" t="str">
        <x:v>Not centrally verified</x:v>
      </x:c>
      <x:c r="AD228" s="49" t="str">
        <x:v>Not centrally verified</x:v>
      </x:c>
      <x:c r="AE228" s="49" t="str">
        <x:v>Not available in a standardized official source</x:v>
      </x:c>
      <x:c r="AF228" s="49" t="str">
        <x:v>Not included: no official standardized source; cutoff-derived proxy excluded</x:v>
      </x:c>
      <x:c r="AG228" s="49" t="str">
        <x:v>https://dse2025.mahacet.org.in/dse25/admin/allotment/cap2/6005_4.pdf</x:v>
      </x:c>
      <x:c r="AH228" s="49" t="str">
        <x:v>https://fe2025.mahacet.org/StaticPages/frmInstituteSummary.aspx?InstituteCode=06005</x:v>
      </x:c>
      <x:c r="AI228" s="49"/>
      <x:c r="AJ228" s="49" t="str"/>
      <x:c r="AK228" s="69" t="n">
        <x:f>IF(W228&lt;&gt;"",50,IF(X228="101-150",45,IF(X228="151-200",40,IF(X228="201-300",35,0))))+IF(H228="Autonomous",20,0)+IF(OR(G228="Government",G228="Government-Aided",G228="University Department",G228="University",G228="University Autonomous"),15,0)+MIN(K228,10)+IF(AA228&lt;&gt;"",3,0)+IF(U228&lt;&gt;"",2,0)</x:f>
        <x:v>43</x:v>
      </x:c>
      <x:c r="AL228" s="49" t="str">
        <x:f>IF(AK228&gt;=70,"Official/high-evidence reference",IF(AK228&gt;=40,"Planning reference","Broader option"))</x:f>
        <x:v>Planning reference</x:v>
      </x:c>
    </x:row>
    <x:row r="229">
      <x:c r="A229" s="63" t="n">
        <x:v>6006</x:v>
      </x:c>
      <x:c r="B229" s="49" t="str">
        <x:v>COEP Technological University</x:v>
      </x:c>
      <x:c r="C229" s="49" t="str">
        <x:v>Maharashtra</x:v>
      </x:c>
      <x:c r="D229" s="49"/>
      <x:c r="E229" s="49"/>
      <x:c r="F229" s="49"/>
      <x:c r="G229" s="49" t="str">
        <x:v>University Autonomous</x:v>
      </x:c>
      <x:c r="H229" s="49" t="str">
        <x:v>Autonomous</x:v>
      </x:c>
      <x:c r="I229" s="49" t="str">
        <x:v>Not verified</x:v>
      </x:c>
      <x:c r="J229" s="49"/>
      <x:c r="K229" s="49" t="n">
        <x:v>0</x:v>
      </x:c>
      <x:c r="L229" s="49"/>
      <x:c r="M229" s="49"/>
      <x:c r="N229" s="49"/>
      <x:c r="O229" s="49"/>
      <x:c r="P229" s="49"/>
      <x:c r="Q229" s="49" t="str">
        <x:v>Official PDF unavailable / not parsed</x:v>
      </x:c>
      <x:c r="R229" s="49"/>
      <x:c r="S229" s="64"/>
      <x:c r="T229" s="64"/>
      <x:c r="U229" s="64"/>
      <x:c r="V229" s="49" t="str">
        <x:v>No verified FRA match</x:v>
      </x:c>
      <x:c r="W229" s="49" t="n">
        <x:v>90</x:v>
      </x:c>
      <x:c r="X229" s="49" t="str">
        <x:v>90</x:v>
      </x:c>
      <x:c r="Y229" s="68" t="n">
        <x:v>47.31</x:v>
      </x:c>
      <x:c r="Z229" s="49" t="str">
        <x:v>COEP Technological University</x:v>
      </x:c>
      <x:c r="AA229" s="49" t="str">
        <x:v>https://www.coeptech.ac.in/</x:v>
      </x:c>
      <x:c r="AB229" s="49" t="str">
        <x:v>Verified official domain</x:v>
      </x:c>
      <x:c r="AC229" s="49" t="str">
        <x:v>Not centrally verified</x:v>
      </x:c>
      <x:c r="AD229" s="49" t="str">
        <x:v>Not centrally verified</x:v>
      </x:c>
      <x:c r="AE229" s="49" t="str">
        <x:v>Not available in a standardized official source</x:v>
      </x:c>
      <x:c r="AF229" s="49" t="str">
        <x:v>Not included: no official standardized source; cutoff-derived proxy excluded</x:v>
      </x:c>
      <x:c r="AG229" s="49"/>
      <x:c r="AH229" s="49" t="str">
        <x:v>https://fe2025.mahacet.org/StaticPages/frmInstituteList.aspx?did=1884</x:v>
      </x:c>
      <x:c r="AI229" s="49" t="str">
        <x:v>https://www.nirfindia.org/Rankings/2025/EngineeringRanking.html</x:v>
      </x:c>
      <x:c r="AJ229" s="49" t="str">
        <x:v>PDF unavailable</x:v>
      </x:c>
      <x:c r="AK229" s="69" t="n">
        <x:f>IF(W229&lt;&gt;"",50,IF(X229="101-150",45,IF(X229="151-200",40,IF(X229="201-300",35,0))))+IF(H229="Autonomous",20,0)+IF(OR(G229="Government",G229="Government-Aided",G229="University Department",G229="University",G229="University Autonomous"),15,0)+MIN(K229,10)+IF(AA229&lt;&gt;"",3,0)+IF(U229&lt;&gt;"",2,0)</x:f>
        <x:v>88</x:v>
      </x:c>
      <x:c r="AL229" s="49" t="str">
        <x:f>IF(AK229&gt;=70,"Official/high-evidence reference",IF(AK229&gt;=40,"Planning reference","Broader option"))</x:f>
        <x:v>Official/high-evidence reference</x:v>
      </x:c>
    </x:row>
    <x:row r="230">
      <x:c r="A230" s="63" t="n">
        <x:v>6007</x:v>
      </x:c>
      <x:c r="B230" s="49" t="str">
        <x:v>Walchand College of Engineering, Sangli</x:v>
      </x:c>
      <x:c r="C230" s="49" t="str">
        <x:v>Maharashtra</x:v>
      </x:c>
      <x:c r="D230" s="49" t="str">
        <x:v>Pune</x:v>
      </x:c>
      <x:c r="E230" s="49" t="str">
        <x:v>Sangli</x:v>
      </x:c>
      <x:c r="F230" s="49" t="str">
        <x:v>Walchand College of Engineering, Vishram Bagh, Sangli</x:v>
      </x:c>
      <x:c r="G230" s="49" t="str">
        <x:v>Government-Aided</x:v>
      </x:c>
      <x:c r="H230" s="49" t="str">
        <x:v>Autonomous</x:v>
      </x:c>
      <x:c r="I230" s="49" t="str">
        <x:v>Non-Minority</x:v>
      </x:c>
      <x:c r="J230" s="49" t="str">
        <x:v>Shivaji University</x:v>
      </x:c>
      <x:c r="K230" s="49" t="n">
        <x:v>10</x:v>
      </x:c>
      <x:c r="L230" s="49" t="n">
        <x:v>91</x:v>
      </x:c>
      <x:c r="M230" s="49" t="n">
        <x:v>79</x:v>
      </x:c>
      <x:c r="N230" s="49" t="n">
        <x:v>12</x:v>
      </x:c>
      <x:c r="O230" s="49"/>
      <x:c r="P230" s="49"/>
      <x:c r="Q230" s="49" t="str">
        <x:v>Parsed from official 2025-26 PDF</x:v>
      </x:c>
      <x:c r="R230" s="49"/>
      <x:c r="S230" s="64"/>
      <x:c r="T230" s="64"/>
      <x:c r="U230" s="64"/>
      <x:c r="V230" s="49" t="str">
        <x:v>No verified FRA match</x:v>
      </x:c>
      <x:c r="W230" s="49"/>
      <x:c r="X230" s="49" t="str">
        <x:v>201-300</x:v>
      </x:c>
      <x:c r="Y230" s="68"/>
      <x:c r="Z230" s="49" t="str">
        <x:v>Walchand College of Engineering</x:v>
      </x:c>
      <x:c r="AA230" s="49" t="str">
        <x:v>https://www.walchandsangli.ac.in/</x:v>
      </x:c>
      <x:c r="AB230" s="49" t="str">
        <x:v>Verified official domain</x:v>
      </x:c>
      <x:c r="AC230" s="49" t="str">
        <x:v>Not centrally verified</x:v>
      </x:c>
      <x:c r="AD230" s="49" t="str">
        <x:v>Not centrally verified</x:v>
      </x:c>
      <x:c r="AE230" s="49" t="str">
        <x:v>Not available in a standardized official source</x:v>
      </x:c>
      <x:c r="AF230" s="49" t="str">
        <x:v>Not included: no official standardized source; cutoff-derived proxy excluded</x:v>
      </x:c>
      <x:c r="AG230" s="49" t="str">
        <x:v>https://dse2025.mahacet.org.in/dse25/admin/allotment/cap2/6007_4.pdf</x:v>
      </x:c>
      <x:c r="AH230" s="49" t="str">
        <x:v>https://fe2025.mahacet.org/StaticPages/frmInstituteSummary.aspx?InstituteCode=06007</x:v>
      </x:c>
      <x:c r="AI230" s="49" t="str">
        <x:v>https://www.nirfindia.org/Rankings/2025/EngineeringRanking300.html</x:v>
      </x:c>
      <x:c r="AJ230" s="49" t="str"/>
      <x:c r="AK230" s="69" t="n">
        <x:f>IF(W230&lt;&gt;"",50,IF(X230="101-150",45,IF(X230="151-200",40,IF(X230="201-300",35,0))))+IF(H230="Autonomous",20,0)+IF(OR(G230="Government",G230="Government-Aided",G230="University Department",G230="University",G230="University Autonomous"),15,0)+MIN(K230,10)+IF(AA230&lt;&gt;"",3,0)+IF(U230&lt;&gt;"",2,0)</x:f>
        <x:v>83</x:v>
      </x:c>
      <x:c r="AL230" s="49" t="str">
        <x:f>IF(AK230&gt;=70,"Official/high-evidence reference",IF(AK230&gt;=40,"Planning reference","Broader option"))</x:f>
        <x:v>Official/high-evidence reference</x:v>
      </x:c>
    </x:row>
    <x:row r="231">
      <x:c r="A231" s="63" t="n">
        <x:v>6028</x:v>
      </x:c>
      <x:c r="B231" s="49" t="str">
        <x:v>Department of Technology, Shivaji University, Kolhapur</x:v>
      </x:c>
      <x:c r="C231" s="49" t="str">
        <x:v>Maharashtra</x:v>
      </x:c>
      <x:c r="D231" s="49" t="str">
        <x:v>Pune</x:v>
      </x:c>
      <x:c r="E231" s="49" t="str">
        <x:v>Kolhapur</x:v>
      </x:c>
      <x:c r="F231" s="49" t="str">
        <x:v>Vidyanagar, Kolhapur</x:v>
      </x:c>
      <x:c r="G231" s="49" t="str">
        <x:v>University Department</x:v>
      </x:c>
      <x:c r="H231" s="49" t="str">
        <x:v>Non-Autonomous</x:v>
      </x:c>
      <x:c r="I231" s="49" t="str">
        <x:v>Non-Minority</x:v>
      </x:c>
      <x:c r="J231" s="49" t="str">
        <x:v>Shivaji University</x:v>
      </x:c>
      <x:c r="K231" s="49" t="n">
        <x:v>6</x:v>
      </x:c>
      <x:c r="L231" s="49" t="n">
        <x:v>98</x:v>
      </x:c>
      <x:c r="M231" s="49" t="n">
        <x:v>76</x:v>
      </x:c>
      <x:c r="N231" s="49" t="n">
        <x:v>22</x:v>
      </x:c>
      <x:c r="O231" s="49"/>
      <x:c r="P231" s="49"/>
      <x:c r="Q231" s="49" t="str">
        <x:v>Parsed from official 2025-26 PDF</x:v>
      </x:c>
      <x:c r="R231" s="49"/>
      <x:c r="S231" s="64"/>
      <x:c r="T231" s="64"/>
      <x:c r="U231" s="64"/>
      <x:c r="V231" s="49" t="str">
        <x:v>No verified FRA match</x:v>
      </x:c>
      <x:c r="W231" s="49"/>
      <x:c r="X231" s="49"/>
      <x:c r="Y231" s="68"/>
      <x:c r="Z231" s="49"/>
      <x:c r="AA231" s="49"/>
      <x:c r="AB231" s="49" t="str">
        <x:v>Not centrally verified</x:v>
      </x:c>
      <x:c r="AC231" s="49" t="str">
        <x:v>Not centrally verified</x:v>
      </x:c>
      <x:c r="AD231" s="49" t="str">
        <x:v>Not centrally verified</x:v>
      </x:c>
      <x:c r="AE231" s="49" t="str">
        <x:v>Not available in a standardized official source</x:v>
      </x:c>
      <x:c r="AF231" s="49" t="str">
        <x:v>Not included: no official standardized source; cutoff-derived proxy excluded</x:v>
      </x:c>
      <x:c r="AG231" s="49" t="str">
        <x:v>https://dse2025.mahacet.org.in/dse25/admin/allotment/cap2/6028_4.pdf</x:v>
      </x:c>
      <x:c r="AH231" s="49" t="str">
        <x:v>https://fe2025.mahacet.org/StaticPages/frmInstituteSummary.aspx?InstituteCode=06028</x:v>
      </x:c>
      <x:c r="AI231" s="49"/>
      <x:c r="AJ231" s="49" t="str"/>
      <x:c r="AK231" s="69" t="n">
        <x:f>IF(W231&lt;&gt;"",50,IF(X231="101-150",45,IF(X231="151-200",40,IF(X231="201-300",35,0))))+IF(H231="Autonomous",20,0)+IF(OR(G231="Government",G231="Government-Aided",G231="University Department",G231="University",G231="University Autonomous"),15,0)+MIN(K231,10)+IF(AA231&lt;&gt;"",3,0)+IF(U231&lt;&gt;"",2,0)</x:f>
        <x:v>21</x:v>
      </x:c>
      <x:c r="AL231" s="49" t="str">
        <x:f>IF(AK231&gt;=70,"Official/high-evidence reference",IF(AK231&gt;=40,"Planning reference","Broader option"))</x:f>
        <x:v>Broader option</x:v>
      </x:c>
    </x:row>
    <x:row r="232">
      <x:c r="A232" s="63" t="n">
        <x:v>6036</x:v>
      </x:c>
      <x:c r="B232" s="49" t="str">
        <x:v>Government College of Engineering, Kolhapur</x:v>
      </x:c>
      <x:c r="C232" s="49" t="str">
        <x:v>Maharashtra</x:v>
      </x:c>
      <x:c r="D232" s="49" t="str">
        <x:v>Pune</x:v>
      </x:c>
      <x:c r="E232" s="49" t="str">
        <x:v>Kolhapur</x:v>
      </x:c>
      <x:c r="F232" s="49" t="str">
        <x:v>Old Pune Bangalore Road Vidyanagar, Kolhapur</x:v>
      </x:c>
      <x:c r="G232" s="49" t="str">
        <x:v>Government</x:v>
      </x:c>
      <x:c r="H232" s="49" t="str">
        <x:v>Non-Autonomous</x:v>
      </x:c>
      <x:c r="I232" s="49" t="str">
        <x:v>Non-Minority</x:v>
      </x:c>
      <x:c r="J232" s="49" t="str">
        <x:v>Dr. Babasaheb Ambedkar Technological University,Lonere</x:v>
      </x:c>
      <x:c r="K232" s="49" t="n">
        <x:v>5</x:v>
      </x:c>
      <x:c r="L232" s="49" t="n">
        <x:v>72</x:v>
      </x:c>
      <x:c r="M232" s="49" t="n">
        <x:v>54</x:v>
      </x:c>
      <x:c r="N232" s="49" t="n">
        <x:v>18</x:v>
      </x:c>
      <x:c r="O232" s="49"/>
      <x:c r="P232" s="49"/>
      <x:c r="Q232" s="49" t="str">
        <x:v>Parsed from official 2025-26 PDF</x:v>
      </x:c>
      <x:c r="R232" s="49"/>
      <x:c r="S232" s="64"/>
      <x:c r="T232" s="64"/>
      <x:c r="U232" s="64"/>
      <x:c r="V232" s="49" t="str">
        <x:v>No verified FRA match</x:v>
      </x:c>
      <x:c r="W232" s="49"/>
      <x:c r="X232" s="49"/>
      <x:c r="Y232" s="68"/>
      <x:c r="Z232" s="49"/>
      <x:c r="AA232" s="49"/>
      <x:c r="AB232" s="49" t="str">
        <x:v>Not centrally verified</x:v>
      </x:c>
      <x:c r="AC232" s="49" t="str">
        <x:v>Not centrally verified</x:v>
      </x:c>
      <x:c r="AD232" s="49" t="str">
        <x:v>Not centrally verified</x:v>
      </x:c>
      <x:c r="AE232" s="49" t="str">
        <x:v>Not available in a standardized official source</x:v>
      </x:c>
      <x:c r="AF232" s="49" t="str">
        <x:v>Not included: no official standardized source; cutoff-derived proxy excluded</x:v>
      </x:c>
      <x:c r="AG232" s="49" t="str">
        <x:v>https://dse2025.mahacet.org.in/dse25/admin/allotment/cap2/6036_4.pdf</x:v>
      </x:c>
      <x:c r="AH232" s="49" t="str">
        <x:v>https://fe2025.mahacet.org/StaticPages/frmInstituteSummary.aspx?InstituteCode=06036</x:v>
      </x:c>
      <x:c r="AI232" s="49"/>
      <x:c r="AJ232" s="49" t="str"/>
      <x:c r="AK232" s="69" t="n">
        <x:f>IF(W232&lt;&gt;"",50,IF(X232="101-150",45,IF(X232="151-200",40,IF(X232="201-300",35,0))))+IF(H232="Autonomous",20,0)+IF(OR(G232="Government",G232="Government-Aided",G232="University Department",G232="University",G232="University Autonomous"),15,0)+MIN(K232,10)+IF(AA232&lt;&gt;"",3,0)+IF(U232&lt;&gt;"",2,0)</x:f>
        <x:v>20</x:v>
      </x:c>
      <x:c r="AL232" s="49" t="str">
        <x:f>IF(AK232&gt;=70,"Official/high-evidence reference",IF(AK232&gt;=40,"Planning reference","Broader option"))</x:f>
        <x:v>Broader option</x:v>
      </x:c>
    </x:row>
    <x:row r="233">
      <x:c r="A233" s="63" t="n">
        <x:v>6122</x:v>
      </x:c>
      <x:c r="B233" s="49" t="str">
        <x:v>TSSMS's Pd. Vasantdada Patil Institute of Technology, Bavdhan, Pune</x:v>
      </x:c>
      <x:c r="C233" s="49" t="str">
        <x:v>Maharashtra</x:v>
      </x:c>
      <x:c r="D233" s="49" t="str">
        <x:v>Pune</x:v>
      </x:c>
      <x:c r="E233" s="49" t="str">
        <x:v>Pune</x:v>
      </x:c>
      <x:c r="F233" s="49" t="str">
        <x:v>S. V. No. 33/22, Bavdhan(Khurd), Tal-Mulashi Near Chadani Chwok,Tal-Mulashi Dist. Pune</x:v>
      </x:c>
      <x:c r="G233" s="49" t="str">
        <x:v>Un-Aided</x:v>
      </x:c>
      <x:c r="H233" s="49" t="str">
        <x:v>Non-Autonomous</x:v>
      </x:c>
      <x:c r="I233" s="49" t="str">
        <x:v>Non-Minority</x:v>
      </x:c>
      <x:c r="J233" s="49" t="str">
        <x:v>Savitribai Phule Pune University</x:v>
      </x:c>
      <x:c r="K233" s="49" t="n">
        <x:v>5</x:v>
      </x:c>
      <x:c r="L233" s="49" t="n">
        <x:v>170</x:v>
      </x:c>
      <x:c r="M233" s="49" t="n">
        <x:v>138</x:v>
      </x:c>
      <x:c r="N233" s="49" t="n">
        <x:v>32</x:v>
      </x:c>
      <x:c r="O233" s="49"/>
      <x:c r="P233" s="49"/>
      <x:c r="Q233" s="49" t="str">
        <x:v>Parsed from official 2025-26 PDF</x:v>
      </x:c>
      <x:c r="R233" s="49" t="str">
        <x:v>2024-25</x:v>
      </x:c>
      <x:c r="S233" s="64" t="n">
        <x:v>101143</x:v>
      </x:c>
      <x:c r="T233" s="64" t="n">
        <x:v>13857</x:v>
      </x:c>
      <x:c r="U233" s="64" t="n">
        <x:v>115000</x:v>
      </x:c>
      <x:c r="V233" s="49" t="str">
        <x:v>Normal FRA-approved annual tuition + development fee; not seat-type-specific</x:v>
      </x:c>
      <x:c r="W233" s="49"/>
      <x:c r="X233" s="49"/>
      <x:c r="Y233" s="68"/>
      <x:c r="Z233" s="49"/>
      <x:c r="AA233" s="49"/>
      <x:c r="AB233" s="49" t="str">
        <x:v>Not centrally verified</x:v>
      </x:c>
      <x:c r="AC233" s="49" t="str">
        <x:v>Not centrally verified</x:v>
      </x:c>
      <x:c r="AD233" s="49" t="str">
        <x:v>Not centrally verified</x:v>
      </x:c>
      <x:c r="AE233" s="49" t="str">
        <x:v>Not available in a standardized official source</x:v>
      </x:c>
      <x:c r="AF233" s="49" t="str">
        <x:v>Not included: no official standardized source; cutoff-derived proxy excluded</x:v>
      </x:c>
      <x:c r="AG233" s="49" t="str">
        <x:v>https://dse2025.mahacet.org.in/dse25/admin/allotment/cap2/6122_4.pdf</x:v>
      </x:c>
      <x:c r="AH233" s="49" t="str">
        <x:v>https://fe2025.mahacet.org/StaticPages/frmInstituteSummary.aspx?InstituteCode=06122</x:v>
      </x:c>
      <x:c r="AI233" s="49"/>
      <x:c r="AJ233" s="49" t="str"/>
      <x:c r="AK233" s="69" t="n">
        <x:f>IF(W233&lt;&gt;"",50,IF(X233="101-150",45,IF(X233="151-200",40,IF(X233="201-300",35,0))))+IF(H233="Autonomous",20,0)+IF(OR(G233="Government",G233="Government-Aided",G233="University Department",G233="University",G233="University Autonomous"),15,0)+MIN(K233,10)+IF(AA233&lt;&gt;"",3,0)+IF(U233&lt;&gt;"",2,0)</x:f>
        <x:v>7</x:v>
      </x:c>
      <x:c r="AL233" s="49" t="str">
        <x:f>IF(AK233&gt;=70,"Official/high-evidence reference",IF(AK233&gt;=40,"Planning reference","Broader option"))</x:f>
        <x:v>Broader option</x:v>
      </x:c>
    </x:row>
    <x:row r="234">
      <x:c r="A234" s="63" t="n">
        <x:v>6138</x:v>
      </x:c>
      <x:c r="B234" s="49" t="str">
        <x:v>Genba Sopanrao Moze Trust Parvatibai Genba Moze College of Engineering,Wagholi, Pune</x:v>
      </x:c>
      <x:c r="C234" s="49" t="str">
        <x:v>Maharashtra</x:v>
      </x:c>
      <x:c r="D234" s="49" t="str">
        <x:v>Pune</x:v>
      </x:c>
      <x:c r="E234" s="49" t="str">
        <x:v>Pune</x:v>
      </x:c>
      <x:c r="F234" s="49" t="str">
        <x:v>Gat No. 2181, Wagholi, Tal Haveli Dist. Pune</x:v>
      </x:c>
      <x:c r="G234" s="49" t="str">
        <x:v>Un-Aided</x:v>
      </x:c>
      <x:c r="H234" s="49" t="str">
        <x:v>Non-Autonomous</x:v>
      </x:c>
      <x:c r="I234" s="49" t="str">
        <x:v>Non-Minority</x:v>
      </x:c>
      <x:c r="J234" s="49" t="str">
        <x:v>Savitribai Phule Pune University</x:v>
      </x:c>
      <x:c r="K234" s="49" t="n">
        <x:v>6</x:v>
      </x:c>
      <x:c r="L234" s="49" t="n">
        <x:v>147</x:v>
      </x:c>
      <x:c r="M234" s="49" t="n">
        <x:v>124</x:v>
      </x:c>
      <x:c r="N234" s="49" t="n">
        <x:v>23</x:v>
      </x:c>
      <x:c r="O234" s="49"/>
      <x:c r="P234" s="49"/>
      <x:c r="Q234" s="49" t="str">
        <x:v>Parsed from official 2025-26 PDF</x:v>
      </x:c>
      <x:c r="R234" s="49" t="str">
        <x:v>2024-25</x:v>
      </x:c>
      <x:c r="S234" s="64" t="n">
        <x:v>33423</x:v>
      </x:c>
      <x:c r="T234" s="64" t="n">
        <x:v>4077</x:v>
      </x:c>
      <x:c r="U234" s="64" t="n">
        <x:v>37500</x:v>
      </x:c>
      <x:c r="V234" s="49" t="str">
        <x:v>Normal FRA-approved annual tuition + development fee; not seat-type-specific</x:v>
      </x:c>
      <x:c r="W234" s="49"/>
      <x:c r="X234" s="49"/>
      <x:c r="Y234" s="68"/>
      <x:c r="Z234" s="49"/>
      <x:c r="AA234" s="49"/>
      <x:c r="AB234" s="49" t="str">
        <x:v>Not centrally verified</x:v>
      </x:c>
      <x:c r="AC234" s="49" t="str">
        <x:v>Not centrally verified</x:v>
      </x:c>
      <x:c r="AD234" s="49" t="str">
        <x:v>Not centrally verified</x:v>
      </x:c>
      <x:c r="AE234" s="49" t="str">
        <x:v>Not available in a standardized official source</x:v>
      </x:c>
      <x:c r="AF234" s="49" t="str">
        <x:v>Not included: no official standardized source; cutoff-derived proxy excluded</x:v>
      </x:c>
      <x:c r="AG234" s="49" t="str">
        <x:v>https://dse2025.mahacet.org.in/dse25/admin/allotment/cap2/6138_4.pdf</x:v>
      </x:c>
      <x:c r="AH234" s="49" t="str">
        <x:v>https://fe2025.mahacet.org/StaticPages/frmInstituteSummary.aspx?InstituteCode=06138</x:v>
      </x:c>
      <x:c r="AI234" s="49"/>
      <x:c r="AJ234" s="49" t="str"/>
      <x:c r="AK234" s="69" t="n">
        <x:f>IF(W234&lt;&gt;"",50,IF(X234="101-150",45,IF(X234="151-200",40,IF(X234="201-300",35,0))))+IF(H234="Autonomous",20,0)+IF(OR(G234="Government",G234="Government-Aided",G234="University Department",G234="University",G234="University Autonomous"),15,0)+MIN(K234,10)+IF(AA234&lt;&gt;"",3,0)+IF(U234&lt;&gt;"",2,0)</x:f>
        <x:v>8</x:v>
      </x:c>
      <x:c r="AL234" s="49" t="str">
        <x:f>IF(AK234&gt;=70,"Official/high-evidence reference",IF(AK234&gt;=40,"Planning reference","Broader option"))</x:f>
        <x:v>Broader option</x:v>
      </x:c>
    </x:row>
    <x:row r="235">
      <x:c r="A235" s="63" t="n">
        <x:v>6139</x:v>
      </x:c>
      <x:c r="B235" s="49" t="str">
        <x:v>Progressive Education Society's Modern College of Engineering, Pune</x:v>
      </x:c>
      <x:c r="C235" s="49" t="str">
        <x:v>Maharashtra</x:v>
      </x:c>
      <x:c r="D235" s="49" t="str">
        <x:v>Pune</x:v>
      </x:c>
      <x:c r="E235" s="49" t="str">
        <x:v>Pune</x:v>
      </x:c>
      <x:c r="F235" s="49" t="str">
        <x:v>P.E.S. Modern College of Engineering, 1186 A, Shivajinagar, Off. J.M. Road, Pune</x:v>
      </x:c>
      <x:c r="G235" s="49" t="str">
        <x:v>Un-Aided</x:v>
      </x:c>
      <x:c r="H235" s="49" t="str">
        <x:v>Autonomous</x:v>
      </x:c>
      <x:c r="I235" s="49" t="str">
        <x:v>Non-Minority</x:v>
      </x:c>
      <x:c r="J235" s="49" t="str">
        <x:v>Savitribai Phule Pune University</x:v>
      </x:c>
      <x:c r="K235" s="49" t="n">
        <x:v>8</x:v>
      </x:c>
      <x:c r="L235" s="49" t="n">
        <x:v>142</x:v>
      </x:c>
      <x:c r="M235" s="49" t="n">
        <x:v>121</x:v>
      </x:c>
      <x:c r="N235" s="49" t="n">
        <x:v>21</x:v>
      </x:c>
      <x:c r="O235" s="49"/>
      <x:c r="P235" s="49"/>
      <x:c r="Q235" s="49" t="str">
        <x:v>Parsed from official 2025-26 PDF</x:v>
      </x:c>
      <x:c r="R235" s="49" t="str">
        <x:v>2024-25</x:v>
      </x:c>
      <x:c r="S235" s="64" t="n">
        <x:v>78261</x:v>
      </x:c>
      <x:c r="T235" s="64" t="n">
        <x:v>11739</x:v>
      </x:c>
      <x:c r="U235" s="64" t="n">
        <x:v>90000</x:v>
      </x:c>
      <x:c r="V235" s="49" t="str">
        <x:v>Normal FRA-approved annual tuition + development fee; not seat-type-specific</x:v>
      </x:c>
      <x:c r="W235" s="49"/>
      <x:c r="X235" s="49"/>
      <x:c r="Y235" s="68"/>
      <x:c r="Z235" s="49"/>
      <x:c r="AA235" s="49"/>
      <x:c r="AB235" s="49" t="str">
        <x:v>Not centrally verified</x:v>
      </x:c>
      <x:c r="AC235" s="49" t="str">
        <x:v>Not centrally verified</x:v>
      </x:c>
      <x:c r="AD235" s="49" t="str">
        <x:v>Not centrally verified</x:v>
      </x:c>
      <x:c r="AE235" s="49" t="str">
        <x:v>Not available in a standardized official source</x:v>
      </x:c>
      <x:c r="AF235" s="49" t="str">
        <x:v>Not included: no official standardized source; cutoff-derived proxy excluded</x:v>
      </x:c>
      <x:c r="AG235" s="49" t="str">
        <x:v>https://dse2025.mahacet.org.in/dse25/admin/allotment/cap2/6139_4.pdf</x:v>
      </x:c>
      <x:c r="AH235" s="49" t="str">
        <x:v>https://fe2025.mahacet.org/StaticPages/frmInstituteSummary.aspx?InstituteCode=06139</x:v>
      </x:c>
      <x:c r="AI235" s="49"/>
      <x:c r="AJ235" s="49" t="str"/>
      <x:c r="AK235" s="69" t="n">
        <x:f>IF(W235&lt;&gt;"",50,IF(X235="101-150",45,IF(X235="151-200",40,IF(X235="201-300",35,0))))+IF(H235="Autonomous",20,0)+IF(OR(G235="Government",G235="Government-Aided",G235="University Department",G235="University",G235="University Autonomous"),15,0)+MIN(K235,10)+IF(AA235&lt;&gt;"",3,0)+IF(U235&lt;&gt;"",2,0)</x:f>
        <x:v>30</x:v>
      </x:c>
      <x:c r="AL235" s="49" t="str">
        <x:f>IF(AK235&gt;=70,"Official/high-evidence reference",IF(AK235&gt;=40,"Planning reference","Broader option"))</x:f>
        <x:v>Broader option</x:v>
      </x:c>
    </x:row>
    <x:row r="236">
      <x:c r="A236" s="63" t="n">
        <x:v>6141</x:v>
      </x:c>
      <x:c r="B236" s="49" t="str">
        <x:v>Jaywant Shikshan Prasarak Mandal's,Rajarshi Shahu College of Engineering, Tathawade, Pune</x:v>
      </x:c>
      <x:c r="C236" s="49" t="str">
        <x:v>Maharashtra</x:v>
      </x:c>
      <x:c r="D236" s="49" t="str">
        <x:v>Pune</x:v>
      </x:c>
      <x:c r="E236" s="49" t="str">
        <x:v>Pune</x:v>
      </x:c>
      <x:c r="F236" s="49" t="str">
        <x:v>S. No. 80/3, Mumbai Pune Bypass Highway, Tathawade,Tal-Munshi, Dist. Pune</x:v>
      </x:c>
      <x:c r="G236" s="49" t="str">
        <x:v>Un-Aided</x:v>
      </x:c>
      <x:c r="H236" s="49" t="str">
        <x:v>Autonomous</x:v>
      </x:c>
      <x:c r="I236" s="49" t="str">
        <x:v>Non-Minority</x:v>
      </x:c>
      <x:c r="J236" s="49" t="str">
        <x:v>Savitribai Phule Pune University</x:v>
      </x:c>
      <x:c r="K236" s="49" t="n">
        <x:v>8</x:v>
      </x:c>
      <x:c r="L236" s="49" t="n">
        <x:v>136</x:v>
      </x:c>
      <x:c r="M236" s="49" t="n">
        <x:v>113</x:v>
      </x:c>
      <x:c r="N236" s="49" t="n">
        <x:v>23</x:v>
      </x:c>
      <x:c r="O236" s="49"/>
      <x:c r="P236" s="49"/>
      <x:c r="Q236" s="49" t="str">
        <x:v>Parsed from official 2025-26 PDF</x:v>
      </x:c>
      <x:c r="R236" s="49" t="str">
        <x:v>2024-25</x:v>
      </x:c>
      <x:c r="S236" s="64" t="n">
        <x:v>105217</x:v>
      </x:c>
      <x:c r="T236" s="64" t="n">
        <x:v>15783</x:v>
      </x:c>
      <x:c r="U236" s="64" t="n">
        <x:v>121000</x:v>
      </x:c>
      <x:c r="V236" s="49" t="str">
        <x:v>Normal FRA-approved annual tuition + development fee; not seat-type-specific</x:v>
      </x:c>
      <x:c r="W236" s="49"/>
      <x:c r="X236" s="49" t="str">
        <x:v>151-200</x:v>
      </x:c>
      <x:c r="Y236" s="68"/>
      <x:c r="Z236" s="49" t="str">
        <x:v>JSPM's Rajarshi Shahu College of Engineering</x:v>
      </x:c>
      <x:c r="AA236" s="49" t="str">
        <x:v>https://www.jspmrscoe.edu.in/</x:v>
      </x:c>
      <x:c r="AB236" s="49" t="str">
        <x:v>Verified official domain</x:v>
      </x:c>
      <x:c r="AC236" s="49" t="str">
        <x:v>Not centrally verified</x:v>
      </x:c>
      <x:c r="AD236" s="49" t="str">
        <x:v>Not centrally verified</x:v>
      </x:c>
      <x:c r="AE236" s="49" t="str">
        <x:v>Not available in a standardized official source</x:v>
      </x:c>
      <x:c r="AF236" s="49" t="str">
        <x:v>Not included: no official standardized source; cutoff-derived proxy excluded</x:v>
      </x:c>
      <x:c r="AG236" s="49" t="str">
        <x:v>https://dse2025.mahacet.org.in/dse25/admin/allotment/cap2/6141_4.pdf</x:v>
      </x:c>
      <x:c r="AH236" s="49" t="str">
        <x:v>https://fe2025.mahacet.org/StaticPages/frmInstituteSummary.aspx?InstituteCode=06141</x:v>
      </x:c>
      <x:c r="AI236" s="49" t="str">
        <x:v>https://www.nirfindia.org/Rankings/2025/EngineeringRanking200.html</x:v>
      </x:c>
      <x:c r="AJ236" s="49" t="str"/>
      <x:c r="AK236" s="69" t="n">
        <x:f>IF(W236&lt;&gt;"",50,IF(X236="101-150",45,IF(X236="151-200",40,IF(X236="201-300",35,0))))+IF(H236="Autonomous",20,0)+IF(OR(G236="Government",G236="Government-Aided",G236="University Department",G236="University",G236="University Autonomous"),15,0)+MIN(K236,10)+IF(AA236&lt;&gt;"",3,0)+IF(U236&lt;&gt;"",2,0)</x:f>
        <x:v>73</x:v>
      </x:c>
      <x:c r="AL236" s="49" t="str">
        <x:f>IF(AK236&gt;=70,"Official/high-evidence reference",IF(AK236&gt;=40,"Planning reference","Broader option"))</x:f>
        <x:v>Official/high-evidence reference</x:v>
      </x:c>
    </x:row>
    <x:row r="237">
      <x:c r="A237" s="63" t="n">
        <x:v>6144</x:v>
      </x:c>
      <x:c r="B237" s="49" t="str">
        <x:v>Genba Sopanrao Moze College of Engineering, Baner-Balewadi, Pune</x:v>
      </x:c>
      <x:c r="C237" s="49" t="str">
        <x:v>Maharashtra</x:v>
      </x:c>
      <x:c r="D237" s="49" t="str">
        <x:v>Pune</x:v>
      </x:c>
      <x:c r="E237" s="49" t="str">
        <x:v>Pune</x:v>
      </x:c>
      <x:c r="F237" s="49" t="str">
        <x:v>Survey No. 25/1/3, Infront of Chatrapati Shivaji Sports Stadium, Balewadi, Tal. Haveli, Dist. Pune</x:v>
      </x:c>
      <x:c r="G237" s="49" t="str">
        <x:v>Un-Aided</x:v>
      </x:c>
      <x:c r="H237" s="49" t="str">
        <x:v>Non-Autonomous</x:v>
      </x:c>
      <x:c r="I237" s="49" t="str">
        <x:v>Non-Minority</x:v>
      </x:c>
      <x:c r="J237" s="49" t="str">
        <x:v>Savitribai Phule Pune University</x:v>
      </x:c>
      <x:c r="K237" s="49" t="n">
        <x:v>7</x:v>
      </x:c>
      <x:c r="L237" s="49" t="n">
        <x:v>112</x:v>
      </x:c>
      <x:c r="M237" s="49" t="n">
        <x:v>93</x:v>
      </x:c>
      <x:c r="N237" s="49" t="n">
        <x:v>19</x:v>
      </x:c>
      <x:c r="O237" s="49"/>
      <x:c r="P237" s="49"/>
      <x:c r="Q237" s="49" t="str">
        <x:v>Parsed from official 2025-26 PDF</x:v>
      </x:c>
      <x:c r="R237" s="49" t="str">
        <x:v>2024-25</x:v>
      </x:c>
      <x:c r="S237" s="64" t="n">
        <x:v>37545</x:v>
      </x:c>
      <x:c r="T237" s="64" t="n">
        <x:v>4955</x:v>
      </x:c>
      <x:c r="U237" s="64" t="n">
        <x:v>42500</x:v>
      </x:c>
      <x:c r="V237" s="49" t="str">
        <x:v>Normal FRA-approved annual tuition + development fee; not seat-type-specific</x:v>
      </x:c>
      <x:c r="W237" s="49"/>
      <x:c r="X237" s="49"/>
      <x:c r="Y237" s="68"/>
      <x:c r="Z237" s="49"/>
      <x:c r="AA237" s="49"/>
      <x:c r="AB237" s="49" t="str">
        <x:v>Not centrally verified</x:v>
      </x:c>
      <x:c r="AC237" s="49" t="str">
        <x:v>Not centrally verified</x:v>
      </x:c>
      <x:c r="AD237" s="49" t="str">
        <x:v>Not centrally verified</x:v>
      </x:c>
      <x:c r="AE237" s="49" t="str">
        <x:v>Not available in a standardized official source</x:v>
      </x:c>
      <x:c r="AF237" s="49" t="str">
        <x:v>Not included: no official standardized source; cutoff-derived proxy excluded</x:v>
      </x:c>
      <x:c r="AG237" s="49" t="str">
        <x:v>https://dse2025.mahacet.org.in/dse25/admin/allotment/cap2/6144_4.pdf</x:v>
      </x:c>
      <x:c r="AH237" s="49" t="str">
        <x:v>https://fe2025.mahacet.org/StaticPages/frmInstituteSummary.aspx?InstituteCode=06144</x:v>
      </x:c>
      <x:c r="AI237" s="49"/>
      <x:c r="AJ237" s="49" t="str"/>
      <x:c r="AK237" s="69" t="n">
        <x:f>IF(W237&lt;&gt;"",50,IF(X237="101-150",45,IF(X237="151-200",40,IF(X237="201-300",35,0))))+IF(H237="Autonomous",20,0)+IF(OR(G237="Government",G237="Government-Aided",G237="University Department",G237="University",G237="University Autonomous"),15,0)+MIN(K237,10)+IF(AA237&lt;&gt;"",3,0)+IF(U237&lt;&gt;"",2,0)</x:f>
        <x:v>9</x:v>
      </x:c>
      <x:c r="AL237" s="49" t="str">
        <x:f>IF(AK237&gt;=70,"Official/high-evidence reference",IF(AK237&gt;=40,"Planning reference","Broader option"))</x:f>
        <x:v>Broader option</x:v>
      </x:c>
    </x:row>
    <x:row r="238">
      <x:c r="A238" s="63" t="n">
        <x:v>6145</x:v>
      </x:c>
      <x:c r="B238" s="49" t="str">
        <x:v>JSPM'S Jaywantrao Sawant College of Engineering,Pune</x:v>
      </x:c>
      <x:c r="C238" s="49" t="str">
        <x:v>Maharashtra</x:v>
      </x:c>
      <x:c r="D238" s="49" t="str">
        <x:v>Pune</x:v>
      </x:c>
      <x:c r="E238" s="49" t="str">
        <x:v>Pune</x:v>
      </x:c>
      <x:c r="F238" s="49" t="str">
        <x:v>S. No. 58, Indrayani Nagar, Handewadi Road, Hadapsar, Pune</x:v>
      </x:c>
      <x:c r="G238" s="49" t="str">
        <x:v>Un-Aided</x:v>
      </x:c>
      <x:c r="H238" s="49" t="str">
        <x:v>Non-Autonomous</x:v>
      </x:c>
      <x:c r="I238" s="49" t="str">
        <x:v>Non-Minority</x:v>
      </x:c>
      <x:c r="J238" s="49" t="str">
        <x:v>Savitribai Phule Pune University</x:v>
      </x:c>
      <x:c r="K238" s="49" t="n">
        <x:v>6</x:v>
      </x:c>
      <x:c r="L238" s="49" t="n">
        <x:v>165</x:v>
      </x:c>
      <x:c r="M238" s="49" t="n">
        <x:v>134</x:v>
      </x:c>
      <x:c r="N238" s="49" t="n">
        <x:v>31</x:v>
      </x:c>
      <x:c r="O238" s="49"/>
      <x:c r="P238" s="49"/>
      <x:c r="Q238" s="49" t="str">
        <x:v>Parsed from official 2025-26 PDF</x:v>
      </x:c>
      <x:c r="R238" s="49" t="str">
        <x:v>2024-25</x:v>
      </x:c>
      <x:c r="S238" s="64" t="n">
        <x:v>109565</x:v>
      </x:c>
      <x:c r="T238" s="64" t="n">
        <x:v>16435</x:v>
      </x:c>
      <x:c r="U238" s="64" t="n">
        <x:v>126000</x:v>
      </x:c>
      <x:c r="V238" s="49" t="str">
        <x:v>Normal FRA-approved annual tuition + development fee; not seat-type-specific</x:v>
      </x:c>
      <x:c r="W238" s="49"/>
      <x:c r="X238" s="49"/>
      <x:c r="Y238" s="68"/>
      <x:c r="Z238" s="49"/>
      <x:c r="AA238" s="49"/>
      <x:c r="AB238" s="49" t="str">
        <x:v>Not centrally verified</x:v>
      </x:c>
      <x:c r="AC238" s="49" t="str">
        <x:v>Not centrally verified</x:v>
      </x:c>
      <x:c r="AD238" s="49" t="str">
        <x:v>Not centrally verified</x:v>
      </x:c>
      <x:c r="AE238" s="49" t="str">
        <x:v>Not available in a standardized official source</x:v>
      </x:c>
      <x:c r="AF238" s="49" t="str">
        <x:v>Not included: no official standardized source; cutoff-derived proxy excluded</x:v>
      </x:c>
      <x:c r="AG238" s="49" t="str">
        <x:v>https://dse2025.mahacet.org.in/dse25/admin/allotment/cap2/6145_4.pdf</x:v>
      </x:c>
      <x:c r="AH238" s="49" t="str">
        <x:v>https://fe2025.mahacet.org/StaticPages/frmInstituteSummary.aspx?InstituteCode=06145</x:v>
      </x:c>
      <x:c r="AI238" s="49"/>
      <x:c r="AJ238" s="49" t="str"/>
      <x:c r="AK238" s="69" t="n">
        <x:f>IF(W238&lt;&gt;"",50,IF(X238="101-150",45,IF(X238="151-200",40,IF(X238="201-300",35,0))))+IF(H238="Autonomous",20,0)+IF(OR(G238="Government",G238="Government-Aided",G238="University Department",G238="University",G238="University Autonomous"),15,0)+MIN(K238,10)+IF(AA238&lt;&gt;"",3,0)+IF(U238&lt;&gt;"",2,0)</x:f>
        <x:v>8</x:v>
      </x:c>
      <x:c r="AL238" s="49" t="str">
        <x:f>IF(AK238&gt;=70,"Official/high-evidence reference",IF(AK238&gt;=40,"Planning reference","Broader option"))</x:f>
        <x:v>Broader option</x:v>
      </x:c>
    </x:row>
    <x:row r="239">
      <x:c r="A239" s="63" t="n">
        <x:v>6146</x:v>
      </x:c>
      <x:c r="B239" s="49" t="str">
        <x:v>MIT Academy of Engineering,Alandi, Pune</x:v>
      </x:c>
      <x:c r="C239" s="49" t="str">
        <x:v>Maharashtra</x:v>
      </x:c>
      <x:c r="D239" s="49" t="str">
        <x:v>Pune</x:v>
      </x:c>
      <x:c r="E239" s="49" t="str">
        <x:v>Pune</x:v>
      </x:c>
      <x:c r="F239" s="49" t="str">
        <x:v>Alandi (D) Tal. Khed, Dist. Pune</x:v>
      </x:c>
      <x:c r="G239" s="49" t="str">
        <x:v>Un-Aided</x:v>
      </x:c>
      <x:c r="H239" s="49" t="str">
        <x:v>Autonomous</x:v>
      </x:c>
      <x:c r="I239" s="49" t="str">
        <x:v>Non-Minority</x:v>
      </x:c>
      <x:c r="J239" s="49" t="str">
        <x:v>Savitribai Phule Pune University</x:v>
      </x:c>
      <x:c r="K239" s="49" t="n">
        <x:v>9</x:v>
      </x:c>
      <x:c r="L239" s="49" t="n">
        <x:v>161</x:v>
      </x:c>
      <x:c r="M239" s="49" t="n">
        <x:v>132</x:v>
      </x:c>
      <x:c r="N239" s="49" t="n">
        <x:v>29</x:v>
      </x:c>
      <x:c r="O239" s="49"/>
      <x:c r="P239" s="49"/>
      <x:c r="Q239" s="49" t="str">
        <x:v>Parsed from official 2025-26 PDF</x:v>
      </x:c>
      <x:c r="R239" s="49" t="str">
        <x:v>2024-25</x:v>
      </x:c>
      <x:c r="S239" s="64" t="n">
        <x:v>166087</x:v>
      </x:c>
      <x:c r="T239" s="64" t="n">
        <x:v>24913</x:v>
      </x:c>
      <x:c r="U239" s="64" t="n">
        <x:v>191000</x:v>
      </x:c>
      <x:c r="V239" s="49" t="str">
        <x:v>Normal FRA-approved annual tuition + development fee; not seat-type-specific</x:v>
      </x:c>
      <x:c r="W239" s="49"/>
      <x:c r="X239" s="49"/>
      <x:c r="Y239" s="68"/>
      <x:c r="Z239" s="49"/>
      <x:c r="AA239" s="49" t="str">
        <x:v>https://mitaoe.ac.in/</x:v>
      </x:c>
      <x:c r="AB239" s="49" t="str">
        <x:v>Verified official domain</x:v>
      </x:c>
      <x:c r="AC239" s="49" t="str">
        <x:v>Not centrally verified</x:v>
      </x:c>
      <x:c r="AD239" s="49" t="str">
        <x:v>Not centrally verified</x:v>
      </x:c>
      <x:c r="AE239" s="49" t="str">
        <x:v>Not available in a standardized official source</x:v>
      </x:c>
      <x:c r="AF239" s="49" t="str">
        <x:v>Not included: no official standardized source; cutoff-derived proxy excluded</x:v>
      </x:c>
      <x:c r="AG239" s="49" t="str">
        <x:v>https://dse2025.mahacet.org.in/dse25/admin/allotment/cap2/6146_4.pdf</x:v>
      </x:c>
      <x:c r="AH239" s="49" t="str">
        <x:v>https://fe2025.mahacet.org/StaticPages/frmInstituteSummary.aspx?InstituteCode=06146</x:v>
      </x:c>
      <x:c r="AI239" s="49"/>
      <x:c r="AJ239" s="49" t="str"/>
      <x:c r="AK239" s="69" t="n">
        <x:f>IF(W239&lt;&gt;"",50,IF(X239="101-150",45,IF(X239="151-200",40,IF(X239="201-300",35,0))))+IF(H239="Autonomous",20,0)+IF(OR(G239="Government",G239="Government-Aided",G239="University Department",G239="University",G239="University Autonomous"),15,0)+MIN(K239,10)+IF(AA239&lt;&gt;"",3,0)+IF(U239&lt;&gt;"",2,0)</x:f>
        <x:v>34</x:v>
      </x:c>
      <x:c r="AL239" s="49" t="str">
        <x:f>IF(AK239&gt;=70,"Official/high-evidence reference",IF(AK239&gt;=40,"Planning reference","Broader option"))</x:f>
        <x:v>Broader option</x:v>
      </x:c>
    </x:row>
    <x:row r="240">
      <x:c r="A240" s="63" t="n">
        <x:v>6149</x:v>
      </x:c>
      <x:c r="B240" s="49" t="str">
        <x:v>Siddhant College of Engineering, A/p Sudumbare, Tal.Maval, Dist-Pune</x:v>
      </x:c>
      <x:c r="C240" s="49" t="str">
        <x:v>Maharashtra</x:v>
      </x:c>
      <x:c r="D240" s="49" t="str">
        <x:v>Pune</x:v>
      </x:c>
      <x:c r="E240" s="49" t="str">
        <x:v>Pune</x:v>
      </x:c>
      <x:c r="F240" s="49" t="str">
        <x:v>Chakan Talegaon Road, At Post Sudumbare, Tal. Maval Dist. Pune</x:v>
      </x:c>
      <x:c r="G240" s="49" t="str">
        <x:v>Un-Aided</x:v>
      </x:c>
      <x:c r="H240" s="49" t="str">
        <x:v>Non-Autonomous</x:v>
      </x:c>
      <x:c r="I240" s="49" t="str">
        <x:v>Linguistic Minority - Hindi</x:v>
      </x:c>
      <x:c r="J240" s="49" t="str">
        <x:v>Savitribai Phule Pune University</x:v>
      </x:c>
      <x:c r="K240" s="49" t="n">
        <x:v>9</x:v>
      </x:c>
      <x:c r="L240" s="49" t="n">
        <x:v>165</x:v>
      </x:c>
      <x:c r="M240" s="49" t="n">
        <x:v>77</x:v>
      </x:c>
      <x:c r="N240" s="49"/>
      <x:c r="O240" s="49" t="n">
        <x:v>88</x:v>
      </x:c>
      <x:c r="P240" s="49"/>
      <x:c r="Q240" s="49" t="str">
        <x:v>Parsed from official 2025-26 PDF</x:v>
      </x:c>
      <x:c r="R240" s="49" t="str">
        <x:v>2024-25</x:v>
      </x:c>
      <x:c r="S240" s="64" t="n">
        <x:v>52047</x:v>
      </x:c>
      <x:c r="T240" s="64" t="n">
        <x:v>6453</x:v>
      </x:c>
      <x:c r="U240" s="64" t="n">
        <x:v>58500</x:v>
      </x:c>
      <x:c r="V240" s="49" t="str">
        <x:v>Normal FRA-approved annual tuition + development fee; not seat-type-specific</x:v>
      </x:c>
      <x:c r="W240" s="49"/>
      <x:c r="X240" s="49"/>
      <x:c r="Y240" s="68"/>
      <x:c r="Z240" s="49"/>
      <x:c r="AA240" s="49"/>
      <x:c r="AB240" s="49" t="str">
        <x:v>Not centrally verified</x:v>
      </x:c>
      <x:c r="AC240" s="49" t="str">
        <x:v>Not centrally verified</x:v>
      </x:c>
      <x:c r="AD240" s="49" t="str">
        <x:v>Not centrally verified</x:v>
      </x:c>
      <x:c r="AE240" s="49" t="str">
        <x:v>Not available in a standardized official source</x:v>
      </x:c>
      <x:c r="AF240" s="49" t="str">
        <x:v>Not included: no official standardized source; cutoff-derived proxy excluded</x:v>
      </x:c>
      <x:c r="AG240" s="49" t="str">
        <x:v>https://dse2025.mahacet.org.in/dse25/admin/allotment/cap2/6149_4.pdf</x:v>
      </x:c>
      <x:c r="AH240" s="49" t="str">
        <x:v>https://fe2025.mahacet.org/StaticPages/frmInstituteSummary.aspx?InstituteCode=06149</x:v>
      </x:c>
      <x:c r="AI240" s="49"/>
      <x:c r="AJ240" s="49" t="str"/>
      <x:c r="AK240" s="69" t="n">
        <x:f>IF(W240&lt;&gt;"",50,IF(X240="101-150",45,IF(X240="151-200",40,IF(X240="201-300",35,0))))+IF(H240="Autonomous",20,0)+IF(OR(G240="Government",G240="Government-Aided",G240="University Department",G240="University",G240="University Autonomous"),15,0)+MIN(K240,10)+IF(AA240&lt;&gt;"",3,0)+IF(U240&lt;&gt;"",2,0)</x:f>
        <x:v>11</x:v>
      </x:c>
      <x:c r="AL240" s="49" t="str">
        <x:f>IF(AK240&gt;=70,"Official/high-evidence reference",IF(AK240&gt;=40,"Planning reference","Broader option"))</x:f>
        <x:v>Broader option</x:v>
      </x:c>
    </x:row>
    <x:row r="241">
      <x:c r="A241" s="63" t="n">
        <x:v>6155</x:v>
      </x:c>
      <x:c r="B241" s="49" t="str">
        <x:v>G.H.Raisoni College of Engineering &amp; Management, Wagholi, Pune</x:v>
      </x:c>
      <x:c r="C241" s="49" t="str">
        <x:v>Maharashtra</x:v>
      </x:c>
      <x:c r="D241" s="49" t="str">
        <x:v>Pune</x:v>
      </x:c>
      <x:c r="E241" s="49" t="str">
        <x:v>Pune</x:v>
      </x:c>
      <x:c r="F241" s="49" t="str">
        <x:v>Gat No. 1200 , Domkhel Road, Wagholi,Tal-Haveli, Dist. Pune</x:v>
      </x:c>
      <x:c r="G241" s="49" t="str">
        <x:v>Un-Aided</x:v>
      </x:c>
      <x:c r="H241" s="49" t="str">
        <x:v>Autonomous</x:v>
      </x:c>
      <x:c r="I241" s="49" t="str">
        <x:v>Linguistic Minority - Hindi</x:v>
      </x:c>
      <x:c r="J241" s="49" t="str">
        <x:v>Savitribai Phule Pune University</x:v>
      </x:c>
      <x:c r="K241" s="49" t="n">
        <x:v>10</x:v>
      </x:c>
      <x:c r="L241" s="49" t="n">
        <x:v>210</x:v>
      </x:c>
      <x:c r="M241" s="49" t="n">
        <x:v>96</x:v>
      </x:c>
      <x:c r="N241" s="49"/>
      <x:c r="O241" s="49" t="n">
        <x:v>114</x:v>
      </x:c>
      <x:c r="P241" s="49"/>
      <x:c r="Q241" s="49" t="str">
        <x:v>Parsed from official 2025-26 PDF</x:v>
      </x:c>
      <x:c r="R241" s="49" t="str">
        <x:v>2024-25</x:v>
      </x:c>
      <x:c r="S241" s="64" t="n">
        <x:v>116087</x:v>
      </x:c>
      <x:c r="T241" s="64" t="n">
        <x:v>17413</x:v>
      </x:c>
      <x:c r="U241" s="64" t="n">
        <x:v>133500</x:v>
      </x:c>
      <x:c r="V241" s="49" t="str">
        <x:v>Normal FRA-approved annual tuition + development fee; not seat-type-specific</x:v>
      </x:c>
      <x:c r="W241" s="49"/>
      <x:c r="X241" s="49"/>
      <x:c r="Y241" s="68"/>
      <x:c r="Z241" s="49"/>
      <x:c r="AA241" s="49"/>
      <x:c r="AB241" s="49" t="str">
        <x:v>Not centrally verified</x:v>
      </x:c>
      <x:c r="AC241" s="49" t="str">
        <x:v>Not centrally verified</x:v>
      </x:c>
      <x:c r="AD241" s="49" t="str">
        <x:v>Not centrally verified</x:v>
      </x:c>
      <x:c r="AE241" s="49" t="str">
        <x:v>Not available in a standardized official source</x:v>
      </x:c>
      <x:c r="AF241" s="49" t="str">
        <x:v>Not included: no official standardized source; cutoff-derived proxy excluded</x:v>
      </x:c>
      <x:c r="AG241" s="49" t="str">
        <x:v>https://dse2025.mahacet.org.in/dse25/admin/allotment/cap2/6155_4.pdf</x:v>
      </x:c>
      <x:c r="AH241" s="49" t="str">
        <x:v>https://fe2025.mahacet.org/StaticPages/frmInstituteSummary.aspx?InstituteCode=06155</x:v>
      </x:c>
      <x:c r="AI241" s="49"/>
      <x:c r="AJ241" s="49" t="str"/>
      <x:c r="AK241" s="69" t="n">
        <x:f>IF(W241&lt;&gt;"",50,IF(X241="101-150",45,IF(X241="151-200",40,IF(X241="201-300",35,0))))+IF(H241="Autonomous",20,0)+IF(OR(G241="Government",G241="Government-Aided",G241="University Department",G241="University",G241="University Autonomous"),15,0)+MIN(K241,10)+IF(AA241&lt;&gt;"",3,0)+IF(U241&lt;&gt;"",2,0)</x:f>
        <x:v>32</x:v>
      </x:c>
      <x:c r="AL241" s="49" t="str">
        <x:f>IF(AK241&gt;=70,"Official/high-evidence reference",IF(AK241&gt;=40,"Planning reference","Broader option"))</x:f>
        <x:v>Broader option</x:v>
      </x:c>
    </x:row>
    <x:row r="242">
      <x:c r="A242" s="63" t="n">
        <x:v>6156</x:v>
      </x:c>
      <x:c r="B242" s="49" t="str">
        <x:v>Marathwada Mitra Mandal's College of Engineering, Karvenagar, Pune</x:v>
      </x:c>
      <x:c r="C242" s="49" t="str">
        <x:v>Maharashtra</x:v>
      </x:c>
      <x:c r="D242" s="49" t="str">
        <x:v>Pune</x:v>
      </x:c>
      <x:c r="E242" s="49" t="str">
        <x:v>Pune</x:v>
      </x:c>
      <x:c r="F242" s="49" t="str">
        <x:v>Survey No 18, Plot No. 5/3, CTS No.205, Karvenagar, Pune</x:v>
      </x:c>
      <x:c r="G242" s="49" t="str">
        <x:v>Un-Aided</x:v>
      </x:c>
      <x:c r="H242" s="49" t="str">
        <x:v>Autonomous</x:v>
      </x:c>
      <x:c r="I242" s="49" t="str">
        <x:v>Non-Minority</x:v>
      </x:c>
      <x:c r="J242" s="49" t="str">
        <x:v>Savitribai Phule Pune University</x:v>
      </x:c>
      <x:c r="K242" s="49" t="n">
        <x:v>6</x:v>
      </x:c>
      <x:c r="L242" s="49" t="n">
        <x:v>101</x:v>
      </x:c>
      <x:c r="M242" s="49" t="n">
        <x:v>83</x:v>
      </x:c>
      <x:c r="N242" s="49" t="n">
        <x:v>18</x:v>
      </x:c>
      <x:c r="O242" s="49"/>
      <x:c r="P242" s="49"/>
      <x:c r="Q242" s="49" t="str">
        <x:v>Parsed from official 2025-26 PDF</x:v>
      </x:c>
      <x:c r="R242" s="49" t="str">
        <x:v>2024-25</x:v>
      </x:c>
      <x:c r="S242" s="64" t="n">
        <x:v>83478</x:v>
      </x:c>
      <x:c r="T242" s="64" t="n">
        <x:v>12522</x:v>
      </x:c>
      <x:c r="U242" s="64" t="n">
        <x:v>96000</x:v>
      </x:c>
      <x:c r="V242" s="49" t="str">
        <x:v>Normal FRA-approved annual tuition + development fee; not seat-type-specific</x:v>
      </x:c>
      <x:c r="W242" s="49"/>
      <x:c r="X242" s="49"/>
      <x:c r="Y242" s="68"/>
      <x:c r="Z242" s="49"/>
      <x:c r="AA242" s="49"/>
      <x:c r="AB242" s="49" t="str">
        <x:v>Not centrally verified</x:v>
      </x:c>
      <x:c r="AC242" s="49" t="str">
        <x:v>Not centrally verified</x:v>
      </x:c>
      <x:c r="AD242" s="49" t="str">
        <x:v>Not centrally verified</x:v>
      </x:c>
      <x:c r="AE242" s="49" t="str">
        <x:v>Not available in a standardized official source</x:v>
      </x:c>
      <x:c r="AF242" s="49" t="str">
        <x:v>Not included: no official standardized source; cutoff-derived proxy excluded</x:v>
      </x:c>
      <x:c r="AG242" s="49" t="str">
        <x:v>https://dse2025.mahacet.org.in/dse25/admin/allotment/cap2/6156_4.pdf</x:v>
      </x:c>
      <x:c r="AH242" s="49" t="str">
        <x:v>https://fe2025.mahacet.org/StaticPages/frmInstituteSummary.aspx?InstituteCode=06156</x:v>
      </x:c>
      <x:c r="AI242" s="49"/>
      <x:c r="AJ242" s="49" t="str"/>
      <x:c r="AK242" s="69" t="n">
        <x:f>IF(W242&lt;&gt;"",50,IF(X242="101-150",45,IF(X242="151-200",40,IF(X242="201-300",35,0))))+IF(H242="Autonomous",20,0)+IF(OR(G242="Government",G242="Government-Aided",G242="University Department",G242="University",G242="University Autonomous"),15,0)+MIN(K242,10)+IF(AA242&lt;&gt;"",3,0)+IF(U242&lt;&gt;"",2,0)</x:f>
        <x:v>28</x:v>
      </x:c>
      <x:c r="AL242" s="49" t="str">
        <x:f>IF(AK242&gt;=70,"Official/high-evidence reference",IF(AK242&gt;=40,"Planning reference","Broader option"))</x:f>
        <x:v>Broader option</x:v>
      </x:c>
    </x:row>
    <x:row r="243">
      <x:c r="A243" s="63" t="n">
        <x:v>6175</x:v>
      </x:c>
      <x:c r="B243" s="49" t="str">
        <x:v>Pimpri Chinchwad Education Trust, Pimpri Chinchwad College of Engineering, Pune</x:v>
      </x:c>
      <x:c r="C243" s="49" t="str">
        <x:v>Maharashtra</x:v>
      </x:c>
      <x:c r="D243" s="49" t="str">
        <x:v>Pune</x:v>
      </x:c>
      <x:c r="E243" s="49" t="str">
        <x:v>Pune</x:v>
      </x:c>
      <x:c r="F243" s="49" t="str">
        <x:v>Sector 26, Pradhikaran, Nigdi Pradhikaran, Pune</x:v>
      </x:c>
      <x:c r="G243" s="49" t="str">
        <x:v>Un-Aided</x:v>
      </x:c>
      <x:c r="H243" s="49" t="str">
        <x:v>Autonomous</x:v>
      </x:c>
      <x:c r="I243" s="49" t="str">
        <x:v>Non-Minority</x:v>
      </x:c>
      <x:c r="J243" s="49" t="str">
        <x:v>Savitribai Phule Pune University</x:v>
      </x:c>
      <x:c r="K243" s="49" t="n">
        <x:v>7</x:v>
      </x:c>
      <x:c r="L243" s="49" t="n">
        <x:v>137</x:v>
      </x:c>
      <x:c r="M243" s="49" t="n">
        <x:v>114</x:v>
      </x:c>
      <x:c r="N243" s="49" t="n">
        <x:v>23</x:v>
      </x:c>
      <x:c r="O243" s="49"/>
      <x:c r="P243" s="49"/>
      <x:c r="Q243" s="49" t="str">
        <x:v>Parsed from official 2025-26 PDF</x:v>
      </x:c>
      <x:c r="R243" s="49" t="str">
        <x:v>2024-25</x:v>
      </x:c>
      <x:c r="S243" s="64" t="n">
        <x:v>139130</x:v>
      </x:c>
      <x:c r="T243" s="64" t="n">
        <x:v>20870</x:v>
      </x:c>
      <x:c r="U243" s="64" t="n">
        <x:v>160000</x:v>
      </x:c>
      <x:c r="V243" s="49" t="str">
        <x:v>Normal FRA-approved annual tuition + development fee; not seat-type-specific</x:v>
      </x:c>
      <x:c r="W243" s="49"/>
      <x:c r="X243" s="49" t="str">
        <x:v>201-300</x:v>
      </x:c>
      <x:c r="Y243" s="68"/>
      <x:c r="Z243" s="49" t="str">
        <x:v>Pimpri Chinchwad College of Engineering</x:v>
      </x:c>
      <x:c r="AA243" s="49" t="str">
        <x:v>https://www.pccoepune.com/</x:v>
      </x:c>
      <x:c r="AB243" s="49" t="str">
        <x:v>Verified official domain</x:v>
      </x:c>
      <x:c r="AC243" s="49" t="str">
        <x:v>Not centrally verified</x:v>
      </x:c>
      <x:c r="AD243" s="49" t="str">
        <x:v>Not centrally verified</x:v>
      </x:c>
      <x:c r="AE243" s="49" t="str">
        <x:v>Not available in a standardized official source</x:v>
      </x:c>
      <x:c r="AF243" s="49" t="str">
        <x:v>Not included: no official standardized source; cutoff-derived proxy excluded</x:v>
      </x:c>
      <x:c r="AG243" s="49" t="str">
        <x:v>https://dse2025.mahacet.org.in/dse25/admin/allotment/cap2/6175_4.pdf</x:v>
      </x:c>
      <x:c r="AH243" s="49" t="str">
        <x:v>https://fe2025.mahacet.org/StaticPages/frmInstituteSummary.aspx?InstituteCode=06175</x:v>
      </x:c>
      <x:c r="AI243" s="49" t="str">
        <x:v>https://www.nirfindia.org/Rankings/2025/EngineeringRanking300.html</x:v>
      </x:c>
      <x:c r="AJ243" s="49" t="str"/>
      <x:c r="AK243" s="69" t="n">
        <x:f>IF(W243&lt;&gt;"",50,IF(X243="101-150",45,IF(X243="151-200",40,IF(X243="201-300",35,0))))+IF(H243="Autonomous",20,0)+IF(OR(G243="Government",G243="Government-Aided",G243="University Department",G243="University",G243="University Autonomous"),15,0)+MIN(K243,10)+IF(AA243&lt;&gt;"",3,0)+IF(U243&lt;&gt;"",2,0)</x:f>
        <x:v>67</x:v>
      </x:c>
      <x:c r="AL243" s="49" t="str">
        <x:f>IF(AK243&gt;=70,"Official/high-evidence reference",IF(AK243&gt;=40,"Planning reference","Broader option"))</x:f>
        <x:v>Planning reference</x:v>
      </x:c>
    </x:row>
    <x:row r="244">
      <x:c r="A244" s="63" t="n">
        <x:v>6177</x:v>
      </x:c>
      <x:c r="B244" s="49" t="str">
        <x:v>Sinhgad College of Engineering, Vadgaon (BK), Pune</x:v>
      </x:c>
      <x:c r="C244" s="49" t="str">
        <x:v>Maharashtra</x:v>
      </x:c>
      <x:c r="D244" s="49" t="str">
        <x:v>Pune</x:v>
      </x:c>
      <x:c r="E244" s="49" t="str">
        <x:v>Pune</x:v>
      </x:c>
      <x:c r="F244" s="49" t="str">
        <x:v>44/1, Vadgaon,(bk) off Sinhgad Road Pune</x:v>
      </x:c>
      <x:c r="G244" s="49" t="str">
        <x:v>Un-Aided</x:v>
      </x:c>
      <x:c r="H244" s="49" t="str">
        <x:v>Non-Autonomous</x:v>
      </x:c>
      <x:c r="I244" s="49" t="str">
        <x:v>Non-Minority</x:v>
      </x:c>
      <x:c r="J244" s="49" t="str">
        <x:v>Savitribai Phule Pune University</x:v>
      </x:c>
      <x:c r="K244" s="49" t="n">
        <x:v>7</x:v>
      </x:c>
      <x:c r="L244" s="49" t="n">
        <x:v>247</x:v>
      </x:c>
      <x:c r="M244" s="49" t="n">
        <x:v>215</x:v>
      </x:c>
      <x:c r="N244" s="49" t="n">
        <x:v>32</x:v>
      </x:c>
      <x:c r="O244" s="49"/>
      <x:c r="P244" s="49"/>
      <x:c r="Q244" s="49" t="str">
        <x:v>Parsed from official 2025-26 PDF</x:v>
      </x:c>
      <x:c r="R244" s="49" t="str">
        <x:v>2024-25</x:v>
      </x:c>
      <x:c r="S244" s="64" t="n">
        <x:v>113043</x:v>
      </x:c>
      <x:c r="T244" s="64" t="n">
        <x:v>16957</x:v>
      </x:c>
      <x:c r="U244" s="64" t="n">
        <x:v>130000</x:v>
      </x:c>
      <x:c r="V244" s="49" t="str">
        <x:v>Normal FRA-approved annual tuition + development fee; not seat-type-specific</x:v>
      </x:c>
      <x:c r="W244" s="49"/>
      <x:c r="X244" s="49"/>
      <x:c r="Y244" s="68"/>
      <x:c r="Z244" s="49"/>
      <x:c r="AA244" s="49"/>
      <x:c r="AB244" s="49" t="str">
        <x:v>Not centrally verified</x:v>
      </x:c>
      <x:c r="AC244" s="49" t="str">
        <x:v>Not centrally verified</x:v>
      </x:c>
      <x:c r="AD244" s="49" t="str">
        <x:v>Not centrally verified</x:v>
      </x:c>
      <x:c r="AE244" s="49" t="str">
        <x:v>Not available in a standardized official source</x:v>
      </x:c>
      <x:c r="AF244" s="49" t="str">
        <x:v>Not included: no official standardized source; cutoff-derived proxy excluded</x:v>
      </x:c>
      <x:c r="AG244" s="49" t="str">
        <x:v>https://dse2025.mahacet.org.in/dse25/admin/allotment/cap2/6177_4.pdf</x:v>
      </x:c>
      <x:c r="AH244" s="49" t="str">
        <x:v>https://fe2025.mahacet.org/StaticPages/frmInstituteSummary.aspx?InstituteCode=06177</x:v>
      </x:c>
      <x:c r="AI244" s="49"/>
      <x:c r="AJ244" s="49" t="str"/>
      <x:c r="AK244" s="69" t="n">
        <x:f>IF(W244&lt;&gt;"",50,IF(X244="101-150",45,IF(X244="151-200",40,IF(X244="201-300",35,0))))+IF(H244="Autonomous",20,0)+IF(OR(G244="Government",G244="Government-Aided",G244="University Department",G244="University",G244="University Autonomous"),15,0)+MIN(K244,10)+IF(AA244&lt;&gt;"",3,0)+IF(U244&lt;&gt;"",2,0)</x:f>
        <x:v>9</x:v>
      </x:c>
      <x:c r="AL244" s="49" t="str">
        <x:f>IF(AK244&gt;=70,"Official/high-evidence reference",IF(AK244&gt;=40,"Planning reference","Broader option"))</x:f>
        <x:v>Broader option</x:v>
      </x:c>
    </x:row>
    <x:row r="245">
      <x:c r="A245" s="63" t="n">
        <x:v>6178</x:v>
      </x:c>
      <x:c r="B245" s="49" t="str">
        <x:v>Sinhgad Technical Education Society's Smt. Kashibai Navale College of Engineering,Vadgaon,Pune</x:v>
      </x:c>
      <x:c r="C245" s="49" t="str">
        <x:v>Maharashtra</x:v>
      </x:c>
      <x:c r="D245" s="49" t="str">
        <x:v>Pune</x:v>
      </x:c>
      <x:c r="E245" s="49" t="str">
        <x:v>Pune</x:v>
      </x:c>
      <x:c r="F245" s="49" t="str">
        <x:v>S. No. 44/1, Vadgaon(bk) off Sinhgad Road, Pune</x:v>
      </x:c>
      <x:c r="G245" s="49" t="str">
        <x:v>Un-Aided</x:v>
      </x:c>
      <x:c r="H245" s="49" t="str">
        <x:v>Non-Autonomous</x:v>
      </x:c>
      <x:c r="I245" s="49" t="str">
        <x:v>Non-Minority</x:v>
      </x:c>
      <x:c r="J245" s="49" t="str">
        <x:v>Savitribai Phule Pune University</x:v>
      </x:c>
      <x:c r="K245" s="49" t="n">
        <x:v>4</x:v>
      </x:c>
      <x:c r="L245" s="49" t="n">
        <x:v>185</x:v>
      </x:c>
      <x:c r="M245" s="49" t="n">
        <x:v>149</x:v>
      </x:c>
      <x:c r="N245" s="49" t="n">
        <x:v>36</x:v>
      </x:c>
      <x:c r="O245" s="49"/>
      <x:c r="P245" s="49"/>
      <x:c r="Q245" s="49" t="str">
        <x:v>Parsed from official 2025-26 PDF</x:v>
      </x:c>
      <x:c r="R245" s="49" t="str">
        <x:v>2024-25</x:v>
      </x:c>
      <x:c r="S245" s="64" t="n">
        <x:v>84499</x:v>
      </x:c>
      <x:c r="T245" s="64" t="n">
        <x:v>12001</x:v>
      </x:c>
      <x:c r="U245" s="64" t="n">
        <x:v>96500</x:v>
      </x:c>
      <x:c r="V245" s="49" t="str">
        <x:v>Normal FRA-approved annual tuition + development fee; not seat-type-specific</x:v>
      </x:c>
      <x:c r="W245" s="49"/>
      <x:c r="X245" s="49"/>
      <x:c r="Y245" s="68"/>
      <x:c r="Z245" s="49"/>
      <x:c r="AA245" s="49"/>
      <x:c r="AB245" s="49" t="str">
        <x:v>Not centrally verified</x:v>
      </x:c>
      <x:c r="AC245" s="49" t="str">
        <x:v>Not centrally verified</x:v>
      </x:c>
      <x:c r="AD245" s="49" t="str">
        <x:v>Not centrally verified</x:v>
      </x:c>
      <x:c r="AE245" s="49" t="str">
        <x:v>Not available in a standardized official source</x:v>
      </x:c>
      <x:c r="AF245" s="49" t="str">
        <x:v>Not included: no official standardized source; cutoff-derived proxy excluded</x:v>
      </x:c>
      <x:c r="AG245" s="49" t="str">
        <x:v>https://dse2025.mahacet.org.in/dse25/admin/allotment/cap2/6178_4.pdf</x:v>
      </x:c>
      <x:c r="AH245" s="49" t="str">
        <x:v>https://fe2025.mahacet.org/StaticPages/frmInstituteSummary.aspx?InstituteCode=06178</x:v>
      </x:c>
      <x:c r="AI245" s="49"/>
      <x:c r="AJ245" s="49" t="str"/>
      <x:c r="AK245" s="69" t="n">
        <x:f>IF(W245&lt;&gt;"",50,IF(X245="101-150",45,IF(X245="151-200",40,IF(X245="201-300",35,0))))+IF(H245="Autonomous",20,0)+IF(OR(G245="Government",G245="Government-Aided",G245="University Department",G245="University",G245="University Autonomous"),15,0)+MIN(K245,10)+IF(AA245&lt;&gt;"",3,0)+IF(U245&lt;&gt;"",2,0)</x:f>
        <x:v>6</x:v>
      </x:c>
      <x:c r="AL245" s="49" t="str">
        <x:f>IF(AK245&gt;=70,"Official/high-evidence reference",IF(AK245&gt;=40,"Planning reference","Broader option"))</x:f>
        <x:v>Broader option</x:v>
      </x:c>
    </x:row>
    <x:row r="246">
      <x:c r="A246" s="63" t="n">
        <x:v>6179</x:v>
      </x:c>
      <x:c r="B246" s="49" t="str">
        <x:v>Indira College of Engineering &amp; Management, Pune</x:v>
      </x:c>
      <x:c r="C246" s="49" t="str">
        <x:v>Maharashtra</x:v>
      </x:c>
      <x:c r="D246" s="49" t="str">
        <x:v>Pune</x:v>
      </x:c>
      <x:c r="E246" s="49" t="str">
        <x:v>Pune</x:v>
      </x:c>
      <x:c r="F246" s="49" t="str">
        <x:v>Survey No.64,65,Gat No.276, At Post Parandwadi, Near Somatne Phata, Tal- Maval Dist. Pune</x:v>
      </x:c>
      <x:c r="G246" s="49" t="str">
        <x:v>Un-Aided</x:v>
      </x:c>
      <x:c r="H246" s="49" t="str">
        <x:v>Autonomous</x:v>
      </x:c>
      <x:c r="I246" s="49" t="str">
        <x:v>Non-Minority</x:v>
      </x:c>
      <x:c r="J246" s="49" t="str">
        <x:v>Savitribai Phule Pune University</x:v>
      </x:c>
      <x:c r="K246" s="49" t="n">
        <x:v>5</x:v>
      </x:c>
      <x:c r="L246" s="49" t="n">
        <x:v>83</x:v>
      </x:c>
      <x:c r="M246" s="49" t="n">
        <x:v>65</x:v>
      </x:c>
      <x:c r="N246" s="49" t="n">
        <x:v>18</x:v>
      </x:c>
      <x:c r="O246" s="49"/>
      <x:c r="P246" s="49"/>
      <x:c r="Q246" s="49" t="str">
        <x:v>Parsed from official 2025-26 PDF</x:v>
      </x:c>
      <x:c r="R246" s="49" t="str">
        <x:v>2024-25</x:v>
      </x:c>
      <x:c r="S246" s="64" t="n">
        <x:v>109130</x:v>
      </x:c>
      <x:c r="T246" s="64" t="n">
        <x:v>16370</x:v>
      </x:c>
      <x:c r="U246" s="64" t="n">
        <x:v>125500</x:v>
      </x:c>
      <x:c r="V246" s="49" t="str">
        <x:v>Normal FRA-approved annual tuition + development fee; not seat-type-specific</x:v>
      </x:c>
      <x:c r="W246" s="49"/>
      <x:c r="X246" s="49"/>
      <x:c r="Y246" s="68"/>
      <x:c r="Z246" s="49"/>
      <x:c r="AA246" s="49"/>
      <x:c r="AB246" s="49" t="str">
        <x:v>Not centrally verified</x:v>
      </x:c>
      <x:c r="AC246" s="49" t="str">
        <x:v>Not centrally verified</x:v>
      </x:c>
      <x:c r="AD246" s="49" t="str">
        <x:v>Not centrally verified</x:v>
      </x:c>
      <x:c r="AE246" s="49" t="str">
        <x:v>Not available in a standardized official source</x:v>
      </x:c>
      <x:c r="AF246" s="49" t="str">
        <x:v>Not included: no official standardized source; cutoff-derived proxy excluded</x:v>
      </x:c>
      <x:c r="AG246" s="49" t="str">
        <x:v>https://dse2025.mahacet.org.in/dse25/admin/allotment/cap2/6179_4.pdf</x:v>
      </x:c>
      <x:c r="AH246" s="49" t="str">
        <x:v>https://fe2025.mahacet.org/StaticPages/frmInstituteSummary.aspx?InstituteCode=06179</x:v>
      </x:c>
      <x:c r="AI246" s="49"/>
      <x:c r="AJ246" s="49" t="str"/>
      <x:c r="AK246" s="69" t="n">
        <x:f>IF(W246&lt;&gt;"",50,IF(X246="101-150",45,IF(X246="151-200",40,IF(X246="201-300",35,0))))+IF(H246="Autonomous",20,0)+IF(OR(G246="Government",G246="Government-Aided",G246="University Department",G246="University",G246="University Autonomous"),15,0)+MIN(K246,10)+IF(AA246&lt;&gt;"",3,0)+IF(U246&lt;&gt;"",2,0)</x:f>
        <x:v>27</x:v>
      </x:c>
      <x:c r="AL246" s="49" t="str">
        <x:f>IF(AK246&gt;=70,"Official/high-evidence reference",IF(AK246&gt;=40,"Planning reference","Broader option"))</x:f>
        <x:v>Broader option</x:v>
      </x:c>
    </x:row>
    <x:row r="247">
      <x:c r="A247" s="63" t="n">
        <x:v>6182</x:v>
      </x:c>
      <x:c r="B247" s="49" t="str">
        <x:v>Sinhgad Technical Education Society, Sinhgad Institute of Technology and Science, Narhe (Ambegaon)</x:v>
      </x:c>
      <x:c r="C247" s="49" t="str">
        <x:v>Maharashtra</x:v>
      </x:c>
      <x:c r="D247" s="49" t="str">
        <x:v>Pune</x:v>
      </x:c>
      <x:c r="E247" s="49" t="str">
        <x:v>Pune</x:v>
      </x:c>
      <x:c r="F247" s="49" t="str">
        <x:v>Opp. Wasternly By Pass, Narhe, Ambegaon, Dist. Pune</x:v>
      </x:c>
      <x:c r="G247" s="49" t="str">
        <x:v>Un-Aided</x:v>
      </x:c>
      <x:c r="H247" s="49" t="str">
        <x:v>Non-Autonomous</x:v>
      </x:c>
      <x:c r="I247" s="49" t="str">
        <x:v>Non-Minority</x:v>
      </x:c>
      <x:c r="J247" s="49" t="str">
        <x:v>Savitribai Phule Pune University</x:v>
      </x:c>
      <x:c r="K247" s="49" t="n">
        <x:v>5</x:v>
      </x:c>
      <x:c r="L247" s="49" t="n">
        <x:v>89</x:v>
      </x:c>
      <x:c r="M247" s="49" t="n">
        <x:v>64</x:v>
      </x:c>
      <x:c r="N247" s="49" t="n">
        <x:v>25</x:v>
      </x:c>
      <x:c r="O247" s="49"/>
      <x:c r="P247" s="49"/>
      <x:c r="Q247" s="49" t="str">
        <x:v>Parsed from official 2025-26 PDF</x:v>
      </x:c>
      <x:c r="R247" s="49" t="str">
        <x:v>2024-25</x:v>
      </x:c>
      <x:c r="S247" s="64" t="n">
        <x:v>89664</x:v>
      </x:c>
      <x:c r="T247" s="64" t="n">
        <x:v>11836</x:v>
      </x:c>
      <x:c r="U247" s="64" t="n">
        <x:v>101500</x:v>
      </x:c>
      <x:c r="V247" s="49" t="str">
        <x:v>Normal FRA-approved annual tuition + development fee; not seat-type-specific</x:v>
      </x:c>
      <x:c r="W247" s="49"/>
      <x:c r="X247" s="49"/>
      <x:c r="Y247" s="68"/>
      <x:c r="Z247" s="49"/>
      <x:c r="AA247" s="49"/>
      <x:c r="AB247" s="49" t="str">
        <x:v>Not centrally verified</x:v>
      </x:c>
      <x:c r="AC247" s="49" t="str">
        <x:v>Not centrally verified</x:v>
      </x:c>
      <x:c r="AD247" s="49" t="str">
        <x:v>Not centrally verified</x:v>
      </x:c>
      <x:c r="AE247" s="49" t="str">
        <x:v>Not available in a standardized official source</x:v>
      </x:c>
      <x:c r="AF247" s="49" t="str">
        <x:v>Not included: no official standardized source; cutoff-derived proxy excluded</x:v>
      </x:c>
      <x:c r="AG247" s="49" t="str">
        <x:v>https://dse2025.mahacet.org.in/dse25/admin/allotment/cap2/6182_4.pdf</x:v>
      </x:c>
      <x:c r="AH247" s="49" t="str">
        <x:v>https://fe2025.mahacet.org/StaticPages/frmInstituteSummary.aspx?InstituteCode=06182</x:v>
      </x:c>
      <x:c r="AI247" s="49"/>
      <x:c r="AJ247" s="49" t="str"/>
      <x:c r="AK247" s="69" t="n">
        <x:f>IF(W247&lt;&gt;"",50,IF(X247="101-150",45,IF(X247="151-200",40,IF(X247="201-300",35,0))))+IF(H247="Autonomous",20,0)+IF(OR(G247="Government",G247="Government-Aided",G247="University Department",G247="University",G247="University Autonomous"),15,0)+MIN(K247,10)+IF(AA247&lt;&gt;"",3,0)+IF(U247&lt;&gt;"",2,0)</x:f>
        <x:v>7</x:v>
      </x:c>
      <x:c r="AL247" s="49" t="str">
        <x:f>IF(AK247&gt;=70,"Official/high-evidence reference",IF(AK247&gt;=40,"Planning reference","Broader option"))</x:f>
        <x:v>Broader option</x:v>
      </x:c>
    </x:row>
    <x:row r="248">
      <x:c r="A248" s="63" t="n">
        <x:v>6183</x:v>
      </x:c>
      <x:c r="B248" s="49" t="str">
        <x:v>Al-Ameen Educational and Medical Foundation, College of Engineering, Koregaon, Bhima</x:v>
      </x:c>
      <x:c r="C248" s="49" t="str">
        <x:v>Maharashtra</x:v>
      </x:c>
      <x:c r="D248" s="49" t="str">
        <x:v>Pune</x:v>
      </x:c>
      <x:c r="E248" s="49" t="str">
        <x:v>Pune</x:v>
      </x:c>
      <x:c r="F248" s="49" t="str">
        <x:v>Sharad Campus Pimpal, Jagtap Road A/P, Koregaon Bhima Tal-Shirur, Pune</x:v>
      </x:c>
      <x:c r="G248" s="49" t="str">
        <x:v>Un-Aided</x:v>
      </x:c>
      <x:c r="H248" s="49" t="str">
        <x:v>Non-Autonomous</x:v>
      </x:c>
      <x:c r="I248" s="49" t="str">
        <x:v>Religious Minority - Muslim</x:v>
      </x:c>
      <x:c r="J248" s="49" t="str">
        <x:v>Savitribai Phule Pune University</x:v>
      </x:c>
      <x:c r="K248" s="49" t="n">
        <x:v>3</x:v>
      </x:c>
      <x:c r="L248" s="49" t="n">
        <x:v>131</x:v>
      </x:c>
      <x:c r="M248" s="49" t="n">
        <x:v>63</x:v>
      </x:c>
      <x:c r="N248" s="49"/>
      <x:c r="O248" s="49" t="n">
        <x:v>68</x:v>
      </x:c>
      <x:c r="P248" s="49"/>
      <x:c r="Q248" s="49" t="str">
        <x:v>Parsed from official 2025-26 PDF</x:v>
      </x:c>
      <x:c r="R248" s="49" t="str">
        <x:v>2024-25</x:v>
      </x:c>
      <x:c r="S248" s="64" t="n">
        <x:v>40066</x:v>
      </x:c>
      <x:c r="T248" s="64" t="n">
        <x:v>4287</x:v>
      </x:c>
      <x:c r="U248" s="64" t="n">
        <x:v>44353</x:v>
      </x:c>
      <x:c r="V248" s="49" t="str">
        <x:v>Normal FRA-approved annual tuition + development fee; not seat-type-specific</x:v>
      </x:c>
      <x:c r="W248" s="49"/>
      <x:c r="X248" s="49"/>
      <x:c r="Y248" s="68"/>
      <x:c r="Z248" s="49"/>
      <x:c r="AA248" s="49"/>
      <x:c r="AB248" s="49" t="str">
        <x:v>Not centrally verified</x:v>
      </x:c>
      <x:c r="AC248" s="49" t="str">
        <x:v>Not centrally verified</x:v>
      </x:c>
      <x:c r="AD248" s="49" t="str">
        <x:v>Not centrally verified</x:v>
      </x:c>
      <x:c r="AE248" s="49" t="str">
        <x:v>Not available in a standardized official source</x:v>
      </x:c>
      <x:c r="AF248" s="49" t="str">
        <x:v>Not included: no official standardized source; cutoff-derived proxy excluded</x:v>
      </x:c>
      <x:c r="AG248" s="49" t="str">
        <x:v>https://dse2025.mahacet.org.in/dse25/admin/allotment/cap2/6183_4.pdf</x:v>
      </x:c>
      <x:c r="AH248" s="49" t="str">
        <x:v>https://fe2025.mahacet.org/StaticPages/frmInstituteSummary.aspx?InstituteCode=06183</x:v>
      </x:c>
      <x:c r="AI248" s="49"/>
      <x:c r="AJ248" s="49" t="str"/>
      <x:c r="AK248" s="69" t="n">
        <x:f>IF(W248&lt;&gt;"",50,IF(X248="101-150",45,IF(X248="151-200",40,IF(X248="201-300",35,0))))+IF(H248="Autonomous",20,0)+IF(OR(G248="Government",G248="Government-Aided",G248="University Department",G248="University",G248="University Autonomous"),15,0)+MIN(K248,10)+IF(AA248&lt;&gt;"",3,0)+IF(U248&lt;&gt;"",2,0)</x:f>
        <x:v>5</x:v>
      </x:c>
      <x:c r="AL248" s="49" t="str">
        <x:f>IF(AK248&gt;=70,"Official/high-evidence reference",IF(AK248&gt;=40,"Planning reference","Broader option"))</x:f>
        <x:v>Broader option</x:v>
      </x:c>
    </x:row>
    <x:row r="249">
      <x:c r="A249" s="63" t="n">
        <x:v>6184</x:v>
      </x:c>
      <x:c r="B249" s="49" t="str">
        <x:v>K. J.'s Educational Institut Trinity College of Engineering and Research, Pisoli, Haveli</x:v>
      </x:c>
      <x:c r="C249" s="49" t="str">
        <x:v>Maharashtra</x:v>
      </x:c>
      <x:c r="D249" s="49" t="str">
        <x:v>Pune</x:v>
      </x:c>
      <x:c r="E249" s="49" t="str">
        <x:v>Pune</x:v>
      </x:c>
      <x:c r="F249" s="49" t="str">
        <x:v>S.No. 25/27, Pisoli, Tal.Haveli Dist. Pune</x:v>
      </x:c>
      <x:c r="G249" s="49" t="str">
        <x:v>Un-Aided</x:v>
      </x:c>
      <x:c r="H249" s="49" t="str">
        <x:v>Autonomous</x:v>
      </x:c>
      <x:c r="I249" s="49" t="str">
        <x:v>Non-Minority</x:v>
      </x:c>
      <x:c r="J249" s="49" t="str">
        <x:v>Savitribai Phule Pune University</x:v>
      </x:c>
      <x:c r="K249" s="49" t="n">
        <x:v>6</x:v>
      </x:c>
      <x:c r="L249" s="49" t="n">
        <x:v>101</x:v>
      </x:c>
      <x:c r="M249" s="49" t="n">
        <x:v>83</x:v>
      </x:c>
      <x:c r="N249" s="49" t="n">
        <x:v>18</x:v>
      </x:c>
      <x:c r="O249" s="49"/>
      <x:c r="P249" s="49"/>
      <x:c r="Q249" s="49" t="str">
        <x:v>Parsed from official 2025-26 PDF</x:v>
      </x:c>
      <x:c r="R249" s="49" t="str">
        <x:v>2024-25</x:v>
      </x:c>
      <x:c r="S249" s="64" t="n">
        <x:v>88697</x:v>
      </x:c>
      <x:c r="T249" s="64" t="n">
        <x:v>13303</x:v>
      </x:c>
      <x:c r="U249" s="64" t="n">
        <x:v>102000</x:v>
      </x:c>
      <x:c r="V249" s="49" t="str">
        <x:v>Normal FRA-approved annual tuition + development fee; not seat-type-specific</x:v>
      </x:c>
      <x:c r="W249" s="49"/>
      <x:c r="X249" s="49"/>
      <x:c r="Y249" s="68"/>
      <x:c r="Z249" s="49"/>
      <x:c r="AA249" s="49"/>
      <x:c r="AB249" s="49" t="str">
        <x:v>Not centrally verified</x:v>
      </x:c>
      <x:c r="AC249" s="49" t="str">
        <x:v>Not centrally verified</x:v>
      </x:c>
      <x:c r="AD249" s="49" t="str">
        <x:v>Not centrally verified</x:v>
      </x:c>
      <x:c r="AE249" s="49" t="str">
        <x:v>Not available in a standardized official source</x:v>
      </x:c>
      <x:c r="AF249" s="49" t="str">
        <x:v>Not included: no official standardized source; cutoff-derived proxy excluded</x:v>
      </x:c>
      <x:c r="AG249" s="49" t="str">
        <x:v>https://dse2025.mahacet.org.in/dse25/admin/allotment/cap2/6184_4.pdf</x:v>
      </x:c>
      <x:c r="AH249" s="49" t="str">
        <x:v>https://fe2025.mahacet.org/StaticPages/frmInstituteSummary.aspx?InstituteCode=06184</x:v>
      </x:c>
      <x:c r="AI249" s="49"/>
      <x:c r="AJ249" s="49" t="str"/>
      <x:c r="AK249" s="69" t="n">
        <x:f>IF(W249&lt;&gt;"",50,IF(X249="101-150",45,IF(X249="151-200",40,IF(X249="201-300",35,0))))+IF(H249="Autonomous",20,0)+IF(OR(G249="Government",G249="Government-Aided",G249="University Department",G249="University",G249="University Autonomous"),15,0)+MIN(K249,10)+IF(AA249&lt;&gt;"",3,0)+IF(U249&lt;&gt;"",2,0)</x:f>
        <x:v>28</x:v>
      </x:c>
      <x:c r="AL249" s="49" t="str">
        <x:f>IF(AK249&gt;=70,"Official/high-evidence reference",IF(AK249&gt;=40,"Planning reference","Broader option"))</x:f>
        <x:v>Broader option</x:v>
      </x:c>
    </x:row>
    <x:row r="250">
      <x:c r="A250" s="63" t="n">
        <x:v>6185</x:v>
      </x:c>
      <x:c r="B250" s="49" t="str">
        <x:v>Sinhgad Institute of Technology</x:v>
      </x:c>
      <x:c r="C250" s="49" t="str">
        <x:v>Maharashtra</x:v>
      </x:c>
      <x:c r="D250" s="49" t="str">
        <x:v>Pune</x:v>
      </x:c>
      <x:c r="E250" s="49" t="str">
        <x:v>Pune</x:v>
      </x:c>
      <x:c r="F250" s="49" t="str">
        <x:v>Gat No.309/310/314, Pune-Mumbai Express Highway, kusgaon(BK), Lonavala Pune , 410401</x:v>
      </x:c>
      <x:c r="G250" s="49" t="str">
        <x:v>Un-Aided</x:v>
      </x:c>
      <x:c r="H250" s="49" t="str">
        <x:v>Non-Autonomous</x:v>
      </x:c>
      <x:c r="I250" s="49" t="str">
        <x:v>Non-Minority</x:v>
      </x:c>
      <x:c r="J250" s="49" t="str">
        <x:v>Savitribai Phule Pune University</x:v>
      </x:c>
      <x:c r="K250" s="49" t="n">
        <x:v>5</x:v>
      </x:c>
      <x:c r="L250" s="49" t="n">
        <x:v>295</x:v>
      </x:c>
      <x:c r="M250" s="49" t="n">
        <x:v>247</x:v>
      </x:c>
      <x:c r="N250" s="49" t="n">
        <x:v>48</x:v>
      </x:c>
      <x:c r="O250" s="49"/>
      <x:c r="P250" s="49"/>
      <x:c r="Q250" s="49" t="str">
        <x:v>Parsed from official 2025-26 PDF</x:v>
      </x:c>
      <x:c r="R250" s="49" t="str">
        <x:v>2024-25</x:v>
      </x:c>
      <x:c r="S250" s="64" t="n">
        <x:v>111013</x:v>
      </x:c>
      <x:c r="T250" s="64" t="n">
        <x:v>14987</x:v>
      </x:c>
      <x:c r="U250" s="64" t="n">
        <x:v>126000</x:v>
      </x:c>
      <x:c r="V250" s="49" t="str">
        <x:v>Normal FRA-approved annual tuition + development fee; not seat-type-specific</x:v>
      </x:c>
      <x:c r="W250" s="49"/>
      <x:c r="X250" s="49"/>
      <x:c r="Y250" s="68"/>
      <x:c r="Z250" s="49"/>
      <x:c r="AA250" s="49"/>
      <x:c r="AB250" s="49" t="str">
        <x:v>Not centrally verified</x:v>
      </x:c>
      <x:c r="AC250" s="49" t="str">
        <x:v>Not centrally verified</x:v>
      </x:c>
      <x:c r="AD250" s="49" t="str">
        <x:v>Not centrally verified</x:v>
      </x:c>
      <x:c r="AE250" s="49" t="str">
        <x:v>Not available in a standardized official source</x:v>
      </x:c>
      <x:c r="AF250" s="49" t="str">
        <x:v>Not included: no official standardized source; cutoff-derived proxy excluded</x:v>
      </x:c>
      <x:c r="AG250" s="49" t="str">
        <x:v>https://dse2025.mahacet.org.in/dse25/admin/allotment/cap2/6185_4.pdf</x:v>
      </x:c>
      <x:c r="AH250" s="49" t="str">
        <x:v>https://fe2025.mahacet.org/StaticPages/frmInstituteSummary.aspx?InstituteCode=06185</x:v>
      </x:c>
      <x:c r="AI250" s="49"/>
      <x:c r="AJ250" s="49" t="str"/>
      <x:c r="AK250" s="69" t="n">
        <x:f>IF(W250&lt;&gt;"",50,IF(X250="101-150",45,IF(X250="151-200",40,IF(X250="201-300",35,0))))+IF(H250="Autonomous",20,0)+IF(OR(G250="Government",G250="Government-Aided",G250="University Department",G250="University",G250="University Autonomous"),15,0)+MIN(K250,10)+IF(AA250&lt;&gt;"",3,0)+IF(U250&lt;&gt;"",2,0)</x:f>
        <x:v>7</x:v>
      </x:c>
      <x:c r="AL250" s="49" t="str">
        <x:f>IF(AK250&gt;=70,"Official/high-evidence reference",IF(AK250&gt;=40,"Planning reference","Broader option"))</x:f>
        <x:v>Broader option</x:v>
      </x:c>
    </x:row>
    <x:row r="251">
      <x:c r="A251" s="63" t="n">
        <x:v>6187</x:v>
      </x:c>
      <x:c r="B251" s="49" t="str">
        <x:v>Sinhgad Academy of Engineering, Kondhwa (BK) Kondhwa-Saswad Road, Pune</x:v>
      </x:c>
      <x:c r="C251" s="49" t="str">
        <x:v>Maharashtra</x:v>
      </x:c>
      <x:c r="D251" s="49" t="str">
        <x:v>Pune</x:v>
      </x:c>
      <x:c r="E251" s="49" t="str">
        <x:v>Pune</x:v>
      </x:c>
      <x:c r="F251" s="49" t="str">
        <x:v>S.No.40/4A, Kondhwa(BK), Kondhwa-Saswad Road, Pune</x:v>
      </x:c>
      <x:c r="G251" s="49" t="str">
        <x:v>Un-Aided</x:v>
      </x:c>
      <x:c r="H251" s="49" t="str">
        <x:v>Non-Autonomous</x:v>
      </x:c>
      <x:c r="I251" s="49" t="str">
        <x:v>Non-Minority</x:v>
      </x:c>
      <x:c r="J251" s="49" t="str">
        <x:v>Savitribai Phule Pune University</x:v>
      </x:c>
      <x:c r="K251" s="49" t="n">
        <x:v>5</x:v>
      </x:c>
      <x:c r="L251" s="49" t="n">
        <x:v>179</x:v>
      </x:c>
      <x:c r="M251" s="49" t="n">
        <x:v>152</x:v>
      </x:c>
      <x:c r="N251" s="49" t="n">
        <x:v>27</x:v>
      </x:c>
      <x:c r="O251" s="49"/>
      <x:c r="P251" s="49"/>
      <x:c r="Q251" s="49" t="str">
        <x:v>Parsed from official 2025-26 PDF</x:v>
      </x:c>
      <x:c r="R251" s="49" t="str">
        <x:v>2024-25</x:v>
      </x:c>
      <x:c r="S251" s="64" t="n">
        <x:v>88674</x:v>
      </x:c>
      <x:c r="T251" s="64" t="n">
        <x:v>12326</x:v>
      </x:c>
      <x:c r="U251" s="64" t="n">
        <x:v>101000</x:v>
      </x:c>
      <x:c r="V251" s="49" t="str">
        <x:v>Normal FRA-approved annual tuition + development fee; not seat-type-specific</x:v>
      </x:c>
      <x:c r="W251" s="49"/>
      <x:c r="X251" s="49"/>
      <x:c r="Y251" s="68"/>
      <x:c r="Z251" s="49"/>
      <x:c r="AA251" s="49"/>
      <x:c r="AB251" s="49" t="str">
        <x:v>Not centrally verified</x:v>
      </x:c>
      <x:c r="AC251" s="49" t="str">
        <x:v>Not centrally verified</x:v>
      </x:c>
      <x:c r="AD251" s="49" t="str">
        <x:v>Not centrally verified</x:v>
      </x:c>
      <x:c r="AE251" s="49" t="str">
        <x:v>Not available in a standardized official source</x:v>
      </x:c>
      <x:c r="AF251" s="49" t="str">
        <x:v>Not included: no official standardized source; cutoff-derived proxy excluded</x:v>
      </x:c>
      <x:c r="AG251" s="49" t="str">
        <x:v>https://dse2025.mahacet.org.in/dse25/admin/allotment/cap2/6187_4.pdf</x:v>
      </x:c>
      <x:c r="AH251" s="49" t="str">
        <x:v>https://fe2025.mahacet.org/StaticPages/frmInstituteSummary.aspx?InstituteCode=06187</x:v>
      </x:c>
      <x:c r="AI251" s="49"/>
      <x:c r="AJ251" s="49" t="str"/>
      <x:c r="AK251" s="69" t="n">
        <x:f>IF(W251&lt;&gt;"",50,IF(X251="101-150",45,IF(X251="151-200",40,IF(X251="201-300",35,0))))+IF(H251="Autonomous",20,0)+IF(OR(G251="Government",G251="Government-Aided",G251="University Department",G251="University",G251="University Autonomous"),15,0)+MIN(K251,10)+IF(AA251&lt;&gt;"",3,0)+IF(U251&lt;&gt;"",2,0)</x:f>
        <x:v>7</x:v>
      </x:c>
      <x:c r="AL251" s="49" t="str">
        <x:f>IF(AK251&gt;=70,"Official/high-evidence reference",IF(AK251&gt;=40,"Planning reference","Broader option"))</x:f>
        <x:v>Broader option</x:v>
      </x:c>
    </x:row>
    <x:row r="252">
      <x:c r="A252" s="63" t="n">
        <x:v>6203</x:v>
      </x:c>
      <x:c r="B252" s="49" t="str">
        <x:v>Marathwada Mitra Mandal's Institute of Technology, Lohgaon, Pune</x:v>
      </x:c>
      <x:c r="C252" s="49" t="str">
        <x:v>Maharashtra</x:v>
      </x:c>
      <x:c r="D252" s="49" t="str">
        <x:v>Pune</x:v>
      </x:c>
      <x:c r="E252" s="49" t="str">
        <x:v>Pune</x:v>
      </x:c>
      <x:c r="F252" s="49" t="str">
        <x:v>Survey No.35, Plot No. 5/6, Lohgaon Tal. Haveli Dist. Pune</x:v>
      </x:c>
      <x:c r="G252" s="49" t="str">
        <x:v>Un-Aided</x:v>
      </x:c>
      <x:c r="H252" s="49" t="str">
        <x:v>Non-Autonomous</x:v>
      </x:c>
      <x:c r="I252" s="49" t="str">
        <x:v>Non-Minority</x:v>
      </x:c>
      <x:c r="J252" s="49" t="str">
        <x:v>Savitribai Phule Pune University</x:v>
      </x:c>
      <x:c r="K252" s="49" t="n">
        <x:v>6</x:v>
      </x:c>
      <x:c r="L252" s="49" t="n">
        <x:v>133</x:v>
      </x:c>
      <x:c r="M252" s="49" t="n">
        <x:v>104</x:v>
      </x:c>
      <x:c r="N252" s="49" t="n">
        <x:v>29</x:v>
      </x:c>
      <x:c r="O252" s="49"/>
      <x:c r="P252" s="49"/>
      <x:c r="Q252" s="49" t="str">
        <x:v>Parsed from official 2025-26 PDF</x:v>
      </x:c>
      <x:c r="R252" s="49" t="str">
        <x:v>2024-25</x:v>
      </x:c>
      <x:c r="S252" s="64" t="n">
        <x:v>87951</x:v>
      </x:c>
      <x:c r="T252" s="64" t="n">
        <x:v>12049</x:v>
      </x:c>
      <x:c r="U252" s="64" t="n">
        <x:v>100000</x:v>
      </x:c>
      <x:c r="V252" s="49" t="str">
        <x:v>Normal FRA-approved annual tuition + development fee; not seat-type-specific</x:v>
      </x:c>
      <x:c r="W252" s="49"/>
      <x:c r="X252" s="49"/>
      <x:c r="Y252" s="68"/>
      <x:c r="Z252" s="49"/>
      <x:c r="AA252" s="49"/>
      <x:c r="AB252" s="49" t="str">
        <x:v>Not centrally verified</x:v>
      </x:c>
      <x:c r="AC252" s="49" t="str">
        <x:v>Not centrally verified</x:v>
      </x:c>
      <x:c r="AD252" s="49" t="str">
        <x:v>Not centrally verified</x:v>
      </x:c>
      <x:c r="AE252" s="49" t="str">
        <x:v>Not available in a standardized official source</x:v>
      </x:c>
      <x:c r="AF252" s="49" t="str">
        <x:v>Not included: no official standardized source; cutoff-derived proxy excluded</x:v>
      </x:c>
      <x:c r="AG252" s="49" t="str">
        <x:v>https://dse2025.mahacet.org.in/dse25/admin/allotment/cap2/6203_4.pdf</x:v>
      </x:c>
      <x:c r="AH252" s="49" t="str">
        <x:v>https://fe2025.mahacet.org/StaticPages/frmInstituteSummary.aspx?InstituteCode=06203</x:v>
      </x:c>
      <x:c r="AI252" s="49"/>
      <x:c r="AJ252" s="49" t="str"/>
      <x:c r="AK252" s="69" t="n">
        <x:f>IF(W252&lt;&gt;"",50,IF(X252="101-150",45,IF(X252="151-200",40,IF(X252="201-300",35,0))))+IF(H252="Autonomous",20,0)+IF(OR(G252="Government",G252="Government-Aided",G252="University Department",G252="University",G252="University Autonomous"),15,0)+MIN(K252,10)+IF(AA252&lt;&gt;"",3,0)+IF(U252&lt;&gt;"",2,0)</x:f>
        <x:v>8</x:v>
      </x:c>
      <x:c r="AL252" s="49" t="str">
        <x:f>IF(AK252&gt;=70,"Official/high-evidence reference",IF(AK252&gt;=40,"Planning reference","Broader option"))</x:f>
        <x:v>Broader option</x:v>
      </x:c>
    </x:row>
    <x:row r="253">
      <x:c r="A253" s="63" t="n">
        <x:v>6206</x:v>
      </x:c>
      <x:c r="B253" s="49" t="str">
        <x:v>Pune District Education Association's College of Engineering, Manjari(Bk), Hadapsar, Pune</x:v>
      </x:c>
      <x:c r="C253" s="49" t="str">
        <x:v>Maharashtra</x:v>
      </x:c>
      <x:c r="D253" s="49" t="str">
        <x:v>Pune</x:v>
      </x:c>
      <x:c r="E253" s="49" t="str">
        <x:v>Pune</x:v>
      </x:c>
      <x:c r="F253" s="49" t="str">
        <x:v>Hadapsar-Manjari Road, Manjari(BK),Dist. Pune</x:v>
      </x:c>
      <x:c r="G253" s="49" t="str">
        <x:v>Un-Aided</x:v>
      </x:c>
      <x:c r="H253" s="49" t="str">
        <x:v>Non-Autonomous</x:v>
      </x:c>
      <x:c r="I253" s="49" t="str">
        <x:v>Non-Minority</x:v>
      </x:c>
      <x:c r="J253" s="49" t="str">
        <x:v>Savitribai Phule Pune University</x:v>
      </x:c>
      <x:c r="K253" s="49" t="n">
        <x:v>5</x:v>
      </x:c>
      <x:c r="L253" s="49" t="n">
        <x:v>107</x:v>
      </x:c>
      <x:c r="M253" s="49" t="n">
        <x:v>86</x:v>
      </x:c>
      <x:c r="N253" s="49" t="n">
        <x:v>21</x:v>
      </x:c>
      <x:c r="O253" s="49"/>
      <x:c r="P253" s="49"/>
      <x:c r="Q253" s="49" t="str">
        <x:v>Parsed from official 2025-26 PDF</x:v>
      </x:c>
      <x:c r="R253" s="49" t="str">
        <x:v>2024-25</x:v>
      </x:c>
      <x:c r="S253" s="64" t="n">
        <x:v>79857</x:v>
      </x:c>
      <x:c r="T253" s="64" t="n">
        <x:v>10143</x:v>
      </x:c>
      <x:c r="U253" s="64" t="n">
        <x:v>90000</x:v>
      </x:c>
      <x:c r="V253" s="49" t="str">
        <x:v>Normal FRA-approved annual tuition + development fee; not seat-type-specific</x:v>
      </x:c>
      <x:c r="W253" s="49"/>
      <x:c r="X253" s="49"/>
      <x:c r="Y253" s="68"/>
      <x:c r="Z253" s="49"/>
      <x:c r="AA253" s="49"/>
      <x:c r="AB253" s="49" t="str">
        <x:v>Not centrally verified</x:v>
      </x:c>
      <x:c r="AC253" s="49" t="str">
        <x:v>Not centrally verified</x:v>
      </x:c>
      <x:c r="AD253" s="49" t="str">
        <x:v>Not centrally verified</x:v>
      </x:c>
      <x:c r="AE253" s="49" t="str">
        <x:v>Not available in a standardized official source</x:v>
      </x:c>
      <x:c r="AF253" s="49" t="str">
        <x:v>Not included: no official standardized source; cutoff-derived proxy excluded</x:v>
      </x:c>
      <x:c r="AG253" s="49" t="str">
        <x:v>https://dse2025.mahacet.org.in/dse25/admin/allotment/cap2/6206_4.pdf</x:v>
      </x:c>
      <x:c r="AH253" s="49" t="str">
        <x:v>https://fe2025.mahacet.org/StaticPages/frmInstituteSummary.aspx?InstituteCode=06206</x:v>
      </x:c>
      <x:c r="AI253" s="49"/>
      <x:c r="AJ253" s="49" t="str"/>
      <x:c r="AK253" s="69" t="n">
        <x:f>IF(W253&lt;&gt;"",50,IF(X253="101-150",45,IF(X253="151-200",40,IF(X253="201-300",35,0))))+IF(H253="Autonomous",20,0)+IF(OR(G253="Government",G253="Government-Aided",G253="University Department",G253="University",G253="University Autonomous"),15,0)+MIN(K253,10)+IF(AA253&lt;&gt;"",3,0)+IF(U253&lt;&gt;"",2,0)</x:f>
        <x:v>7</x:v>
      </x:c>
      <x:c r="AL253" s="49" t="str">
        <x:f>IF(AK253&gt;=70,"Official/high-evidence reference",IF(AK253&gt;=40,"Planning reference","Broader option"))</x:f>
        <x:v>Broader option</x:v>
      </x:c>
    </x:row>
    <x:row r="254">
      <x:c r="A254" s="63" t="n">
        <x:v>6207</x:v>
      </x:c>
      <x:c r="B254" s="49" t="str">
        <x:v>Dr. D. Y. Patil Unitech Society's Dr. D. Y. Patil Institute of Technology, Pimpri, Pune</x:v>
      </x:c>
      <x:c r="C254" s="49" t="str">
        <x:v>Maharashtra</x:v>
      </x:c>
      <x:c r="D254" s="49" t="str">
        <x:v>Pune</x:v>
      </x:c>
      <x:c r="E254" s="49" t="str">
        <x:v>Pune</x:v>
      </x:c>
      <x:c r="F254" s="49" t="str">
        <x:v>Sant Tukaram Nagar, Pimpri, Pune“</x:v>
      </x:c>
      <x:c r="G254" s="49" t="str">
        <x:v>Un-Aided</x:v>
      </x:c>
      <x:c r="H254" s="49" t="str">
        <x:v>Non-Autonomous</x:v>
      </x:c>
      <x:c r="I254" s="49" t="str">
        <x:v>Non-Minority</x:v>
      </x:c>
      <x:c r="J254" s="49" t="str">
        <x:v>Savitribai Phule Pune University</x:v>
      </x:c>
      <x:c r="K254" s="49" t="n">
        <x:v>9</x:v>
      </x:c>
      <x:c r="L254" s="49" t="n">
        <x:v>167</x:v>
      </x:c>
      <x:c r="M254" s="49" t="n">
        <x:v>142</x:v>
      </x:c>
      <x:c r="N254" s="49" t="n">
        <x:v>25</x:v>
      </x:c>
      <x:c r="O254" s="49"/>
      <x:c r="P254" s="49"/>
      <x:c r="Q254" s="49" t="str">
        <x:v>Parsed from official 2025-26 PDF</x:v>
      </x:c>
      <x:c r="R254" s="49" t="str">
        <x:v>2024-25</x:v>
      </x:c>
      <x:c r="S254" s="64" t="n">
        <x:v>90000</x:v>
      </x:c>
      <x:c r="T254" s="64" t="n">
        <x:v>13500</x:v>
      </x:c>
      <x:c r="U254" s="64" t="n">
        <x:v>103500</x:v>
      </x:c>
      <x:c r="V254" s="49" t="str">
        <x:v>Normal FRA-approved annual tuition + development fee; not seat-type-specific</x:v>
      </x:c>
      <x:c r="W254" s="49"/>
      <x:c r="X254" s="49" t="str">
        <x:v>151-200</x:v>
      </x:c>
      <x:c r="Y254" s="68"/>
      <x:c r="Z254" s="49" t="str">
        <x:v>Dr. D. Y. Patil Institute of Technology</x:v>
      </x:c>
      <x:c r="AA254" s="49" t="str">
        <x:v>https://engg.dypvp.edu.in/</x:v>
      </x:c>
      <x:c r="AB254" s="49" t="str">
        <x:v>Verified official domain</x:v>
      </x:c>
      <x:c r="AC254" s="49" t="str">
        <x:v>Not centrally verified</x:v>
      </x:c>
      <x:c r="AD254" s="49" t="str">
        <x:v>Not centrally verified</x:v>
      </x:c>
      <x:c r="AE254" s="49" t="str">
        <x:v>Not available in a standardized official source</x:v>
      </x:c>
      <x:c r="AF254" s="49" t="str">
        <x:v>Not included: no official standardized source; cutoff-derived proxy excluded</x:v>
      </x:c>
      <x:c r="AG254" s="49" t="str">
        <x:v>https://dse2025.mahacet.org.in/dse25/admin/allotment/cap2/6207_4.pdf</x:v>
      </x:c>
      <x:c r="AH254" s="49" t="str">
        <x:v>https://fe2025.mahacet.org/StaticPages/frmInstituteSummary.aspx?InstituteCode=06207</x:v>
      </x:c>
      <x:c r="AI254" s="49" t="str">
        <x:v>https://www.nirfindia.org/Rankings/2025/EngineeringRanking200.html</x:v>
      </x:c>
      <x:c r="AJ254" s="49" t="str"/>
      <x:c r="AK254" s="69" t="n">
        <x:f>IF(W254&lt;&gt;"",50,IF(X254="101-150",45,IF(X254="151-200",40,IF(X254="201-300",35,0))))+IF(H254="Autonomous",20,0)+IF(OR(G254="Government",G254="Government-Aided",G254="University Department",G254="University",G254="University Autonomous"),15,0)+MIN(K254,10)+IF(AA254&lt;&gt;"",3,0)+IF(U254&lt;&gt;"",2,0)</x:f>
        <x:v>54</x:v>
      </x:c>
      <x:c r="AL254" s="49" t="str">
        <x:f>IF(AK254&gt;=70,"Official/high-evidence reference",IF(AK254&gt;=40,"Planning reference","Broader option"))</x:f>
        <x:v>Planning reference</x:v>
      </x:c>
    </x:row>
    <x:row r="255">
      <x:c r="A255" s="63" t="n">
        <x:v>6214</x:v>
      </x:c>
      <x:c r="B255" s="49" t="str">
        <x:v>K. E. Society's Rajarambapu Institute of Technology, Walwa, Sangli</x:v>
      </x:c>
      <x:c r="C255" s="49" t="str">
        <x:v>Maharashtra</x:v>
      </x:c>
      <x:c r="D255" s="49" t="str">
        <x:v>Pune</x:v>
      </x:c>
      <x:c r="E255" s="49" t="str">
        <x:v>Sangli</x:v>
      </x:c>
      <x:c r="F255" s="49" t="str">
        <x:v>Rajaramnagar, A/p. Sakhrale, Tal: Walwa Dist. Sangli</x:v>
      </x:c>
      <x:c r="G255" s="49" t="str">
        <x:v>Un-Aided</x:v>
      </x:c>
      <x:c r="H255" s="49" t="str">
        <x:v>Autonomous</x:v>
      </x:c>
      <x:c r="I255" s="49" t="str">
        <x:v>Non-Minority</x:v>
      </x:c>
      <x:c r="J255" s="49" t="str">
        <x:v>Shivaji University</x:v>
      </x:c>
      <x:c r="K255" s="49" t="n">
        <x:v>9</x:v>
      </x:c>
      <x:c r="L255" s="49" t="n">
        <x:v>134</x:v>
      </x:c>
      <x:c r="M255" s="49" t="n">
        <x:v>118</x:v>
      </x:c>
      <x:c r="N255" s="49" t="n">
        <x:v>16</x:v>
      </x:c>
      <x:c r="O255" s="49"/>
      <x:c r="P255" s="49"/>
      <x:c r="Q255" s="49" t="str">
        <x:v>Parsed from official 2025-26 PDF</x:v>
      </x:c>
      <x:c r="R255" s="49" t="str">
        <x:v>2024-25</x:v>
      </x:c>
      <x:c r="S255" s="64" t="n">
        <x:v>136522</x:v>
      </x:c>
      <x:c r="T255" s="64" t="n">
        <x:v>20478</x:v>
      </x:c>
      <x:c r="U255" s="64" t="n">
        <x:v>157000</x:v>
      </x:c>
      <x:c r="V255" s="49" t="str">
        <x:v>Normal FRA-approved annual tuition + development fee; not seat-type-specific</x:v>
      </x:c>
      <x:c r="W255" s="49"/>
      <x:c r="X255" s="49"/>
      <x:c r="Y255" s="68"/>
      <x:c r="Z255" s="49"/>
      <x:c r="AA255" s="49" t="str">
        <x:v>https://ritindia.edu/</x:v>
      </x:c>
      <x:c r="AB255" s="49" t="str">
        <x:v>Verified official domain</x:v>
      </x:c>
      <x:c r="AC255" s="49" t="str">
        <x:v>Not centrally verified</x:v>
      </x:c>
      <x:c r="AD255" s="49" t="str">
        <x:v>Not centrally verified</x:v>
      </x:c>
      <x:c r="AE255" s="49" t="str">
        <x:v>Not available in a standardized official source</x:v>
      </x:c>
      <x:c r="AF255" s="49" t="str">
        <x:v>Not included: no official standardized source; cutoff-derived proxy excluded</x:v>
      </x:c>
      <x:c r="AG255" s="49" t="str">
        <x:v>https://dse2025.mahacet.org.in/dse25/admin/allotment/cap2/6214_4.pdf</x:v>
      </x:c>
      <x:c r="AH255" s="49" t="str">
        <x:v>https://fe2025.mahacet.org/StaticPages/frmInstituteSummary.aspx?InstituteCode=06214</x:v>
      </x:c>
      <x:c r="AI255" s="49"/>
      <x:c r="AJ255" s="49" t="str"/>
      <x:c r="AK255" s="69" t="n">
        <x:f>IF(W255&lt;&gt;"",50,IF(X255="101-150",45,IF(X255="151-200",40,IF(X255="201-300",35,0))))+IF(H255="Autonomous",20,0)+IF(OR(G255="Government",G255="Government-Aided",G255="University Department",G255="University",G255="University Autonomous"),15,0)+MIN(K255,10)+IF(AA255&lt;&gt;"",3,0)+IF(U255&lt;&gt;"",2,0)</x:f>
        <x:v>34</x:v>
      </x:c>
      <x:c r="AL255" s="49" t="str">
        <x:f>IF(AK255&gt;=70,"Official/high-evidence reference",IF(AK255&gt;=40,"Planning reference","Broader option"))</x:f>
        <x:v>Broader option</x:v>
      </x:c>
    </x:row>
    <x:row r="256">
      <x:c r="A256" s="63" t="n">
        <x:v>6217</x:v>
      </x:c>
      <x:c r="B256" s="49" t="str">
        <x:v>Shri. Balasaheb Mane Shikshan Prasarak Mandal's, Ashokrao Mane Group of Institutions</x:v>
      </x:c>
      <x:c r="C256" s="49" t="str">
        <x:v>Maharashtra</x:v>
      </x:c>
      <x:c r="D256" s="49" t="str">
        <x:v>Pune</x:v>
      </x:c>
      <x:c r="E256" s="49" t="str">
        <x:v>Kolhapur</x:v>
      </x:c>
      <x:c r="F256" s="49" t="str">
        <x:v>NH-4, Pune Banglore highway, AT Wathar Tarf Wadgaon, Taluka-Hathanangle, Dist. Kolhapur</x:v>
      </x:c>
      <x:c r="G256" s="49" t="str">
        <x:v>Un-Aided</x:v>
      </x:c>
      <x:c r="H256" s="49" t="str">
        <x:v>Autonomous</x:v>
      </x:c>
      <x:c r="I256" s="49" t="str">
        <x:v>Non-Minority</x:v>
      </x:c>
      <x:c r="J256" s="49" t="str">
        <x:v>Dr. Babasaheb Ambedkar Technological University,Lonere</x:v>
      </x:c>
      <x:c r="K256" s="49" t="n">
        <x:v>8</x:v>
      </x:c>
      <x:c r="L256" s="49" t="n">
        <x:v>201</x:v>
      </x:c>
      <x:c r="M256" s="49" t="n">
        <x:v>171</x:v>
      </x:c>
      <x:c r="N256" s="49" t="n">
        <x:v>30</x:v>
      </x:c>
      <x:c r="O256" s="49"/>
      <x:c r="P256" s="49"/>
      <x:c r="Q256" s="49" t="str">
        <x:v>Parsed from official 2025-26 PDF</x:v>
      </x:c>
      <x:c r="R256" s="49" t="str">
        <x:v>2024-25</x:v>
      </x:c>
      <x:c r="S256" s="64" t="n">
        <x:v>95927</x:v>
      </x:c>
      <x:c r="T256" s="64" t="n">
        <x:v>10073</x:v>
      </x:c>
      <x:c r="U256" s="64" t="n">
        <x:v>106000</x:v>
      </x:c>
      <x:c r="V256" s="49" t="str">
        <x:v>Normal FRA-approved annual tuition + development fee; not seat-type-specific</x:v>
      </x:c>
      <x:c r="W256" s="49"/>
      <x:c r="X256" s="49"/>
      <x:c r="Y256" s="68"/>
      <x:c r="Z256" s="49"/>
      <x:c r="AA256" s="49"/>
      <x:c r="AB256" s="49" t="str">
        <x:v>Not centrally verified</x:v>
      </x:c>
      <x:c r="AC256" s="49" t="str">
        <x:v>Not centrally verified</x:v>
      </x:c>
      <x:c r="AD256" s="49" t="str">
        <x:v>Not centrally verified</x:v>
      </x:c>
      <x:c r="AE256" s="49" t="str">
        <x:v>Not available in a standardized official source</x:v>
      </x:c>
      <x:c r="AF256" s="49" t="str">
        <x:v>Not included: no official standardized source; cutoff-derived proxy excluded</x:v>
      </x:c>
      <x:c r="AG256" s="49" t="str">
        <x:v>https://dse2025.mahacet.org.in/dse25/admin/allotment/cap2/6217_4.pdf</x:v>
      </x:c>
      <x:c r="AH256" s="49" t="str">
        <x:v>https://fe2025.mahacet.org/StaticPages/frmInstituteSummary.aspx?InstituteCode=06217</x:v>
      </x:c>
      <x:c r="AI256" s="49"/>
      <x:c r="AJ256" s="49" t="str"/>
      <x:c r="AK256" s="69" t="n">
        <x:f>IF(W256&lt;&gt;"",50,IF(X256="101-150",45,IF(X256="151-200",40,IF(X256="201-300",35,0))))+IF(H256="Autonomous",20,0)+IF(OR(G256="Government",G256="Government-Aided",G256="University Department",G256="University",G256="University Autonomous"),15,0)+MIN(K256,10)+IF(AA256&lt;&gt;"",3,0)+IF(U256&lt;&gt;"",2,0)</x:f>
        <x:v>30</x:v>
      </x:c>
      <x:c r="AL256" s="49" t="str">
        <x:f>IF(AK256&gt;=70,"Official/high-evidence reference",IF(AK256&gt;=40,"Planning reference","Broader option"))</x:f>
        <x:v>Broader option</x:v>
      </x:c>
    </x:row>
    <x:row r="257">
      <x:c r="A257" s="63" t="n">
        <x:v>6219</x:v>
      </x:c>
      <x:c r="B257" s="49" t="str">
        <x:v>KSGBS's Bharat- Ratna Indira Gandhi College of Engineering, Kegaon, Solapur</x:v>
      </x:c>
      <x:c r="C257" s="49" t="str">
        <x:v>Maharashtra</x:v>
      </x:c>
      <x:c r="D257" s="49" t="str">
        <x:v>Pune</x:v>
      </x:c>
      <x:c r="E257" s="49" t="str">
        <x:v>Solapur</x:v>
      </x:c>
      <x:c r="F257" s="49" t="str">
        <x:v>Gut. No.58, Kegaon, Solapur Pune Highway, Nr Solapur University,Solapur</x:v>
      </x:c>
      <x:c r="G257" s="49" t="str">
        <x:v>Un-Aided</x:v>
      </x:c>
      <x:c r="H257" s="49" t="str">
        <x:v>Non-Autonomous</x:v>
      </x:c>
      <x:c r="I257" s="49" t="str">
        <x:v>Non-Minority</x:v>
      </x:c>
      <x:c r="J257" s="49" t="str">
        <x:v>Dr. Babasaheb Ambedkar Technological University,Lonere</x:v>
      </x:c>
      <x:c r="K257" s="49" t="n">
        <x:v>6</x:v>
      </x:c>
      <x:c r="L257" s="49" t="n">
        <x:v>309</x:v>
      </x:c>
      <x:c r="M257" s="49" t="n">
        <x:v>278</x:v>
      </x:c>
      <x:c r="N257" s="49" t="n">
        <x:v>31</x:v>
      </x:c>
      <x:c r="O257" s="49"/>
      <x:c r="P257" s="49"/>
      <x:c r="Q257" s="49" t="str">
        <x:v>Parsed from official 2025-26 PDF</x:v>
      </x:c>
      <x:c r="R257" s="49" t="str">
        <x:v>2024-25</x:v>
      </x:c>
      <x:c r="S257" s="64" t="n">
        <x:v>55855</x:v>
      </x:c>
      <x:c r="T257" s="64" t="n">
        <x:v>6145</x:v>
      </x:c>
      <x:c r="U257" s="64" t="n">
        <x:v>62000</x:v>
      </x:c>
      <x:c r="V257" s="49" t="str">
        <x:v>Normal FRA-approved annual tuition + development fee; not seat-type-specific</x:v>
      </x:c>
      <x:c r="W257" s="49"/>
      <x:c r="X257" s="49"/>
      <x:c r="Y257" s="68"/>
      <x:c r="Z257" s="49"/>
      <x:c r="AA257" s="49"/>
      <x:c r="AB257" s="49" t="str">
        <x:v>Not centrally verified</x:v>
      </x:c>
      <x:c r="AC257" s="49" t="str">
        <x:v>Not centrally verified</x:v>
      </x:c>
      <x:c r="AD257" s="49" t="str">
        <x:v>Not centrally verified</x:v>
      </x:c>
      <x:c r="AE257" s="49" t="str">
        <x:v>Not available in a standardized official source</x:v>
      </x:c>
      <x:c r="AF257" s="49" t="str">
        <x:v>Not included: no official standardized source; cutoff-derived proxy excluded</x:v>
      </x:c>
      <x:c r="AG257" s="49" t="str">
        <x:v>https://dse2025.mahacet.org.in/dse25/admin/allotment/cap2/6219_4.pdf</x:v>
      </x:c>
      <x:c r="AH257" s="49" t="str">
        <x:v>https://fe2025.mahacet.org/StaticPages/frmInstituteSummary.aspx?InstituteCode=06219</x:v>
      </x:c>
      <x:c r="AI257" s="49"/>
      <x:c r="AJ257" s="49" t="str"/>
      <x:c r="AK257" s="69" t="n">
        <x:f>IF(W257&lt;&gt;"",50,IF(X257="101-150",45,IF(X257="151-200",40,IF(X257="201-300",35,0))))+IF(H257="Autonomous",20,0)+IF(OR(G257="Government",G257="Government-Aided",G257="University Department",G257="University",G257="University Autonomous"),15,0)+MIN(K257,10)+IF(AA257&lt;&gt;"",3,0)+IF(U257&lt;&gt;"",2,0)</x:f>
        <x:v>8</x:v>
      </x:c>
      <x:c r="AL257" s="49" t="str">
        <x:f>IF(AK257&gt;=70,"Official/high-evidence reference",IF(AK257&gt;=40,"Planning reference","Broader option"))</x:f>
        <x:v>Broader option</x:v>
      </x:c>
    </x:row>
    <x:row r="258">
      <x:c r="A258" s="63" t="n">
        <x:v>6220</x:v>
      </x:c>
      <x:c r="B258" s="49" t="str">
        <x:v>SVERI's College of Engineering, Pandharpur</x:v>
      </x:c>
      <x:c r="C258" s="49" t="str">
        <x:v>Maharashtra</x:v>
      </x:c>
      <x:c r="D258" s="49" t="str">
        <x:v>Pune</x:v>
      </x:c>
      <x:c r="E258" s="49" t="str">
        <x:v>Solapur</x:v>
      </x:c>
      <x:c r="F258" s="49" t="str">
        <x:v>P.O. Box No. 54, Gopalpur - Ranjani Road, Gopalpur, Pandharpur Dist. Solapur</x:v>
      </x:c>
      <x:c r="G258" s="49" t="str">
        <x:v>Un-Aided</x:v>
      </x:c>
      <x:c r="H258" s="49" t="str">
        <x:v>Autonomous</x:v>
      </x:c>
      <x:c r="I258" s="49" t="str">
        <x:v>Non-Minority</x:v>
      </x:c>
      <x:c r="J258" s="49" t="str">
        <x:v>Punyashlok Ahilyadevi Holkar Solapur University</x:v>
      </x:c>
      <x:c r="K258" s="49" t="n">
        <x:v>5</x:v>
      </x:c>
      <x:c r="L258" s="49" t="n">
        <x:v>102</x:v>
      </x:c>
      <x:c r="M258" s="49" t="n">
        <x:v>83</x:v>
      </x:c>
      <x:c r="N258" s="49" t="n">
        <x:v>19</x:v>
      </x:c>
      <x:c r="O258" s="49"/>
      <x:c r="P258" s="49"/>
      <x:c r="Q258" s="49" t="str">
        <x:v>Parsed from official 2025-26 PDF</x:v>
      </x:c>
      <x:c r="R258" s="49" t="str">
        <x:v>2024-25</x:v>
      </x:c>
      <x:c r="S258" s="64" t="n">
        <x:v>87184</x:v>
      </x:c>
      <x:c r="T258" s="64" t="n">
        <x:v>12816</x:v>
      </x:c>
      <x:c r="U258" s="64" t="n">
        <x:v>100000</x:v>
      </x:c>
      <x:c r="V258" s="49" t="str">
        <x:v>Normal FRA-approved annual tuition + development fee; not seat-type-specific</x:v>
      </x:c>
      <x:c r="W258" s="49"/>
      <x:c r="X258" s="49"/>
      <x:c r="Y258" s="68"/>
      <x:c r="Z258" s="49"/>
      <x:c r="AA258" s="49"/>
      <x:c r="AB258" s="49" t="str">
        <x:v>Not centrally verified</x:v>
      </x:c>
      <x:c r="AC258" s="49" t="str">
        <x:v>Not centrally verified</x:v>
      </x:c>
      <x:c r="AD258" s="49" t="str">
        <x:v>Not centrally verified</x:v>
      </x:c>
      <x:c r="AE258" s="49" t="str">
        <x:v>Not available in a standardized official source</x:v>
      </x:c>
      <x:c r="AF258" s="49" t="str">
        <x:v>Not included: no official standardized source; cutoff-derived proxy excluded</x:v>
      </x:c>
      <x:c r="AG258" s="49" t="str">
        <x:v>https://dse2025.mahacet.org.in/dse25/admin/allotment/cap2/6220_4.pdf</x:v>
      </x:c>
      <x:c r="AH258" s="49" t="str">
        <x:v>https://fe2025.mahacet.org/StaticPages/frmInstituteSummary.aspx?InstituteCode=06220</x:v>
      </x:c>
      <x:c r="AI258" s="49"/>
      <x:c r="AJ258" s="49" t="str"/>
      <x:c r="AK258" s="69" t="n">
        <x:f>IF(W258&lt;&gt;"",50,IF(X258="101-150",45,IF(X258="151-200",40,IF(X258="201-300",35,0))))+IF(H258="Autonomous",20,0)+IF(OR(G258="Government",G258="Government-Aided",G258="University Department",G258="University",G258="University Autonomous"),15,0)+MIN(K258,10)+IF(AA258&lt;&gt;"",3,0)+IF(U258&lt;&gt;"",2,0)</x:f>
        <x:v>27</x:v>
      </x:c>
      <x:c r="AL258" s="49" t="str">
        <x:f>IF(AK258&gt;=70,"Official/high-evidence reference",IF(AK258&gt;=40,"Planning reference","Broader option"))</x:f>
        <x:v>Broader option</x:v>
      </x:c>
    </x:row>
    <x:row r="259">
      <x:c r="A259" s="63" t="n">
        <x:v>6222</x:v>
      </x:c>
      <x:c r="B259" s="49" t="str">
        <x:v>Dattajirao Kadam Technical Education Society's Textile &amp; Engineering Institute, Ichalkaranji.</x:v>
      </x:c>
      <x:c r="C259" s="49" t="str">
        <x:v>Maharashtra</x:v>
      </x:c>
      <x:c r="D259" s="49" t="str">
        <x:v>Pune</x:v>
      </x:c>
      <x:c r="E259" s="49" t="str">
        <x:v>Kolhapur</x:v>
      </x:c>
      <x:c r="F259" s="49" t="str">
        <x:v>Post Box No. 130, Rajwada, Ichalkaranji. Dist. Kolhapur</x:v>
      </x:c>
      <x:c r="G259" s="49" t="str">
        <x:v>Un-Aided</x:v>
      </x:c>
      <x:c r="H259" s="49" t="str">
        <x:v>Autonomous</x:v>
      </x:c>
      <x:c r="I259" s="49" t="str">
        <x:v>Non-Minority</x:v>
      </x:c>
      <x:c r="J259" s="49" t="str">
        <x:v>Shivaji University</x:v>
      </x:c>
      <x:c r="K259" s="49" t="n">
        <x:v>12</x:v>
      </x:c>
      <x:c r="L259" s="49" t="n">
        <x:v>147</x:v>
      </x:c>
      <x:c r="M259" s="49" t="n">
        <x:v>131</x:v>
      </x:c>
      <x:c r="N259" s="49" t="n">
        <x:v>16</x:v>
      </x:c>
      <x:c r="O259" s="49"/>
      <x:c r="P259" s="49"/>
      <x:c r="Q259" s="49" t="str">
        <x:v>Parsed from official 2025-26 PDF</x:v>
      </x:c>
      <x:c r="R259" s="49" t="str">
        <x:v>2024-25</x:v>
      </x:c>
      <x:c r="S259" s="64" t="n">
        <x:v>95652</x:v>
      </x:c>
      <x:c r="T259" s="64" t="n">
        <x:v>14348</x:v>
      </x:c>
      <x:c r="U259" s="64" t="n">
        <x:v>110000</x:v>
      </x:c>
      <x:c r="V259" s="49" t="str">
        <x:v>Normal FRA-approved annual tuition + development fee; not seat-type-specific</x:v>
      </x:c>
      <x:c r="W259" s="49"/>
      <x:c r="X259" s="49"/>
      <x:c r="Y259" s="68"/>
      <x:c r="Z259" s="49"/>
      <x:c r="AA259" s="49"/>
      <x:c r="AB259" s="49" t="str">
        <x:v>Not centrally verified</x:v>
      </x:c>
      <x:c r="AC259" s="49" t="str">
        <x:v>Not centrally verified</x:v>
      </x:c>
      <x:c r="AD259" s="49" t="str">
        <x:v>Not centrally verified</x:v>
      </x:c>
      <x:c r="AE259" s="49" t="str">
        <x:v>Not available in a standardized official source</x:v>
      </x:c>
      <x:c r="AF259" s="49" t="str">
        <x:v>Not included: no official standardized source; cutoff-derived proxy excluded</x:v>
      </x:c>
      <x:c r="AG259" s="49" t="str">
        <x:v>https://dse2025.mahacet.org.in/dse25/admin/allotment/cap2/6222_4.pdf</x:v>
      </x:c>
      <x:c r="AH259" s="49" t="str">
        <x:v>https://fe2025.mahacet.org/StaticPages/frmInstituteSummary.aspx?InstituteCode=06222</x:v>
      </x:c>
      <x:c r="AI259" s="49"/>
      <x:c r="AJ259" s="49" t="str"/>
      <x:c r="AK259" s="69" t="n">
        <x:f>IF(W259&lt;&gt;"",50,IF(X259="101-150",45,IF(X259="151-200",40,IF(X259="201-300",35,0))))+IF(H259="Autonomous",20,0)+IF(OR(G259="Government",G259="Government-Aided",G259="University Department",G259="University",G259="University Autonomous"),15,0)+MIN(K259,10)+IF(AA259&lt;&gt;"",3,0)+IF(U259&lt;&gt;"",2,0)</x:f>
        <x:v>32</x:v>
      </x:c>
      <x:c r="AL259" s="49" t="str">
        <x:f>IF(AK259&gt;=70,"Official/high-evidence reference",IF(AK259&gt;=40,"Planning reference","Broader option"))</x:f>
        <x:v>Broader option</x:v>
      </x:c>
    </x:row>
    <x:row r="260">
      <x:c r="A260" s="63" t="n">
        <x:v>6223</x:v>
      </x:c>
      <x:c r="B260" s="49" t="str">
        <x:v>Pradnya Niketan Education Society's Nagesh Karajagi Orchid College of Engineering &amp; Technology, Solapur</x:v>
      </x:c>
      <x:c r="C260" s="49" t="str">
        <x:v>Maharashtra</x:v>
      </x:c>
      <x:c r="D260" s="49"/>
      <x:c r="E260" s="49" t="str">
        <x:v>Solapur</x:v>
      </x:c>
      <x:c r="F260" s="49"/>
      <x:c r="G260" s="49" t="str">
        <x:v>Un-Aided</x:v>
      </x:c>
      <x:c r="H260" s="49" t="str">
        <x:v>Autonomous</x:v>
      </x:c>
      <x:c r="I260" s="49" t="str">
        <x:v>Non-Minority / not stated</x:v>
      </x:c>
      <x:c r="J260" s="49"/>
      <x:c r="K260" s="49" t="n">
        <x:v>6</x:v>
      </x:c>
      <x:c r="L260" s="49" t="n">
        <x:v>91</x:v>
      </x:c>
      <x:c r="M260" s="49" t="n">
        <x:v>77</x:v>
      </x:c>
      <x:c r="N260" s="49" t="n">
        <x:v>14</x:v>
      </x:c>
      <x:c r="O260" s="49"/>
      <x:c r="P260" s="49"/>
      <x:c r="Q260" s="49" t="str">
        <x:v>Parsed from official 2025-26 PDF</x:v>
      </x:c>
      <x:c r="R260" s="49" t="str">
        <x:v>2024-25</x:v>
      </x:c>
      <x:c r="S260" s="64" t="n">
        <x:v>88780</x:v>
      </x:c>
      <x:c r="T260" s="64" t="n">
        <x:v>11720</x:v>
      </x:c>
      <x:c r="U260" s="64" t="n">
        <x:v>100500</x:v>
      </x:c>
      <x:c r="V260" s="49" t="str">
        <x:v>Normal FRA-approved annual tuition + development fee; not seat-type-specific</x:v>
      </x:c>
      <x:c r="W260" s="49"/>
      <x:c r="X260" s="49"/>
      <x:c r="Y260" s="68"/>
      <x:c r="Z260" s="49"/>
      <x:c r="AA260" s="49"/>
      <x:c r="AB260" s="49" t="str">
        <x:v>Not centrally verified</x:v>
      </x:c>
      <x:c r="AC260" s="49" t="str">
        <x:v>Not centrally verified</x:v>
      </x:c>
      <x:c r="AD260" s="49" t="str">
        <x:v>Not centrally verified</x:v>
      </x:c>
      <x:c r="AE260" s="49" t="str">
        <x:v>Not available in a standardized official source</x:v>
      </x:c>
      <x:c r="AF260" s="49" t="str">
        <x:v>Not included: no official standardized source; cutoff-derived proxy excluded</x:v>
      </x:c>
      <x:c r="AG260" s="49" t="str">
        <x:v>https://dse2025.mahacet.org.in/dse25/admin/allotment/cap2/6223_4.pdf</x:v>
      </x:c>
      <x:c r="AH260" s="49" t="str">
        <x:v>https://fe2025.mahacet.org/StaticPages/frmInstituteSummary.aspx?InstituteCode=06223</x:v>
      </x:c>
      <x:c r="AI260" s="49"/>
      <x:c r="AJ260" s="49" t="str"/>
      <x:c r="AK260" s="69" t="n">
        <x:f>IF(W260&lt;&gt;"",50,IF(X260="101-150",45,IF(X260="151-200",40,IF(X260="201-300",35,0))))+IF(H260="Autonomous",20,0)+IF(OR(G260="Government",G260="Government-Aided",G260="University Department",G260="University",G260="University Autonomous"),15,0)+MIN(K260,10)+IF(AA260&lt;&gt;"",3,0)+IF(U260&lt;&gt;"",2,0)</x:f>
        <x:v>28</x:v>
      </x:c>
      <x:c r="AL260" s="49" t="str">
        <x:f>IF(AK260&gt;=70,"Official/high-evidence reference",IF(AK260&gt;=40,"Planning reference","Broader option"))</x:f>
        <x:v>Broader option</x:v>
      </x:c>
    </x:row>
    <x:row r="261">
      <x:c r="A261" s="63" t="n">
        <x:v>6250</x:v>
      </x:c>
      <x:c r="B261" s="49" t="str">
        <x:v>D.Y. Patil College of Engineering and Technology, Kolhapur</x:v>
      </x:c>
      <x:c r="C261" s="49" t="str">
        <x:v>Maharashtra</x:v>
      </x:c>
      <x:c r="D261" s="49"/>
      <x:c r="E261" s="49" t="str">
        <x:v>Kolhapur</x:v>
      </x:c>
      <x:c r="F261" s="49"/>
      <x:c r="G261" s="49" t="str">
        <x:v>Un-Aided</x:v>
      </x:c>
      <x:c r="H261" s="49" t="str">
        <x:v>Autonomous</x:v>
      </x:c>
      <x:c r="I261" s="49" t="str">
        <x:v>Non-Minority / not stated</x:v>
      </x:c>
      <x:c r="J261" s="49"/>
      <x:c r="K261" s="49" t="n">
        <x:v>7</x:v>
      </x:c>
      <x:c r="L261" s="49" t="n">
        <x:v>160</x:v>
      </x:c>
      <x:c r="M261" s="49" t="n">
        <x:v>138</x:v>
      </x:c>
      <x:c r="N261" s="49" t="n">
        <x:v>22</x:v>
      </x:c>
      <x:c r="O261" s="49"/>
      <x:c r="P261" s="49"/>
      <x:c r="Q261" s="49" t="str">
        <x:v>Parsed from official 2025-26 PDF</x:v>
      </x:c>
      <x:c r="R261" s="49" t="str">
        <x:v>2024-25</x:v>
      </x:c>
      <x:c r="S261" s="64" t="n">
        <x:v>107826</x:v>
      </x:c>
      <x:c r="T261" s="64" t="n">
        <x:v>16174</x:v>
      </x:c>
      <x:c r="U261" s="64" t="n">
        <x:v>124000</x:v>
      </x:c>
      <x:c r="V261" s="49" t="str">
        <x:v>Normal FRA-approved annual tuition + development fee; not seat-type-specific</x:v>
      </x:c>
      <x:c r="W261" s="49"/>
      <x:c r="X261" s="49"/>
      <x:c r="Y261" s="68"/>
      <x:c r="Z261" s="49"/>
      <x:c r="AA261" s="49"/>
      <x:c r="AB261" s="49" t="str">
        <x:v>Not centrally verified</x:v>
      </x:c>
      <x:c r="AC261" s="49" t="str">
        <x:v>Not centrally verified</x:v>
      </x:c>
      <x:c r="AD261" s="49" t="str">
        <x:v>Not centrally verified</x:v>
      </x:c>
      <x:c r="AE261" s="49" t="str">
        <x:v>Not available in a standardized official source</x:v>
      </x:c>
      <x:c r="AF261" s="49" t="str">
        <x:v>Not included: no official standardized source; cutoff-derived proxy excluded</x:v>
      </x:c>
      <x:c r="AG261" s="49" t="str">
        <x:v>https://dse2025.mahacet.org.in/dse25/admin/allotment/cap2/6250_4.pdf</x:v>
      </x:c>
      <x:c r="AH261" s="49" t="str">
        <x:v>https://fe2025.mahacet.org/StaticPages/frmInstituteSummary.aspx?InstituteCode=06250</x:v>
      </x:c>
      <x:c r="AI261" s="49"/>
      <x:c r="AJ261" s="49" t="str"/>
      <x:c r="AK261" s="69" t="n">
        <x:f>IF(W261&lt;&gt;"",50,IF(X261="101-150",45,IF(X261="151-200",40,IF(X261="201-300",35,0))))+IF(H261="Autonomous",20,0)+IF(OR(G261="Government",G261="Government-Aided",G261="University Department",G261="University",G261="University Autonomous"),15,0)+MIN(K261,10)+IF(AA261&lt;&gt;"",3,0)+IF(U261&lt;&gt;"",2,0)</x:f>
        <x:v>29</x:v>
      </x:c>
      <x:c r="AL261" s="49" t="str">
        <x:f>IF(AK261&gt;=70,"Official/high-evidence reference",IF(AK261&gt;=40,"Planning reference","Broader option"))</x:f>
        <x:v>Broader option</x:v>
      </x:c>
    </x:row>
    <x:row r="262">
      <x:c r="A262" s="63" t="n">
        <x:v>6265</x:v>
      </x:c>
      <x:c r="B262" s="49" t="str">
        <x:v>Walchand Institute of Technology, Solapur</x:v>
      </x:c>
      <x:c r="C262" s="49" t="str">
        <x:v>Maharashtra</x:v>
      </x:c>
      <x:c r="D262" s="49"/>
      <x:c r="E262" s="49" t="str">
        <x:v>Solapur</x:v>
      </x:c>
      <x:c r="F262" s="49"/>
      <x:c r="G262" s="49" t="str">
        <x:v>Un-Aided</x:v>
      </x:c>
      <x:c r="H262" s="49" t="str">
        <x:v>Autonomous</x:v>
      </x:c>
      <x:c r="I262" s="49" t="str">
        <x:v>Minority</x:v>
      </x:c>
      <x:c r="J262" s="49"/>
      <x:c r="K262" s="49" t="n">
        <x:v>6</x:v>
      </x:c>
      <x:c r="L262" s="49" t="n">
        <x:v>66</x:v>
      </x:c>
      <x:c r="M262" s="49" t="n">
        <x:v>28</x:v>
      </x:c>
      <x:c r="N262" s="49"/>
      <x:c r="O262" s="49" t="n">
        <x:v>38</x:v>
      </x:c>
      <x:c r="P262" s="49"/>
      <x:c r="Q262" s="49" t="str">
        <x:v>Parsed from official 2025-26 PDF</x:v>
      </x:c>
      <x:c r="R262" s="49" t="str">
        <x:v>2024-25</x:v>
      </x:c>
      <x:c r="S262" s="64" t="n">
        <x:v>110435</x:v>
      </x:c>
      <x:c r="T262" s="64" t="n">
        <x:v>16565</x:v>
      </x:c>
      <x:c r="U262" s="64" t="n">
        <x:v>127000</x:v>
      </x:c>
      <x:c r="V262" s="49" t="str">
        <x:v>Normal FRA-approved annual tuition + development fee; not seat-type-specific</x:v>
      </x:c>
      <x:c r="W262" s="49"/>
      <x:c r="X262" s="49"/>
      <x:c r="Y262" s="68"/>
      <x:c r="Z262" s="49"/>
      <x:c r="AA262" s="49"/>
      <x:c r="AB262" s="49" t="str">
        <x:v>Not centrally verified</x:v>
      </x:c>
      <x:c r="AC262" s="49" t="str">
        <x:v>Not centrally verified</x:v>
      </x:c>
      <x:c r="AD262" s="49" t="str">
        <x:v>Not centrally verified</x:v>
      </x:c>
      <x:c r="AE262" s="49" t="str">
        <x:v>Not available in a standardized official source</x:v>
      </x:c>
      <x:c r="AF262" s="49" t="str">
        <x:v>Not included: no official standardized source; cutoff-derived proxy excluded</x:v>
      </x:c>
      <x:c r="AG262" s="49" t="str">
        <x:v>https://dse2025.mahacet.org.in/dse25/admin/allotment/cap2/6265_4.pdf</x:v>
      </x:c>
      <x:c r="AH262" s="49" t="str">
        <x:v>https://fe2025.mahacet.org/StaticPages/frmInstituteSummary.aspx?InstituteCode=06265</x:v>
      </x:c>
      <x:c r="AI262" s="49"/>
      <x:c r="AJ262" s="49" t="str"/>
      <x:c r="AK262" s="69" t="n">
        <x:f>IF(W262&lt;&gt;"",50,IF(X262="101-150",45,IF(X262="151-200",40,IF(X262="201-300",35,0))))+IF(H262="Autonomous",20,0)+IF(OR(G262="Government",G262="Government-Aided",G262="University Department",G262="University",G262="University Autonomous"),15,0)+MIN(K262,10)+IF(AA262&lt;&gt;"",3,0)+IF(U262&lt;&gt;"",2,0)</x:f>
        <x:v>28</x:v>
      </x:c>
      <x:c r="AL262" s="49" t="str">
        <x:f>IF(AK262&gt;=70,"Official/high-evidence reference",IF(AK262&gt;=40,"Planning reference","Broader option"))</x:f>
        <x:v>Broader option</x:v>
      </x:c>
    </x:row>
    <x:row r="263">
      <x:c r="A263" s="63" t="n">
        <x:v>6267</x:v>
      </x:c>
      <x:c r="B263" s="49" t="str">
        <x:v>Kolhapur Institute of Technology's College of Engineering(Autonomous), Kolhapur</x:v>
      </x:c>
      <x:c r="C263" s="49" t="str">
        <x:v>Maharashtra</x:v>
      </x:c>
      <x:c r="D263" s="49"/>
      <x:c r="E263" s="49" t="str">
        <x:v>Kolhapur</x:v>
      </x:c>
      <x:c r="F263" s="49"/>
      <x:c r="G263" s="49" t="str">
        <x:v>Un-Aided</x:v>
      </x:c>
      <x:c r="H263" s="49" t="str">
        <x:v>Autonomous</x:v>
      </x:c>
      <x:c r="I263" s="49" t="str">
        <x:v>Non-Minority / not stated</x:v>
      </x:c>
      <x:c r="J263" s="49"/>
      <x:c r="K263" s="49" t="n">
        <x:v>9</x:v>
      </x:c>
      <x:c r="L263" s="49" t="n">
        <x:v>161</x:v>
      </x:c>
      <x:c r="M263" s="49" t="n">
        <x:v>142</x:v>
      </x:c>
      <x:c r="N263" s="49" t="n">
        <x:v>19</x:v>
      </x:c>
      <x:c r="O263" s="49"/>
      <x:c r="P263" s="49"/>
      <x:c r="Q263" s="49" t="str">
        <x:v>Parsed from official 2025-26 PDF</x:v>
      </x:c>
      <x:c r="R263" s="49" t="str">
        <x:v>2024-25</x:v>
      </x:c>
      <x:c r="S263" s="64" t="n">
        <x:v>84783</x:v>
      </x:c>
      <x:c r="T263" s="64" t="n">
        <x:v>12717</x:v>
      </x:c>
      <x:c r="U263" s="64" t="n">
        <x:v>97500</x:v>
      </x:c>
      <x:c r="V263" s="49" t="str">
        <x:v>Normal FRA-approved annual tuition + development fee; not seat-type-specific</x:v>
      </x:c>
      <x:c r="W263" s="49"/>
      <x:c r="X263" s="49"/>
      <x:c r="Y263" s="68"/>
      <x:c r="Z263" s="49"/>
      <x:c r="AA263" s="49"/>
      <x:c r="AB263" s="49" t="str">
        <x:v>Not centrally verified</x:v>
      </x:c>
      <x:c r="AC263" s="49" t="str">
        <x:v>Not centrally verified</x:v>
      </x:c>
      <x:c r="AD263" s="49" t="str">
        <x:v>Not centrally verified</x:v>
      </x:c>
      <x:c r="AE263" s="49" t="str">
        <x:v>Not available in a standardized official source</x:v>
      </x:c>
      <x:c r="AF263" s="49" t="str">
        <x:v>Not included: no official standardized source; cutoff-derived proxy excluded</x:v>
      </x:c>
      <x:c r="AG263" s="49" t="str">
        <x:v>https://dse2025.mahacet.org.in/dse25/admin/allotment/cap2/6267_4.pdf</x:v>
      </x:c>
      <x:c r="AH263" s="49" t="str">
        <x:v>https://fe2025.mahacet.org/StaticPages/frmInstituteSummary.aspx?InstituteCode=06267</x:v>
      </x:c>
      <x:c r="AI263" s="49"/>
      <x:c r="AJ263" s="49" t="str"/>
      <x:c r="AK263" s="69" t="n">
        <x:f>IF(W263&lt;&gt;"",50,IF(X263="101-150",45,IF(X263="151-200",40,IF(X263="201-300",35,0))))+IF(H263="Autonomous",20,0)+IF(OR(G263="Government",G263="Government-Aided",G263="University Department",G263="University",G263="University Autonomous"),15,0)+MIN(K263,10)+IF(AA263&lt;&gt;"",3,0)+IF(U263&lt;&gt;"",2,0)</x:f>
        <x:v>31</x:v>
      </x:c>
      <x:c r="AL263" s="49" t="str">
        <x:f>IF(AK263&gt;=70,"Official/high-evidence reference",IF(AK263&gt;=40,"Planning reference","Broader option"))</x:f>
        <x:v>Broader option</x:v>
      </x:c>
    </x:row>
    <x:row r="264">
      <x:c r="A264" s="63" t="n">
        <x:v>6268</x:v>
      </x:c>
      <x:c r="B264" s="49" t="str">
        <x:v>Tatyasaheb Kore Institute of Engineering and Technology, Warananagar</x:v>
      </x:c>
      <x:c r="C264" s="49" t="str">
        <x:v>Maharashtra</x:v>
      </x:c>
      <x:c r="D264" s="49"/>
      <x:c r="E264" s="49" t="str">
        <x:v>Kolhapur</x:v>
      </x:c>
      <x:c r="F264" s="49"/>
      <x:c r="G264" s="49" t="str">
        <x:v>Un-Aided</x:v>
      </x:c>
      <x:c r="H264" s="49" t="str">
        <x:v>Autonomous</x:v>
      </x:c>
      <x:c r="I264" s="49" t="str">
        <x:v>Non-Minority / not stated</x:v>
      </x:c>
      <x:c r="J264" s="49"/>
      <x:c r="K264" s="49" t="n">
        <x:v>6</x:v>
      </x:c>
      <x:c r="L264" s="49" t="n">
        <x:v>117</x:v>
      </x:c>
      <x:c r="M264" s="49" t="n">
        <x:v>95</x:v>
      </x:c>
      <x:c r="N264" s="49" t="n">
        <x:v>22</x:v>
      </x:c>
      <x:c r="O264" s="49"/>
      <x:c r="P264" s="49"/>
      <x:c r="Q264" s="49" t="str">
        <x:v>Parsed from official 2025-26 PDF</x:v>
      </x:c>
      <x:c r="R264" s="49" t="str">
        <x:v>2024-25</x:v>
      </x:c>
      <x:c r="S264" s="64" t="n">
        <x:v>91304</x:v>
      </x:c>
      <x:c r="T264" s="64" t="n">
        <x:v>13696</x:v>
      </x:c>
      <x:c r="U264" s="64" t="n">
        <x:v>105000</x:v>
      </x:c>
      <x:c r="V264" s="49" t="str">
        <x:v>Normal FRA-approved annual tuition + development fee; not seat-type-specific</x:v>
      </x:c>
      <x:c r="W264" s="49"/>
      <x:c r="X264" s="49"/>
      <x:c r="Y264" s="68"/>
      <x:c r="Z264" s="49"/>
      <x:c r="AA264" s="49"/>
      <x:c r="AB264" s="49" t="str">
        <x:v>Not centrally verified</x:v>
      </x:c>
      <x:c r="AC264" s="49" t="str">
        <x:v>Not centrally verified</x:v>
      </x:c>
      <x:c r="AD264" s="49" t="str">
        <x:v>Not centrally verified</x:v>
      </x:c>
      <x:c r="AE264" s="49" t="str">
        <x:v>Not available in a standardized official source</x:v>
      </x:c>
      <x:c r="AF264" s="49" t="str">
        <x:v>Not included: no official standardized source; cutoff-derived proxy excluded</x:v>
      </x:c>
      <x:c r="AG264" s="49" t="str">
        <x:v>https://dse2025.mahacet.org.in/dse25/admin/allotment/cap2/6268_4.pdf</x:v>
      </x:c>
      <x:c r="AH264" s="49" t="str">
        <x:v>https://fe2025.mahacet.org/StaticPages/frmInstituteSummary.aspx?InstituteCode=06268</x:v>
      </x:c>
      <x:c r="AI264" s="49"/>
      <x:c r="AJ264" s="49" t="str"/>
      <x:c r="AK264" s="69" t="n">
        <x:f>IF(W264&lt;&gt;"",50,IF(X264="101-150",45,IF(X264="151-200",40,IF(X264="201-300",35,0))))+IF(H264="Autonomous",20,0)+IF(OR(G264="Government",G264="Government-Aided",G264="University Department",G264="University",G264="University Autonomous"),15,0)+MIN(K264,10)+IF(AA264&lt;&gt;"",3,0)+IF(U264&lt;&gt;"",2,0)</x:f>
        <x:v>28</x:v>
      </x:c>
      <x:c r="AL264" s="49" t="str">
        <x:f>IF(AK264&gt;=70,"Official/high-evidence reference",IF(AK264&gt;=40,"Planning reference","Broader option"))</x:f>
        <x:v>Broader option</x:v>
      </x:c>
    </x:row>
    <x:row r="265">
      <x:c r="A265" s="63" t="n">
        <x:v>6269</x:v>
      </x:c>
      <x:c r="B265" s="49" t="str">
        <x:v>Shetkari Shikshan Mandal's Pad. Vasantraodada Patil Institute of Technology, Budhgaon, Sangli</x:v>
      </x:c>
      <x:c r="C265" s="49" t="str">
        <x:v>Maharashtra</x:v>
      </x:c>
      <x:c r="D265" s="49"/>
      <x:c r="E265" s="49" t="str">
        <x:v>Sangli</x:v>
      </x:c>
      <x:c r="F265" s="49"/>
      <x:c r="G265" s="49" t="str">
        <x:v>Un-Aided</x:v>
      </x:c>
      <x:c r="H265" s="49" t="str">
        <x:v>Autonomous</x:v>
      </x:c>
      <x:c r="I265" s="49" t="str">
        <x:v>Non-Minority / not stated</x:v>
      </x:c>
      <x:c r="J265" s="49"/>
      <x:c r="K265" s="49" t="n">
        <x:v>9</x:v>
      </x:c>
      <x:c r="L265" s="49" t="n">
        <x:v>211</x:v>
      </x:c>
      <x:c r="M265" s="49" t="n">
        <x:v>186</x:v>
      </x:c>
      <x:c r="N265" s="49" t="n">
        <x:v>25</x:v>
      </x:c>
      <x:c r="O265" s="49"/>
      <x:c r="P265" s="49"/>
      <x:c r="Q265" s="49" t="str">
        <x:v>Parsed from official 2025-26 PDF</x:v>
      </x:c>
      <x:c r="R265" s="49" t="str">
        <x:v>2024-25</x:v>
      </x:c>
      <x:c r="S265" s="64" t="n">
        <x:v>83553</x:v>
      </x:c>
      <x:c r="T265" s="64" t="n">
        <x:v>11447</x:v>
      </x:c>
      <x:c r="U265" s="64" t="n">
        <x:v>95000</x:v>
      </x:c>
      <x:c r="V265" s="49" t="str">
        <x:v>Normal FRA-approved annual tuition + development fee; not seat-type-specific</x:v>
      </x:c>
      <x:c r="W265" s="49"/>
      <x:c r="X265" s="49"/>
      <x:c r="Y265" s="68"/>
      <x:c r="Z265" s="49"/>
      <x:c r="AA265" s="49"/>
      <x:c r="AB265" s="49" t="str">
        <x:v>Not centrally verified</x:v>
      </x:c>
      <x:c r="AC265" s="49" t="str">
        <x:v>Not centrally verified</x:v>
      </x:c>
      <x:c r="AD265" s="49" t="str">
        <x:v>Not centrally verified</x:v>
      </x:c>
      <x:c r="AE265" s="49" t="str">
        <x:v>Not available in a standardized official source</x:v>
      </x:c>
      <x:c r="AF265" s="49" t="str">
        <x:v>Not included: no official standardized source; cutoff-derived proxy excluded</x:v>
      </x:c>
      <x:c r="AG265" s="49" t="str">
        <x:v>https://dse2025.mahacet.org.in/dse25/admin/allotment/cap2/6269_4.pdf</x:v>
      </x:c>
      <x:c r="AH265" s="49" t="str">
        <x:v>https://fe2025.mahacet.org/StaticPages/frmInstituteSummary.aspx?InstituteCode=06269</x:v>
      </x:c>
      <x:c r="AI265" s="49"/>
      <x:c r="AJ265" s="49" t="str"/>
      <x:c r="AK265" s="69" t="n">
        <x:f>IF(W265&lt;&gt;"",50,IF(X265="101-150",45,IF(X265="151-200",40,IF(X265="201-300",35,0))))+IF(H265="Autonomous",20,0)+IF(OR(G265="Government",G265="Government-Aided",G265="University Department",G265="University",G265="University Autonomous"),15,0)+MIN(K265,10)+IF(AA265&lt;&gt;"",3,0)+IF(U265&lt;&gt;"",2,0)</x:f>
        <x:v>31</x:v>
      </x:c>
      <x:c r="AL265" s="49" t="str">
        <x:f>IF(AK265&gt;=70,"Official/high-evidence reference",IF(AK265&gt;=40,"Planning reference","Broader option"))</x:f>
        <x:v>Broader option</x:v>
      </x:c>
    </x:row>
    <x:row r="266">
      <x:c r="A266" s="63" t="n">
        <x:v>6270</x:v>
      </x:c>
      <x:c r="B266" s="49" t="str">
        <x:v>Rayat Shikshan Sanstha's Karmaveer Bhaurao Patil College of Engineering, Satara</x:v>
      </x:c>
      <x:c r="C266" s="49" t="str">
        <x:v>Maharashtra</x:v>
      </x:c>
      <x:c r="D266" s="49"/>
      <x:c r="E266" s="49" t="str">
        <x:v>Satara</x:v>
      </x:c>
      <x:c r="F266" s="49"/>
      <x:c r="G266" s="49" t="str">
        <x:v>Un-Aided</x:v>
      </x:c>
      <x:c r="H266" s="49" t="str">
        <x:v>Non-Autonomous / not stated</x:v>
      </x:c>
      <x:c r="I266" s="49" t="str">
        <x:v>Non-Minority / not stated</x:v>
      </x:c>
      <x:c r="J266" s="49"/>
      <x:c r="K266" s="49" t="n">
        <x:v>5</x:v>
      </x:c>
      <x:c r="L266" s="49" t="n">
        <x:v>78</x:v>
      </x:c>
      <x:c r="M266" s="49" t="n">
        <x:v>60</x:v>
      </x:c>
      <x:c r="N266" s="49" t="n">
        <x:v>18</x:v>
      </x:c>
      <x:c r="O266" s="49"/>
      <x:c r="P266" s="49"/>
      <x:c r="Q266" s="49" t="str">
        <x:v>Parsed from official 2025-26 PDF</x:v>
      </x:c>
      <x:c r="R266" s="49" t="str">
        <x:v>2024-25</x:v>
      </x:c>
      <x:c r="S266" s="64" t="n">
        <x:v>92920</x:v>
      </x:c>
      <x:c r="T266" s="64" t="n">
        <x:v>12080</x:v>
      </x:c>
      <x:c r="U266" s="64" t="n">
        <x:v>105000</x:v>
      </x:c>
      <x:c r="V266" s="49" t="str">
        <x:v>Normal FRA-approved annual tuition + development fee; not seat-type-specific</x:v>
      </x:c>
      <x:c r="W266" s="49"/>
      <x:c r="X266" s="49"/>
      <x:c r="Y266" s="68"/>
      <x:c r="Z266" s="49"/>
      <x:c r="AA266" s="49"/>
      <x:c r="AB266" s="49" t="str">
        <x:v>Not centrally verified</x:v>
      </x:c>
      <x:c r="AC266" s="49" t="str">
        <x:v>Not centrally verified</x:v>
      </x:c>
      <x:c r="AD266" s="49" t="str">
        <x:v>Not centrally verified</x:v>
      </x:c>
      <x:c r="AE266" s="49" t="str">
        <x:v>Not available in a standardized official source</x:v>
      </x:c>
      <x:c r="AF266" s="49" t="str">
        <x:v>Not included: no official standardized source; cutoff-derived proxy excluded</x:v>
      </x:c>
      <x:c r="AG266" s="49" t="str">
        <x:v>https://dse2025.mahacet.org.in/dse25/admin/allotment/cap2/6270_4.pdf</x:v>
      </x:c>
      <x:c r="AH266" s="49" t="str">
        <x:v>https://fe2025.mahacet.org/StaticPages/frmInstituteSummary.aspx?InstituteCode=06270</x:v>
      </x:c>
      <x:c r="AI266" s="49"/>
      <x:c r="AJ266" s="49" t="str"/>
      <x:c r="AK266" s="69" t="n">
        <x:f>IF(W266&lt;&gt;"",50,IF(X266="101-150",45,IF(X266="151-200",40,IF(X266="201-300",35,0))))+IF(H266="Autonomous",20,0)+IF(OR(G266="Government",G266="Government-Aided",G266="University Department",G266="University",G266="University Autonomous"),15,0)+MIN(K266,10)+IF(AA266&lt;&gt;"",3,0)+IF(U266&lt;&gt;"",2,0)</x:f>
        <x:v>7</x:v>
      </x:c>
      <x:c r="AL266" s="49" t="str">
        <x:f>IF(AK266&gt;=70,"Official/high-evidence reference",IF(AK266&gt;=40,"Planning reference","Broader option"))</x:f>
        <x:v>Broader option</x:v>
      </x:c>
    </x:row>
    <x:row r="267">
      <x:c r="A267" s="63" t="n">
        <x:v>6271</x:v>
      </x:c>
      <x:c r="B267" s="49" t="str">
        <x:v>Pune Institute of Computer Technology</x:v>
      </x:c>
      <x:c r="C267" s="49" t="str">
        <x:v>Maharashtra</x:v>
      </x:c>
      <x:c r="D267" s="49"/>
      <x:c r="E267" s="49" t="str">
        <x:v>Pune</x:v>
      </x:c>
      <x:c r="F267" s="49"/>
      <x:c r="G267" s="49" t="str">
        <x:v>Un-Aided</x:v>
      </x:c>
      <x:c r="H267" s="49" t="str">
        <x:v>Autonomous</x:v>
      </x:c>
      <x:c r="I267" s="49" t="str">
        <x:v>Non-Minority / not stated</x:v>
      </x:c>
      <x:c r="J267" s="49"/>
      <x:c r="K267" s="49" t="n">
        <x:v>5</x:v>
      </x:c>
      <x:c r="L267" s="49" t="n">
        <x:v>120</x:v>
      </x:c>
      <x:c r="M267" s="49" t="n">
        <x:v>102</x:v>
      </x:c>
      <x:c r="N267" s="49" t="n">
        <x:v>18</x:v>
      </x:c>
      <x:c r="O267" s="49"/>
      <x:c r="P267" s="49"/>
      <x:c r="Q267" s="49" t="str">
        <x:v>Parsed from official 2025-26 PDF</x:v>
      </x:c>
      <x:c r="R267" s="49" t="str">
        <x:v>2024-25</x:v>
      </x:c>
      <x:c r="S267" s="64" t="n">
        <x:v>90000</x:v>
      </x:c>
      <x:c r="T267" s="64" t="n">
        <x:v>13500</x:v>
      </x:c>
      <x:c r="U267" s="64" t="n">
        <x:v>103500</x:v>
      </x:c>
      <x:c r="V267" s="49" t="str">
        <x:v>Normal FRA-approved annual tuition + development fee; not seat-type-specific</x:v>
      </x:c>
      <x:c r="W267" s="49"/>
      <x:c r="X267" s="49"/>
      <x:c r="Y267" s="68"/>
      <x:c r="Z267" s="49"/>
      <x:c r="AA267" s="49" t="str">
        <x:v>https://pict.edu/</x:v>
      </x:c>
      <x:c r="AB267" s="49" t="str">
        <x:v>Verified official domain</x:v>
      </x:c>
      <x:c r="AC267" s="49" t="str">
        <x:v>Not centrally verified</x:v>
      </x:c>
      <x:c r="AD267" s="49" t="str">
        <x:v>Not centrally verified</x:v>
      </x:c>
      <x:c r="AE267" s="49" t="str">
        <x:v>Not available in a standardized official source</x:v>
      </x:c>
      <x:c r="AF267" s="49" t="str">
        <x:v>Not included: no official standardized source; cutoff-derived proxy excluded</x:v>
      </x:c>
      <x:c r="AG267" s="49" t="str">
        <x:v>https://dse2025.mahacet.org.in/dse25/admin/allotment/cap2/6271_4.pdf</x:v>
      </x:c>
      <x:c r="AH267" s="49" t="str">
        <x:v>https://fe2025.mahacet.org/StaticPages/frmInstituteSummary.aspx?InstituteCode=06271</x:v>
      </x:c>
      <x:c r="AI267" s="49"/>
      <x:c r="AJ267" s="49" t="str"/>
      <x:c r="AK267" s="69" t="n">
        <x:f>IF(W267&lt;&gt;"",50,IF(X267="101-150",45,IF(X267="151-200",40,IF(X267="201-300",35,0))))+IF(H267="Autonomous",20,0)+IF(OR(G267="Government",G267="Government-Aided",G267="University Department",G267="University",G267="University Autonomous"),15,0)+MIN(K267,10)+IF(AA267&lt;&gt;"",3,0)+IF(U267&lt;&gt;"",2,0)</x:f>
        <x:v>30</x:v>
      </x:c>
      <x:c r="AL267" s="49" t="str">
        <x:f>IF(AK267&gt;=70,"Official/high-evidence reference",IF(AK267&gt;=40,"Planning reference","Broader option"))</x:f>
        <x:v>Broader option</x:v>
      </x:c>
    </x:row>
    <x:row r="268">
      <x:c r="A268" s="63" t="n">
        <x:v>6272</x:v>
      </x:c>
      <x:c r="B268" s="49" t="str">
        <x:v>Dr. D. Y. Patil Pratishthan's D.Y.Patil College of Engineering Akurdi, Pune</x:v>
      </x:c>
      <x:c r="C268" s="49" t="str">
        <x:v>Maharashtra</x:v>
      </x:c>
      <x:c r="D268" s="49"/>
      <x:c r="E268" s="49" t="str">
        <x:v>Pune</x:v>
      </x:c>
      <x:c r="F268" s="49"/>
      <x:c r="G268" s="49" t="str">
        <x:v>Un-Aided</x:v>
      </x:c>
      <x:c r="H268" s="49" t="str">
        <x:v>Autonomous</x:v>
      </x:c>
      <x:c r="I268" s="49" t="str">
        <x:v>Non-Minority / not stated</x:v>
      </x:c>
      <x:c r="J268" s="49"/>
      <x:c r="K268" s="49" t="n">
        <x:v>8</x:v>
      </x:c>
      <x:c r="L268" s="49" t="n">
        <x:v>163</x:v>
      </x:c>
      <x:c r="M268" s="49" t="n">
        <x:v>140</x:v>
      </x:c>
      <x:c r="N268" s="49" t="n">
        <x:v>23</x:v>
      </x:c>
      <x:c r="O268" s="49"/>
      <x:c r="P268" s="49"/>
      <x:c r="Q268" s="49" t="str">
        <x:v>Parsed from official 2025-26 PDF</x:v>
      </x:c>
      <x:c r="R268" s="49" t="str">
        <x:v>2024-25</x:v>
      </x:c>
      <x:c r="S268" s="64" t="n">
        <x:v>113835</x:v>
      </x:c>
      <x:c r="T268" s="64" t="n">
        <x:v>16165</x:v>
      </x:c>
      <x:c r="U268" s="64" t="n">
        <x:v>130000</x:v>
      </x:c>
      <x:c r="V268" s="49" t="str">
        <x:v>Normal FRA-approved annual tuition + development fee; not seat-type-specific</x:v>
      </x:c>
      <x:c r="W268" s="49"/>
      <x:c r="X268" s="49"/>
      <x:c r="Y268" s="68"/>
      <x:c r="Z268" s="49"/>
      <x:c r="AA268" s="49"/>
      <x:c r="AB268" s="49" t="str">
        <x:v>Not centrally verified</x:v>
      </x:c>
      <x:c r="AC268" s="49" t="str">
        <x:v>Not centrally verified</x:v>
      </x:c>
      <x:c r="AD268" s="49" t="str">
        <x:v>Not centrally verified</x:v>
      </x:c>
      <x:c r="AE268" s="49" t="str">
        <x:v>Not available in a standardized official source</x:v>
      </x:c>
      <x:c r="AF268" s="49" t="str">
        <x:v>Not included: no official standardized source; cutoff-derived proxy excluded</x:v>
      </x:c>
      <x:c r="AG268" s="49" t="str">
        <x:v>https://dse2025.mahacet.org.in/dse25/admin/allotment/cap2/6272_4.pdf</x:v>
      </x:c>
      <x:c r="AH268" s="49" t="str">
        <x:v>https://fe2025.mahacet.org/StaticPages/frmInstituteSummary.aspx?InstituteCode=06272</x:v>
      </x:c>
      <x:c r="AI268" s="49"/>
      <x:c r="AJ268" s="49" t="str"/>
      <x:c r="AK268" s="69" t="n">
        <x:f>IF(W268&lt;&gt;"",50,IF(X268="101-150",45,IF(X268="151-200",40,IF(X268="201-300",35,0))))+IF(H268="Autonomous",20,0)+IF(OR(G268="Government",G268="Government-Aided",G268="University Department",G268="University",G268="University Autonomous"),15,0)+MIN(K268,10)+IF(AA268&lt;&gt;"",3,0)+IF(U268&lt;&gt;"",2,0)</x:f>
        <x:v>30</x:v>
      </x:c>
      <x:c r="AL268" s="49" t="str">
        <x:f>IF(AK268&gt;=70,"Official/high-evidence reference",IF(AK268&gt;=40,"Planning reference","Broader option"))</x:f>
        <x:v>Broader option</x:v>
      </x:c>
    </x:row>
    <x:row r="269">
      <x:c r="A269" s="63" t="n">
        <x:v>6273</x:v>
      </x:c>
      <x:c r="B269" s="49" t="str">
        <x:v>Bansilal Ramnath Agarawal Charitable Trust's Vishwakarma Institute of Technology, Bibwewadi, Pune</x:v>
      </x:c>
      <x:c r="C269" s="49" t="str">
        <x:v>Maharashtra</x:v>
      </x:c>
      <x:c r="D269" s="49"/>
      <x:c r="E269" s="49" t="str">
        <x:v>Pune</x:v>
      </x:c>
      <x:c r="F269" s="49"/>
      <x:c r="G269" s="49" t="str">
        <x:v>Un-Aided</x:v>
      </x:c>
      <x:c r="H269" s="49" t="str">
        <x:v>Autonomous</x:v>
      </x:c>
      <x:c r="I269" s="49" t="str">
        <x:v>Non-Minority / not stated</x:v>
      </x:c>
      <x:c r="J269" s="49"/>
      <x:c r="K269" s="49" t="n">
        <x:v>12</x:v>
      </x:c>
      <x:c r="L269" s="49" t="n">
        <x:v>538</x:v>
      </x:c>
      <x:c r="M269" s="49" t="n">
        <x:v>445</x:v>
      </x:c>
      <x:c r="N269" s="49" t="n">
        <x:v>93</x:v>
      </x:c>
      <x:c r="O269" s="49"/>
      <x:c r="P269" s="49"/>
      <x:c r="Q269" s="49" t="str">
        <x:v>Parsed from official 2025-26 PDF</x:v>
      </x:c>
      <x:c r="R269" s="49" t="str">
        <x:v>2024-25</x:v>
      </x:c>
      <x:c r="S269" s="64" t="n">
        <x:v>162608</x:v>
      </x:c>
      <x:c r="T269" s="64" t="n">
        <x:v>24392</x:v>
      </x:c>
      <x:c r="U269" s="64" t="n">
        <x:v>187000</x:v>
      </x:c>
      <x:c r="V269" s="49" t="str">
        <x:v>Normal FRA-approved annual tuition + development fee; not seat-type-specific</x:v>
      </x:c>
      <x:c r="W269" s="49"/>
      <x:c r="X269" s="49" t="str">
        <x:v>101-150</x:v>
      </x:c>
      <x:c r="Y269" s="68"/>
      <x:c r="Z269" s="49" t="str">
        <x:v>Vishwakarma Institute of Technology</x:v>
      </x:c>
      <x:c r="AA269" s="49" t="str">
        <x:v>https://www.vit.edu/</x:v>
      </x:c>
      <x:c r="AB269" s="49" t="str">
        <x:v>Verified official domain</x:v>
      </x:c>
      <x:c r="AC269" s="49" t="str">
        <x:v>Not centrally verified</x:v>
      </x:c>
      <x:c r="AD269" s="49" t="str">
        <x:v>Not centrally verified</x:v>
      </x:c>
      <x:c r="AE269" s="49" t="str">
        <x:v>Not available in a standardized official source</x:v>
      </x:c>
      <x:c r="AF269" s="49" t="str">
        <x:v>Not included: no official standardized source; cutoff-derived proxy excluded</x:v>
      </x:c>
      <x:c r="AG269" s="49" t="str">
        <x:v>https://dse2025.mahacet.org.in/dse25/admin/allotment/cap2/6273_4.pdf</x:v>
      </x:c>
      <x:c r="AH269" s="49" t="str">
        <x:v>https://fe2025.mahacet.org/StaticPages/frmInstituteSummary.aspx?InstituteCode=06273</x:v>
      </x:c>
      <x:c r="AI269" s="49" t="str">
        <x:v>https://www.nirfindia.org/Rankings/2025/EngineeringRanking150.html</x:v>
      </x:c>
      <x:c r="AJ269" s="49" t="str"/>
      <x:c r="AK269" s="69" t="n">
        <x:f>IF(W269&lt;&gt;"",50,IF(X269="101-150",45,IF(X269="151-200",40,IF(X269="201-300",35,0))))+IF(H269="Autonomous",20,0)+IF(OR(G269="Government",G269="Government-Aided",G269="University Department",G269="University",G269="University Autonomous"),15,0)+MIN(K269,10)+IF(AA269&lt;&gt;"",3,0)+IF(U269&lt;&gt;"",2,0)</x:f>
        <x:v>80</x:v>
      </x:c>
      <x:c r="AL269" s="49" t="str">
        <x:f>IF(AK269&gt;=70,"Official/high-evidence reference",IF(AK269&gt;=40,"Planning reference","Broader option"))</x:f>
        <x:v>Official/high-evidence reference</x:v>
      </x:c>
    </x:row>
    <x:row r="270">
      <x:c r="A270" s="63" t="n">
        <x:v>6274</x:v>
      </x:c>
      <x:c r="B270" s="49" t="str">
        <x:v>PVG's College of Engineering, Technology &amp; Management</x:v>
      </x:c>
      <x:c r="C270" s="49" t="str">
        <x:v>Maharashtra</x:v>
      </x:c>
      <x:c r="D270" s="49"/>
      <x:c r="E270" s="49" t="str">
        <x:v>Pune</x:v>
      </x:c>
      <x:c r="F270" s="49"/>
      <x:c r="G270" s="49" t="str">
        <x:v>Un-Aided</x:v>
      </x:c>
      <x:c r="H270" s="49" t="str">
        <x:v>Autonomous</x:v>
      </x:c>
      <x:c r="I270" s="49" t="str">
        <x:v>Non-Minority / not stated</x:v>
      </x:c>
      <x:c r="J270" s="49"/>
      <x:c r="K270" s="49" t="n">
        <x:v>7</x:v>
      </x:c>
      <x:c r="L270" s="49" t="n">
        <x:v>159</x:v>
      </x:c>
      <x:c r="M270" s="49" t="n">
        <x:v>134</x:v>
      </x:c>
      <x:c r="N270" s="49" t="n">
        <x:v>25</x:v>
      </x:c>
      <x:c r="O270" s="49"/>
      <x:c r="P270" s="49"/>
      <x:c r="Q270" s="49" t="str">
        <x:v>Parsed from official 2025-26 PDF</x:v>
      </x:c>
      <x:c r="R270" s="49" t="str">
        <x:v>2024-25</x:v>
      </x:c>
      <x:c r="S270" s="64" t="n">
        <x:v>96069</x:v>
      </x:c>
      <x:c r="T270" s="64" t="n">
        <x:v>13931</x:v>
      </x:c>
      <x:c r="U270" s="64" t="n">
        <x:v>110000</x:v>
      </x:c>
      <x:c r="V270" s="49" t="str">
        <x:v>Normal FRA-approved annual tuition + development fee; not seat-type-specific</x:v>
      </x:c>
      <x:c r="W270" s="49"/>
      <x:c r="X270" s="49"/>
      <x:c r="Y270" s="68"/>
      <x:c r="Z270" s="49"/>
      <x:c r="AA270" s="49"/>
      <x:c r="AB270" s="49" t="str">
        <x:v>Not centrally verified</x:v>
      </x:c>
      <x:c r="AC270" s="49" t="str">
        <x:v>Not centrally verified</x:v>
      </x:c>
      <x:c r="AD270" s="49" t="str">
        <x:v>Not centrally verified</x:v>
      </x:c>
      <x:c r="AE270" s="49" t="str">
        <x:v>Not available in a standardized official source</x:v>
      </x:c>
      <x:c r="AF270" s="49" t="str">
        <x:v>Not included: no official standardized source; cutoff-derived proxy excluded</x:v>
      </x:c>
      <x:c r="AG270" s="49" t="str">
        <x:v>https://dse2025.mahacet.org.in/dse25/admin/allotment/cap2/6274_4.pdf</x:v>
      </x:c>
      <x:c r="AH270" s="49" t="str">
        <x:v>https://fe2025.mahacet.org/StaticPages/frmInstituteSummary.aspx?InstituteCode=06274</x:v>
      </x:c>
      <x:c r="AI270" s="49"/>
      <x:c r="AJ270" s="49" t="str"/>
      <x:c r="AK270" s="69" t="n">
        <x:f>IF(W270&lt;&gt;"",50,IF(X270="101-150",45,IF(X270="151-200",40,IF(X270="201-300",35,0))))+IF(H270="Autonomous",20,0)+IF(OR(G270="Government",G270="Government-Aided",G270="University Department",G270="University",G270="University Autonomous"),15,0)+MIN(K270,10)+IF(AA270&lt;&gt;"",3,0)+IF(U270&lt;&gt;"",2,0)</x:f>
        <x:v>29</x:v>
      </x:c>
      <x:c r="AL270" s="49" t="str">
        <x:f>IF(AK270&gt;=70,"Official/high-evidence reference",IF(AK270&gt;=40,"Planning reference","Broader option"))</x:f>
        <x:v>Broader option</x:v>
      </x:c>
    </x:row>
    <x:row r="271">
      <x:c r="A271" s="63" t="n">
        <x:v>6275</x:v>
      </x:c>
      <x:c r="B271" s="49" t="str">
        <x:v>Shivnagar Vidya Prasarak Mandal's College of Engineering, Malegaon-Baramati</x:v>
      </x:c>
      <x:c r="C271" s="49" t="str">
        <x:v>Maharashtra</x:v>
      </x:c>
      <x:c r="D271" s="49"/>
      <x:c r="E271" s="49" t="str">
        <x:v>Pune</x:v>
      </x:c>
      <x:c r="F271" s="49"/>
      <x:c r="G271" s="49" t="str">
        <x:v>Un-Aided</x:v>
      </x:c>
      <x:c r="H271" s="49" t="str">
        <x:v>Non-Autonomous / not stated</x:v>
      </x:c>
      <x:c r="I271" s="49" t="str">
        <x:v>Non-Minority / not stated</x:v>
      </x:c>
      <x:c r="J271" s="49"/>
      <x:c r="K271" s="49" t="n">
        <x:v>7</x:v>
      </x:c>
      <x:c r="L271" s="49" t="n">
        <x:v>85</x:v>
      </x:c>
      <x:c r="M271" s="49" t="n">
        <x:v>72</x:v>
      </x:c>
      <x:c r="N271" s="49" t="n">
        <x:v>13</x:v>
      </x:c>
      <x:c r="O271" s="49"/>
      <x:c r="P271" s="49"/>
      <x:c r="Q271" s="49" t="str">
        <x:v>Parsed from official 2025-26 PDF</x:v>
      </x:c>
      <x:c r="R271" s="49" t="str">
        <x:v>2024-25</x:v>
      </x:c>
      <x:c r="S271" s="64" t="n">
        <x:v>63281</x:v>
      </x:c>
      <x:c r="T271" s="64" t="n">
        <x:v>7719</x:v>
      </x:c>
      <x:c r="U271" s="64" t="n">
        <x:v>71000</x:v>
      </x:c>
      <x:c r="V271" s="49" t="str">
        <x:v>Normal FRA-approved annual tuition + development fee; not seat-type-specific</x:v>
      </x:c>
      <x:c r="W271" s="49"/>
      <x:c r="X271" s="49"/>
      <x:c r="Y271" s="68"/>
      <x:c r="Z271" s="49"/>
      <x:c r="AA271" s="49"/>
      <x:c r="AB271" s="49" t="str">
        <x:v>Not centrally verified</x:v>
      </x:c>
      <x:c r="AC271" s="49" t="str">
        <x:v>Not centrally verified</x:v>
      </x:c>
      <x:c r="AD271" s="49" t="str">
        <x:v>Not centrally verified</x:v>
      </x:c>
      <x:c r="AE271" s="49" t="str">
        <x:v>Not available in a standardized official source</x:v>
      </x:c>
      <x:c r="AF271" s="49" t="str">
        <x:v>Not included: no official standardized source; cutoff-derived proxy excluded</x:v>
      </x:c>
      <x:c r="AG271" s="49" t="str">
        <x:v>https://dse2025.mahacet.org.in/dse25/admin/allotment/cap2/6275_4.pdf</x:v>
      </x:c>
      <x:c r="AH271" s="49" t="str">
        <x:v>https://fe2025.mahacet.org/StaticPages/frmInstituteSummary.aspx?InstituteCode=06275</x:v>
      </x:c>
      <x:c r="AI271" s="49"/>
      <x:c r="AJ271" s="49" t="str"/>
      <x:c r="AK271" s="69" t="n">
        <x:f>IF(W271&lt;&gt;"",50,IF(X271="101-150",45,IF(X271="151-200",40,IF(X271="201-300",35,0))))+IF(H271="Autonomous",20,0)+IF(OR(G271="Government",G271="Government-Aided",G271="University Department",G271="University",G271="University Autonomous"),15,0)+MIN(K271,10)+IF(AA271&lt;&gt;"",3,0)+IF(U271&lt;&gt;"",2,0)</x:f>
        <x:v>9</x:v>
      </x:c>
      <x:c r="AL271" s="49" t="str">
        <x:f>IF(AK271&gt;=70,"Official/high-evidence reference",IF(AK271&gt;=40,"Planning reference","Broader option"))</x:f>
        <x:v>Broader option</x:v>
      </x:c>
    </x:row>
    <x:row r="272">
      <x:c r="A272" s="63" t="n">
        <x:v>6276</x:v>
      </x:c>
      <x:c r="B272" s="49" t="str">
        <x:v>MKSSS's Cummins College of Engineering for Women, Karvenagar,Pune</x:v>
      </x:c>
      <x:c r="C272" s="49" t="str">
        <x:v>Maharashtra</x:v>
      </x:c>
      <x:c r="D272" s="49"/>
      <x:c r="E272" s="49" t="str">
        <x:v>Pune</x:v>
      </x:c>
      <x:c r="F272" s="49"/>
      <x:c r="G272" s="49" t="str">
        <x:v>Un-Aided</x:v>
      </x:c>
      <x:c r="H272" s="49" t="str">
        <x:v>Autonomous</x:v>
      </x:c>
      <x:c r="I272" s="49" t="str">
        <x:v>Non-Minority / not stated</x:v>
      </x:c>
      <x:c r="J272" s="49"/>
      <x:c r="K272" s="49" t="n">
        <x:v>5</x:v>
      </x:c>
      <x:c r="L272" s="49" t="n">
        <x:v>91</x:v>
      </x:c>
      <x:c r="M272" s="49" t="n">
        <x:v>77</x:v>
      </x:c>
      <x:c r="N272" s="49" t="n">
        <x:v>14</x:v>
      </x:c>
      <x:c r="O272" s="49"/>
      <x:c r="P272" s="49"/>
      <x:c r="Q272" s="49" t="str">
        <x:v>Parsed from official 2025-26 PDF</x:v>
      </x:c>
      <x:c r="R272" s="49" t="str">
        <x:v>2024-25</x:v>
      </x:c>
      <x:c r="S272" s="64" t="n">
        <x:v>146956</x:v>
      </x:c>
      <x:c r="T272" s="64" t="n">
        <x:v>22044</x:v>
      </x:c>
      <x:c r="U272" s="64" t="n">
        <x:v>169000</x:v>
      </x:c>
      <x:c r="V272" s="49" t="str">
        <x:v>Normal FRA-approved annual tuition + development fee; not seat-type-specific</x:v>
      </x:c>
      <x:c r="W272" s="49"/>
      <x:c r="X272" s="49" t="str">
        <x:v>201-300</x:v>
      </x:c>
      <x:c r="Y272" s="68"/>
      <x:c r="Z272" s="49" t="str">
        <x:v>Cummins College of Engineering for Women</x:v>
      </x:c>
      <x:c r="AA272" s="49" t="str">
        <x:v>https://www.cumminscollege.org/</x:v>
      </x:c>
      <x:c r="AB272" s="49" t="str">
        <x:v>Verified official domain</x:v>
      </x:c>
      <x:c r="AC272" s="49" t="str">
        <x:v>Not centrally verified</x:v>
      </x:c>
      <x:c r="AD272" s="49" t="str">
        <x:v>Not centrally verified</x:v>
      </x:c>
      <x:c r="AE272" s="49" t="str">
        <x:v>Not available in a standardized official source</x:v>
      </x:c>
      <x:c r="AF272" s="49" t="str">
        <x:v>Not included: no official standardized source; cutoff-derived proxy excluded</x:v>
      </x:c>
      <x:c r="AG272" s="49" t="str">
        <x:v>https://dse2025.mahacet.org.in/dse25/admin/allotment/cap2/6276_4.pdf</x:v>
      </x:c>
      <x:c r="AH272" s="49" t="str">
        <x:v>https://fe2025.mahacet.org/StaticPages/frmInstituteSummary.aspx?InstituteCode=06276</x:v>
      </x:c>
      <x:c r="AI272" s="49" t="str">
        <x:v>https://www.nirfindia.org/Rankings/2025/EngineeringRanking300.html</x:v>
      </x:c>
      <x:c r="AJ272" s="49" t="str"/>
      <x:c r="AK272" s="69" t="n">
        <x:f>IF(W272&lt;&gt;"",50,IF(X272="101-150",45,IF(X272="151-200",40,IF(X272="201-300",35,0))))+IF(H272="Autonomous",20,0)+IF(OR(G272="Government",G272="Government-Aided",G272="University Department",G272="University",G272="University Autonomous"),15,0)+MIN(K272,10)+IF(AA272&lt;&gt;"",3,0)+IF(U272&lt;&gt;"",2,0)</x:f>
        <x:v>65</x:v>
      </x:c>
      <x:c r="AL272" s="49" t="str">
        <x:f>IF(AK272&gt;=70,"Official/high-evidence reference",IF(AK272&gt;=40,"Planning reference","Broader option"))</x:f>
        <x:v>Planning reference</x:v>
      </x:c>
    </x:row>
    <x:row r="273">
      <x:c r="A273" s="63" t="n">
        <x:v>6277</x:v>
      </x:c>
      <x:c r="B273" s="49" t="str">
        <x:v>Dr. J. J. Magdum Charitable Trust's Dr. J.J. Magdum College of Engineering, Jaysingpur</x:v>
      </x:c>
      <x:c r="C273" s="49" t="str">
        <x:v>Maharashtra</x:v>
      </x:c>
      <x:c r="D273" s="49"/>
      <x:c r="E273" s="49" t="str">
        <x:v>Kolhapur</x:v>
      </x:c>
      <x:c r="F273" s="49"/>
      <x:c r="G273" s="49" t="str">
        <x:v>Un-Aided</x:v>
      </x:c>
      <x:c r="H273" s="49" t="str">
        <x:v>Autonomous</x:v>
      </x:c>
      <x:c r="I273" s="49" t="str">
        <x:v>Non-Minority / not stated</x:v>
      </x:c>
      <x:c r="J273" s="49"/>
      <x:c r="K273" s="49" t="n">
        <x:v>6</x:v>
      </x:c>
      <x:c r="L273" s="49" t="n">
        <x:v>133</x:v>
      </x:c>
      <x:c r="M273" s="49" t="n">
        <x:v>115</x:v>
      </x:c>
      <x:c r="N273" s="49" t="n">
        <x:v>18</x:v>
      </x:c>
      <x:c r="O273" s="49"/>
      <x:c r="P273" s="49"/>
      <x:c r="Q273" s="49" t="str">
        <x:v>Parsed from official 2025-26 PDF</x:v>
      </x:c>
      <x:c r="R273" s="49" t="str">
        <x:v>2024-25</x:v>
      </x:c>
      <x:c r="S273" s="64" t="n">
        <x:v>77933</x:v>
      </x:c>
      <x:c r="T273" s="64" t="n">
        <x:v>11067</x:v>
      </x:c>
      <x:c r="U273" s="64" t="n">
        <x:v>89000</x:v>
      </x:c>
      <x:c r="V273" s="49" t="str">
        <x:v>Normal FRA-approved annual tuition + development fee; not seat-type-specific</x:v>
      </x:c>
      <x:c r="W273" s="49"/>
      <x:c r="X273" s="49"/>
      <x:c r="Y273" s="68"/>
      <x:c r="Z273" s="49"/>
      <x:c r="AA273" s="49"/>
      <x:c r="AB273" s="49" t="str">
        <x:v>Not centrally verified</x:v>
      </x:c>
      <x:c r="AC273" s="49" t="str">
        <x:v>Not centrally verified</x:v>
      </x:c>
      <x:c r="AD273" s="49" t="str">
        <x:v>Not centrally verified</x:v>
      </x:c>
      <x:c r="AE273" s="49" t="str">
        <x:v>Not available in a standardized official source</x:v>
      </x:c>
      <x:c r="AF273" s="49" t="str">
        <x:v>Not included: no official standardized source; cutoff-derived proxy excluded</x:v>
      </x:c>
      <x:c r="AG273" s="49" t="str">
        <x:v>https://dse2025.mahacet.org.in/dse25/admin/allotment/cap2/6277_4.pdf</x:v>
      </x:c>
      <x:c r="AH273" s="49" t="str">
        <x:v>https://fe2025.mahacet.org/StaticPages/frmInstituteSummary.aspx?InstituteCode=06277</x:v>
      </x:c>
      <x:c r="AI273" s="49"/>
      <x:c r="AJ273" s="49" t="str"/>
      <x:c r="AK273" s="69" t="n">
        <x:f>IF(W273&lt;&gt;"",50,IF(X273="101-150",45,IF(X273="151-200",40,IF(X273="201-300",35,0))))+IF(H273="Autonomous",20,0)+IF(OR(G273="Government",G273="Government-Aided",G273="University Department",G273="University",G273="University Autonomous"),15,0)+MIN(K273,10)+IF(AA273&lt;&gt;"",3,0)+IF(U273&lt;&gt;"",2,0)</x:f>
        <x:v>28</x:v>
      </x:c>
      <x:c r="AL273" s="49" t="str">
        <x:f>IF(AK273&gt;=70,"Official/high-evidence reference",IF(AK273&gt;=40,"Planning reference","Broader option"))</x:f>
        <x:v>Broader option</x:v>
      </x:c>
    </x:row>
    <x:row r="274">
      <x:c r="A274" s="63" t="n">
        <x:v>6278</x:v>
      </x:c>
      <x:c r="B274" s="49" t="str">
        <x:v>All India Shri Shivaji Memorial Society's College of Engineering, Pune</x:v>
      </x:c>
      <x:c r="C274" s="49" t="str">
        <x:v>Maharashtra</x:v>
      </x:c>
      <x:c r="D274" s="49"/>
      <x:c r="E274" s="49" t="str">
        <x:v>Pune</x:v>
      </x:c>
      <x:c r="F274" s="49"/>
      <x:c r="G274" s="49" t="str">
        <x:v>Un-Aided</x:v>
      </x:c>
      <x:c r="H274" s="49" t="str">
        <x:v>Autonomous</x:v>
      </x:c>
      <x:c r="I274" s="49" t="str">
        <x:v>Non-Minority / not stated</x:v>
      </x:c>
      <x:c r="J274" s="49"/>
      <x:c r="K274" s="49" t="n">
        <x:v>10</x:v>
      </x:c>
      <x:c r="L274" s="49" t="n">
        <x:v>146</x:v>
      </x:c>
      <x:c r="M274" s="49" t="n">
        <x:v>118</x:v>
      </x:c>
      <x:c r="N274" s="49" t="n">
        <x:v>28</x:v>
      </x:c>
      <x:c r="O274" s="49"/>
      <x:c r="P274" s="49"/>
      <x:c r="Q274" s="49" t="str">
        <x:v>Parsed from official 2025-26 PDF</x:v>
      </x:c>
      <x:c r="R274" s="49" t="str">
        <x:v>2024-25</x:v>
      </x:c>
      <x:c r="S274" s="64" t="n">
        <x:v>128696</x:v>
      </x:c>
      <x:c r="T274" s="64" t="n">
        <x:v>19304</x:v>
      </x:c>
      <x:c r="U274" s="64" t="n">
        <x:v>148000</x:v>
      </x:c>
      <x:c r="V274" s="49" t="str">
        <x:v>Normal FRA-approved annual tuition + development fee; not seat-type-specific</x:v>
      </x:c>
      <x:c r="W274" s="49"/>
      <x:c r="X274" s="49"/>
      <x:c r="Y274" s="68"/>
      <x:c r="Z274" s="49"/>
      <x:c r="AA274" s="49"/>
      <x:c r="AB274" s="49" t="str">
        <x:v>Not centrally verified</x:v>
      </x:c>
      <x:c r="AC274" s="49" t="str">
        <x:v>Not centrally verified</x:v>
      </x:c>
      <x:c r="AD274" s="49" t="str">
        <x:v>Not centrally verified</x:v>
      </x:c>
      <x:c r="AE274" s="49" t="str">
        <x:v>Not available in a standardized official source</x:v>
      </x:c>
      <x:c r="AF274" s="49" t="str">
        <x:v>Not included: no official standardized source; cutoff-derived proxy excluded</x:v>
      </x:c>
      <x:c r="AG274" s="49" t="str">
        <x:v>https://dse2025.mahacet.org.in/dse25/admin/allotment/cap2/6278_4.pdf</x:v>
      </x:c>
      <x:c r="AH274" s="49" t="str">
        <x:v>https://fe2025.mahacet.org/StaticPages/frmInstituteSummary.aspx?InstituteCode=06278</x:v>
      </x:c>
      <x:c r="AI274" s="49"/>
      <x:c r="AJ274" s="49" t="str"/>
      <x:c r="AK274" s="69" t="n">
        <x:f>IF(W274&lt;&gt;"",50,IF(X274="101-150",45,IF(X274="151-200",40,IF(X274="201-300",35,0))))+IF(H274="Autonomous",20,0)+IF(OR(G274="Government",G274="Government-Aided",G274="University Department",G274="University",G274="University Autonomous"),15,0)+MIN(K274,10)+IF(AA274&lt;&gt;"",3,0)+IF(U274&lt;&gt;"",2,0)</x:f>
        <x:v>32</x:v>
      </x:c>
      <x:c r="AL274" s="49" t="str">
        <x:f>IF(AK274&gt;=70,"Official/high-evidence reference",IF(AK274&gt;=40,"Planning reference","Broader option"))</x:f>
        <x:v>Broader option</x:v>
      </x:c>
    </x:row>
    <x:row r="275">
      <x:c r="A275" s="63" t="n">
        <x:v>6281</x:v>
      </x:c>
      <x:c r="B275" s="49" t="str">
        <x:v>Modern Education Society's Wadia College of Engineering, Pune</x:v>
      </x:c>
      <x:c r="C275" s="49" t="str">
        <x:v>Maharashtra</x:v>
      </x:c>
      <x:c r="D275" s="49"/>
      <x:c r="E275" s="49" t="str">
        <x:v>Pune</x:v>
      </x:c>
      <x:c r="F275" s="49"/>
      <x:c r="G275" s="49" t="str">
        <x:v>Un-Aided</x:v>
      </x:c>
      <x:c r="H275" s="49" t="str">
        <x:v>Non-Autonomous / not stated</x:v>
      </x:c>
      <x:c r="I275" s="49" t="str">
        <x:v>Non-Minority / not stated</x:v>
      </x:c>
      <x:c r="J275" s="49"/>
      <x:c r="K275" s="49" t="n">
        <x:v>4</x:v>
      </x:c>
      <x:c r="L275" s="49" t="n">
        <x:v>89</x:v>
      </x:c>
      <x:c r="M275" s="49" t="n">
        <x:v>70</x:v>
      </x:c>
      <x:c r="N275" s="49" t="n">
        <x:v>19</x:v>
      </x:c>
      <x:c r="O275" s="49"/>
      <x:c r="P275" s="49"/>
      <x:c r="Q275" s="49" t="str">
        <x:v>Parsed from official 2025-26 PDF</x:v>
      </x:c>
      <x:c r="R275" s="49" t="str">
        <x:v>2024-25</x:v>
      </x:c>
      <x:c r="S275" s="64" t="n">
        <x:v>101739</x:v>
      </x:c>
      <x:c r="T275" s="64" t="n">
        <x:v>15261</x:v>
      </x:c>
      <x:c r="U275" s="64" t="n">
        <x:v>117000</x:v>
      </x:c>
      <x:c r="V275" s="49" t="str">
        <x:v>Normal FRA-approved annual tuition + development fee; not seat-type-specific</x:v>
      </x:c>
      <x:c r="W275" s="49"/>
      <x:c r="X275" s="49"/>
      <x:c r="Y275" s="68"/>
      <x:c r="Z275" s="49"/>
      <x:c r="AA275" s="49"/>
      <x:c r="AB275" s="49" t="str">
        <x:v>Not centrally verified</x:v>
      </x:c>
      <x:c r="AC275" s="49" t="str">
        <x:v>Not centrally verified</x:v>
      </x:c>
      <x:c r="AD275" s="49" t="str">
        <x:v>Not centrally verified</x:v>
      </x:c>
      <x:c r="AE275" s="49" t="str">
        <x:v>Not available in a standardized official source</x:v>
      </x:c>
      <x:c r="AF275" s="49" t="str">
        <x:v>Not included: no official standardized source; cutoff-derived proxy excluded</x:v>
      </x:c>
      <x:c r="AG275" s="49" t="str">
        <x:v>https://dse2025.mahacet.org.in/dse25/admin/allotment/cap2/6281_4.pdf</x:v>
      </x:c>
      <x:c r="AH275" s="49" t="str">
        <x:v>https://fe2025.mahacet.org/StaticPages/frmInstituteSummary.aspx?InstituteCode=06281</x:v>
      </x:c>
      <x:c r="AI275" s="49"/>
      <x:c r="AJ275" s="49" t="str"/>
      <x:c r="AK275" s="69" t="n">
        <x:f>IF(W275&lt;&gt;"",50,IF(X275="101-150",45,IF(X275="151-200",40,IF(X275="201-300",35,0))))+IF(H275="Autonomous",20,0)+IF(OR(G275="Government",G275="Government-Aided",G275="University Department",G275="University",G275="University Autonomous"),15,0)+MIN(K275,10)+IF(AA275&lt;&gt;"",3,0)+IF(U275&lt;&gt;"",2,0)</x:f>
        <x:v>6</x:v>
      </x:c>
      <x:c r="AL275" s="49" t="str">
        <x:f>IF(AK275&gt;=70,"Official/high-evidence reference",IF(AK275&gt;=40,"Planning reference","Broader option"))</x:f>
        <x:v>Broader option</x:v>
      </x:c>
    </x:row>
    <x:row r="276">
      <x:c r="A276" s="63" t="n">
        <x:v>6282</x:v>
      </x:c>
      <x:c r="B276" s="49" t="str">
        <x:v>All India Shri Shivaji Memorial Society's Institute of Information Technology,Pune</x:v>
      </x:c>
      <x:c r="C276" s="49" t="str">
        <x:v>Maharashtra</x:v>
      </x:c>
      <x:c r="D276" s="49"/>
      <x:c r="E276" s="49" t="str">
        <x:v>Pune</x:v>
      </x:c>
      <x:c r="F276" s="49"/>
      <x:c r="G276" s="49" t="str">
        <x:v>Un-Aided</x:v>
      </x:c>
      <x:c r="H276" s="49" t="str">
        <x:v>Autonomous</x:v>
      </x:c>
      <x:c r="I276" s="49" t="str">
        <x:v>Non-Minority / not stated</x:v>
      </x:c>
      <x:c r="J276" s="49"/>
      <x:c r="K276" s="49" t="n">
        <x:v>6</x:v>
      </x:c>
      <x:c r="L276" s="49" t="n">
        <x:v>95</x:v>
      </x:c>
      <x:c r="M276" s="49" t="n">
        <x:v>76</x:v>
      </x:c>
      <x:c r="N276" s="49" t="n">
        <x:v>19</x:v>
      </x:c>
      <x:c r="O276" s="49"/>
      <x:c r="P276" s="49"/>
      <x:c r="Q276" s="49" t="str">
        <x:v>Parsed from official 2025-26 PDF</x:v>
      </x:c>
      <x:c r="R276" s="49" t="str">
        <x:v>2024-25</x:v>
      </x:c>
      <x:c r="S276" s="64" t="n">
        <x:v>104348</x:v>
      </x:c>
      <x:c r="T276" s="64" t="n">
        <x:v>15652</x:v>
      </x:c>
      <x:c r="U276" s="64" t="n">
        <x:v>120000</x:v>
      </x:c>
      <x:c r="V276" s="49" t="str">
        <x:v>Normal FRA-approved annual tuition + development fee; not seat-type-specific</x:v>
      </x:c>
      <x:c r="W276" s="49"/>
      <x:c r="X276" s="49"/>
      <x:c r="Y276" s="68"/>
      <x:c r="Z276" s="49"/>
      <x:c r="AA276" s="49"/>
      <x:c r="AB276" s="49" t="str">
        <x:v>Not centrally verified</x:v>
      </x:c>
      <x:c r="AC276" s="49" t="str">
        <x:v>Not centrally verified</x:v>
      </x:c>
      <x:c r="AD276" s="49" t="str">
        <x:v>Not centrally verified</x:v>
      </x:c>
      <x:c r="AE276" s="49" t="str">
        <x:v>Not available in a standardized official source</x:v>
      </x:c>
      <x:c r="AF276" s="49" t="str">
        <x:v>Not included: no official standardized source; cutoff-derived proxy excluded</x:v>
      </x:c>
      <x:c r="AG276" s="49" t="str">
        <x:v>https://dse2025.mahacet.org.in/dse25/admin/allotment/cap2/6282_4.pdf</x:v>
      </x:c>
      <x:c r="AH276" s="49" t="str">
        <x:v>https://fe2025.mahacet.org/StaticPages/frmInstituteSummary.aspx?InstituteCode=06282</x:v>
      </x:c>
      <x:c r="AI276" s="49"/>
      <x:c r="AJ276" s="49" t="str"/>
      <x:c r="AK276" s="69" t="n">
        <x:f>IF(W276&lt;&gt;"",50,IF(X276="101-150",45,IF(X276="151-200",40,IF(X276="201-300",35,0))))+IF(H276="Autonomous",20,0)+IF(OR(G276="Government",G276="Government-Aided",G276="University Department",G276="University",G276="University Autonomous"),15,0)+MIN(K276,10)+IF(AA276&lt;&gt;"",3,0)+IF(U276&lt;&gt;"",2,0)</x:f>
        <x:v>28</x:v>
      </x:c>
      <x:c r="AL276" s="49" t="str">
        <x:f>IF(AK276&gt;=70,"Official/high-evidence reference",IF(AK276&gt;=40,"Planning reference","Broader option"))</x:f>
        <x:v>Broader option</x:v>
      </x:c>
    </x:row>
    <x:row r="277">
      <x:c r="A277" s="63" t="n">
        <x:v>6283</x:v>
      </x:c>
      <x:c r="B277" s="49" t="str">
        <x:v>Annasaheb Dange College of Engineering and Technology, Ashta, Sangli</x:v>
      </x:c>
      <x:c r="C277" s="49" t="str">
        <x:v>Maharashtra</x:v>
      </x:c>
      <x:c r="D277" s="49"/>
      <x:c r="E277" s="49" t="str">
        <x:v>Sangli</x:v>
      </x:c>
      <x:c r="F277" s="49"/>
      <x:c r="G277" s="49" t="str">
        <x:v>Un-Aided</x:v>
      </x:c>
      <x:c r="H277" s="49" t="str">
        <x:v>Autonomous</x:v>
      </x:c>
      <x:c r="I277" s="49" t="str">
        <x:v>Non-Minority / not stated</x:v>
      </x:c>
      <x:c r="J277" s="49"/>
      <x:c r="K277" s="49" t="n">
        <x:v>8</x:v>
      </x:c>
      <x:c r="L277" s="49" t="n">
        <x:v>146</x:v>
      </x:c>
      <x:c r="M277" s="49" t="n">
        <x:v>129</x:v>
      </x:c>
      <x:c r="N277" s="49" t="n">
        <x:v>17</x:v>
      </x:c>
      <x:c r="O277" s="49"/>
      <x:c r="P277" s="49"/>
      <x:c r="Q277" s="49" t="str">
        <x:v>Parsed from official 2025-26 PDF</x:v>
      </x:c>
      <x:c r="R277" s="49" t="str">
        <x:v>2024-25</x:v>
      </x:c>
      <x:c r="S277" s="64" t="n">
        <x:v>93479</x:v>
      </x:c>
      <x:c r="T277" s="64" t="n">
        <x:v>14021</x:v>
      </x:c>
      <x:c r="U277" s="64" t="n">
        <x:v>107500</x:v>
      </x:c>
      <x:c r="V277" s="49" t="str">
        <x:v>Normal FRA-approved annual tuition + development fee; not seat-type-specific</x:v>
      </x:c>
      <x:c r="W277" s="49"/>
      <x:c r="X277" s="49"/>
      <x:c r="Y277" s="68"/>
      <x:c r="Z277" s="49"/>
      <x:c r="AA277" s="49"/>
      <x:c r="AB277" s="49" t="str">
        <x:v>Not centrally verified</x:v>
      </x:c>
      <x:c r="AC277" s="49" t="str">
        <x:v>Not centrally verified</x:v>
      </x:c>
      <x:c r="AD277" s="49" t="str">
        <x:v>Not centrally verified</x:v>
      </x:c>
      <x:c r="AE277" s="49" t="str">
        <x:v>Not available in a standardized official source</x:v>
      </x:c>
      <x:c r="AF277" s="49" t="str">
        <x:v>Not included: no official standardized source; cutoff-derived proxy excluded</x:v>
      </x:c>
      <x:c r="AG277" s="49" t="str">
        <x:v>https://dse2025.mahacet.org.in/dse25/admin/allotment/cap2/6283_4.pdf</x:v>
      </x:c>
      <x:c r="AH277" s="49" t="str">
        <x:v>https://fe2025.mahacet.org/StaticPages/frmInstituteSummary.aspx?InstituteCode=06283</x:v>
      </x:c>
      <x:c r="AI277" s="49"/>
      <x:c r="AJ277" s="49" t="str"/>
      <x:c r="AK277" s="69" t="n">
        <x:f>IF(W277&lt;&gt;"",50,IF(X277="101-150",45,IF(X277="151-200",40,IF(X277="201-300",35,0))))+IF(H277="Autonomous",20,0)+IF(OR(G277="Government",G277="Government-Aided",G277="University Department",G277="University",G277="University Autonomous"),15,0)+MIN(K277,10)+IF(AA277&lt;&gt;"",3,0)+IF(U277&lt;&gt;"",2,0)</x:f>
        <x:v>30</x:v>
      </x:c>
      <x:c r="AL277" s="49" t="str">
        <x:f>IF(AK277&gt;=70,"Official/high-evidence reference",IF(AK277&gt;=40,"Planning reference","Broader option"))</x:f>
        <x:v>Broader option</x:v>
      </x:c>
    </x:row>
    <x:row r="278">
      <x:c r="A278" s="63" t="n">
        <x:v>6284</x:v>
      </x:c>
      <x:c r="B278" s="49" t="str">
        <x:v>Vidya Pratishthan's Kamalnayan Bajaj Institute of Engineering &amp; Technology, Baramati Dist.Pune</x:v>
      </x:c>
      <x:c r="C278" s="49" t="str">
        <x:v>Maharashtra</x:v>
      </x:c>
      <x:c r="D278" s="49"/>
      <x:c r="E278" s="49" t="str">
        <x:v>Pune</x:v>
      </x:c>
      <x:c r="F278" s="49"/>
      <x:c r="G278" s="49" t="str">
        <x:v>Un-Aided</x:v>
      </x:c>
      <x:c r="H278" s="49" t="str">
        <x:v>Autonomous</x:v>
      </x:c>
      <x:c r="I278" s="49" t="str">
        <x:v>Non-Minority / not stated</x:v>
      </x:c>
      <x:c r="J278" s="49"/>
      <x:c r="K278" s="49" t="n">
        <x:v>7</x:v>
      </x:c>
      <x:c r="L278" s="49" t="n">
        <x:v>89</x:v>
      </x:c>
      <x:c r="M278" s="49" t="n">
        <x:v>74</x:v>
      </x:c>
      <x:c r="N278" s="49" t="n">
        <x:v>15</x:v>
      </x:c>
      <x:c r="O278" s="49"/>
      <x:c r="P278" s="49"/>
      <x:c r="Q278" s="49" t="str">
        <x:v>Parsed from official 2025-26 PDF</x:v>
      </x:c>
      <x:c r="R278" s="49" t="str">
        <x:v>2024-25</x:v>
      </x:c>
      <x:c r="S278" s="64" t="n">
        <x:v>91304</x:v>
      </x:c>
      <x:c r="T278" s="64" t="n">
        <x:v>13696</x:v>
      </x:c>
      <x:c r="U278" s="64" t="n">
        <x:v>105000</x:v>
      </x:c>
      <x:c r="V278" s="49" t="str">
        <x:v>Normal FRA-approved annual tuition + development fee; not seat-type-specific</x:v>
      </x:c>
      <x:c r="W278" s="49"/>
      <x:c r="X278" s="49"/>
      <x:c r="Y278" s="68"/>
      <x:c r="Z278" s="49"/>
      <x:c r="AA278" s="49"/>
      <x:c r="AB278" s="49" t="str">
        <x:v>Not centrally verified</x:v>
      </x:c>
      <x:c r="AC278" s="49" t="str">
        <x:v>Not centrally verified</x:v>
      </x:c>
      <x:c r="AD278" s="49" t="str">
        <x:v>Not centrally verified</x:v>
      </x:c>
      <x:c r="AE278" s="49" t="str">
        <x:v>Not available in a standardized official source</x:v>
      </x:c>
      <x:c r="AF278" s="49" t="str">
        <x:v>Not included: no official standardized source; cutoff-derived proxy excluded</x:v>
      </x:c>
      <x:c r="AG278" s="49" t="str">
        <x:v>https://dse2025.mahacet.org.in/dse25/admin/allotment/cap2/6284_4.pdf</x:v>
      </x:c>
      <x:c r="AH278" s="49" t="str">
        <x:v>https://fe2025.mahacet.org/StaticPages/frmInstituteSummary.aspx?InstituteCode=06284</x:v>
      </x:c>
      <x:c r="AI278" s="49"/>
      <x:c r="AJ278" s="49" t="str"/>
      <x:c r="AK278" s="69" t="n">
        <x:f>IF(W278&lt;&gt;"",50,IF(X278="101-150",45,IF(X278="151-200",40,IF(X278="201-300",35,0))))+IF(H278="Autonomous",20,0)+IF(OR(G278="Government",G278="Government-Aided",G278="University Department",G278="University",G278="University Autonomous"),15,0)+MIN(K278,10)+IF(AA278&lt;&gt;"",3,0)+IF(U278&lt;&gt;"",2,0)</x:f>
        <x:v>29</x:v>
      </x:c>
      <x:c r="AL278" s="49" t="str">
        <x:f>IF(AK278&gt;=70,"Official/high-evidence reference",IF(AK278&gt;=40,"Planning reference","Broader option"))</x:f>
        <x:v>Broader option</x:v>
      </x:c>
    </x:row>
    <x:row r="279">
      <x:c r="A279" s="63" t="n">
        <x:v>6285</x:v>
      </x:c>
      <x:c r="B279" s="49" t="str">
        <x:v>Bharati Vidyapeeth's College of Engineering for Women, Katraj, Dhankawadi, Pune</x:v>
      </x:c>
      <x:c r="C279" s="49" t="str">
        <x:v>Maharashtra</x:v>
      </x:c>
      <x:c r="D279" s="49"/>
      <x:c r="E279" s="49" t="str">
        <x:v>Pune</x:v>
      </x:c>
      <x:c r="F279" s="49"/>
      <x:c r="G279" s="49" t="str">
        <x:v>Un-Aided</x:v>
      </x:c>
      <x:c r="H279" s="49" t="str">
        <x:v>Non-Autonomous / not stated</x:v>
      </x:c>
      <x:c r="I279" s="49" t="str">
        <x:v>Non-Minority / not stated</x:v>
      </x:c>
      <x:c r="J279" s="49"/>
      <x:c r="K279" s="49" t="n">
        <x:v>3</x:v>
      </x:c>
      <x:c r="L279" s="49" t="n">
        <x:v>44</x:v>
      </x:c>
      <x:c r="M279" s="49" t="n">
        <x:v>36</x:v>
      </x:c>
      <x:c r="N279" s="49" t="n">
        <x:v>8</x:v>
      </x:c>
      <x:c r="O279" s="49"/>
      <x:c r="P279" s="49"/>
      <x:c r="Q279" s="49" t="str">
        <x:v>Parsed from official 2025-26 PDF</x:v>
      </x:c>
      <x:c r="R279" s="49" t="str">
        <x:v>2024-25</x:v>
      </x:c>
      <x:c r="S279" s="64" t="n">
        <x:v>113655</x:v>
      </x:c>
      <x:c r="T279" s="64" t="n">
        <x:v>15345</x:v>
      </x:c>
      <x:c r="U279" s="64" t="n">
        <x:v>129000</x:v>
      </x:c>
      <x:c r="V279" s="49" t="str">
        <x:v>Normal FRA-approved annual tuition + development fee; not seat-type-specific</x:v>
      </x:c>
      <x:c r="W279" s="49"/>
      <x:c r="X279" s="49"/>
      <x:c r="Y279" s="68"/>
      <x:c r="Z279" s="49"/>
      <x:c r="AA279" s="49"/>
      <x:c r="AB279" s="49" t="str">
        <x:v>Not centrally verified</x:v>
      </x:c>
      <x:c r="AC279" s="49" t="str">
        <x:v>Not centrally verified</x:v>
      </x:c>
      <x:c r="AD279" s="49" t="str">
        <x:v>Not centrally verified</x:v>
      </x:c>
      <x:c r="AE279" s="49" t="str">
        <x:v>Not available in a standardized official source</x:v>
      </x:c>
      <x:c r="AF279" s="49" t="str">
        <x:v>Not included: no official standardized source; cutoff-derived proxy excluded</x:v>
      </x:c>
      <x:c r="AG279" s="49" t="str">
        <x:v>https://dse2025.mahacet.org.in/dse25/admin/allotment/cap2/6285_4.pdf</x:v>
      </x:c>
      <x:c r="AH279" s="49" t="str">
        <x:v>https://fe2025.mahacet.org/StaticPages/frmInstituteSummary.aspx?InstituteCode=06285</x:v>
      </x:c>
      <x:c r="AI279" s="49"/>
      <x:c r="AJ279" s="49" t="str"/>
      <x:c r="AK279" s="69" t="n">
        <x:f>IF(W279&lt;&gt;"",50,IF(X279="101-150",45,IF(X279="151-200",40,IF(X279="201-300",35,0))))+IF(H279="Autonomous",20,0)+IF(OR(G279="Government",G279="Government-Aided",G279="University Department",G279="University",G279="University Autonomous"),15,0)+MIN(K279,10)+IF(AA279&lt;&gt;"",3,0)+IF(U279&lt;&gt;"",2,0)</x:f>
        <x:v>5</x:v>
      </x:c>
      <x:c r="AL279" s="49" t="str">
        <x:f>IF(AK279&gt;=70,"Official/high-evidence reference",IF(AK279&gt;=40,"Planning reference","Broader option"))</x:f>
        <x:v>Broader option</x:v>
      </x:c>
    </x:row>
    <x:row r="280">
      <x:c r="A280" s="63" t="n">
        <x:v>6288</x:v>
      </x:c>
      <x:c r="B280" s="49" t="str">
        <x:v>Bharati Vidyapeeth's College of Engineering, Kolhapur</x:v>
      </x:c>
      <x:c r="C280" s="49" t="str">
        <x:v>Maharashtra</x:v>
      </x:c>
      <x:c r="D280" s="49"/>
      <x:c r="E280" s="49" t="str">
        <x:v>Kolhapur</x:v>
      </x:c>
      <x:c r="F280" s="49"/>
      <x:c r="G280" s="49" t="str">
        <x:v>Un-Aided</x:v>
      </x:c>
      <x:c r="H280" s="49" t="str">
        <x:v>Non-Autonomous / not stated</x:v>
      </x:c>
      <x:c r="I280" s="49" t="str">
        <x:v>Non-Minority / not stated</x:v>
      </x:c>
      <x:c r="J280" s="49"/>
      <x:c r="K280" s="49" t="n">
        <x:v>5</x:v>
      </x:c>
      <x:c r="L280" s="49" t="n">
        <x:v>112</x:v>
      </x:c>
      <x:c r="M280" s="49" t="n">
        <x:v>96</x:v>
      </x:c>
      <x:c r="N280" s="49" t="n">
        <x:v>16</x:v>
      </x:c>
      <x:c r="O280" s="49"/>
      <x:c r="P280" s="49"/>
      <x:c r="Q280" s="49" t="str">
        <x:v>Parsed from official 2025-26 PDF</x:v>
      </x:c>
      <x:c r="R280" s="49" t="str">
        <x:v>2024-25</x:v>
      </x:c>
      <x:c r="S280" s="64" t="n">
        <x:v>88210</x:v>
      </x:c>
      <x:c r="T280" s="64" t="n">
        <x:v>12790</x:v>
      </x:c>
      <x:c r="U280" s="64" t="n">
        <x:v>101000</x:v>
      </x:c>
      <x:c r="V280" s="49" t="str">
        <x:v>Normal FRA-approved annual tuition + development fee; not seat-type-specific</x:v>
      </x:c>
      <x:c r="W280" s="49"/>
      <x:c r="X280" s="49"/>
      <x:c r="Y280" s="68"/>
      <x:c r="Z280" s="49"/>
      <x:c r="AA280" s="49"/>
      <x:c r="AB280" s="49" t="str">
        <x:v>Not centrally verified</x:v>
      </x:c>
      <x:c r="AC280" s="49" t="str">
        <x:v>Not centrally verified</x:v>
      </x:c>
      <x:c r="AD280" s="49" t="str">
        <x:v>Not centrally verified</x:v>
      </x:c>
      <x:c r="AE280" s="49" t="str">
        <x:v>Not available in a standardized official source</x:v>
      </x:c>
      <x:c r="AF280" s="49" t="str">
        <x:v>Not included: no official standardized source; cutoff-derived proxy excluded</x:v>
      </x:c>
      <x:c r="AG280" s="49" t="str">
        <x:v>https://dse2025.mahacet.org.in/dse25/admin/allotment/cap2/6288_4.pdf</x:v>
      </x:c>
      <x:c r="AH280" s="49" t="str">
        <x:v>https://fe2025.mahacet.org/StaticPages/frmInstituteSummary.aspx?InstituteCode=06288</x:v>
      </x:c>
      <x:c r="AI280" s="49"/>
      <x:c r="AJ280" s="49" t="str"/>
      <x:c r="AK280" s="69" t="n">
        <x:f>IF(W280&lt;&gt;"",50,IF(X280="101-150",45,IF(X280="151-200",40,IF(X280="201-300",35,0))))+IF(H280="Autonomous",20,0)+IF(OR(G280="Government",G280="Government-Aided",G280="University Department",G280="University",G280="University Autonomous"),15,0)+MIN(K280,10)+IF(AA280&lt;&gt;"",3,0)+IF(U280&lt;&gt;"",2,0)</x:f>
        <x:v>7</x:v>
      </x:c>
      <x:c r="AL280" s="49" t="str">
        <x:f>IF(AK280&gt;=70,"Official/high-evidence reference",IF(AK280&gt;=40,"Planning reference","Broader option"))</x:f>
        <x:v>Broader option</x:v>
      </x:c>
    </x:row>
    <x:row r="281">
      <x:c r="A281" s="63" t="n">
        <x:v>6289</x:v>
      </x:c>
      <x:c r="B281" s="49" t="str">
        <x:v>B.R.A.C.Ts Vishwakarma Institute of Information Technology, Kondhwa (Bk.), Pune</x:v>
      </x:c>
      <x:c r="C281" s="49" t="str">
        <x:v>Maharashtra</x:v>
      </x:c>
      <x:c r="D281" s="49"/>
      <x:c r="E281" s="49" t="str">
        <x:v>Pune</x:v>
      </x:c>
      <x:c r="F281" s="49"/>
      <x:c r="G281" s="49" t="str">
        <x:v>Un-Aided Autonomous</x:v>
      </x:c>
      <x:c r="H281" s="49" t="str">
        <x:v>Autonomous</x:v>
      </x:c>
      <x:c r="I281" s="49" t="str">
        <x:v>Not verified</x:v>
      </x:c>
      <x:c r="J281" s="49"/>
      <x:c r="K281" s="49" t="n">
        <x:v>0</x:v>
      </x:c>
      <x:c r="L281" s="49"/>
      <x:c r="M281" s="49"/>
      <x:c r="N281" s="49"/>
      <x:c r="O281" s="49"/>
      <x:c r="P281" s="49"/>
      <x:c r="Q281" s="49" t="str">
        <x:v>Official PDF unavailable / not parsed</x:v>
      </x:c>
      <x:c r="R281" s="49" t="str">
        <x:v>2024-25</x:v>
      </x:c>
      <x:c r="S281" s="64" t="n">
        <x:v>154782</x:v>
      </x:c>
      <x:c r="T281" s="64" t="n">
        <x:v>23218</x:v>
      </x:c>
      <x:c r="U281" s="64" t="n">
        <x:v>178000</x:v>
      </x:c>
      <x:c r="V281" s="49" t="str">
        <x:v>Normal FRA-approved annual tuition + development fee; not seat-type-specific</x:v>
      </x:c>
      <x:c r="W281" s="49"/>
      <x:c r="X281" s="49"/>
      <x:c r="Y281" s="68"/>
      <x:c r="Z281" s="49"/>
      <x:c r="AA281" s="49"/>
      <x:c r="AB281" s="49" t="str">
        <x:v>Not centrally verified</x:v>
      </x:c>
      <x:c r="AC281" s="49" t="str">
        <x:v>Not centrally verified</x:v>
      </x:c>
      <x:c r="AD281" s="49" t="str">
        <x:v>Not centrally verified</x:v>
      </x:c>
      <x:c r="AE281" s="49" t="str">
        <x:v>Not available in a standardized official source</x:v>
      </x:c>
      <x:c r="AF281" s="49" t="str">
        <x:v>Not included: no official standardized source; cutoff-derived proxy excluded</x:v>
      </x:c>
      <x:c r="AG281" s="49"/>
      <x:c r="AH281" s="49" t="str">
        <x:v>https://fe2025.mahacet.org/StaticPages/frmInstituteList.aspx?did=1884</x:v>
      </x:c>
      <x:c r="AI281" s="49"/>
      <x:c r="AJ281" s="49" t="str">
        <x:v>PDF unavailable</x:v>
      </x:c>
      <x:c r="AK281" s="69" t="n">
        <x:f>IF(W281&lt;&gt;"",50,IF(X281="101-150",45,IF(X281="151-200",40,IF(X281="201-300",35,0))))+IF(H281="Autonomous",20,0)+IF(OR(G281="Government",G281="Government-Aided",G281="University Department",G281="University",G281="University Autonomous"),15,0)+MIN(K281,10)+IF(AA281&lt;&gt;"",3,0)+IF(U281&lt;&gt;"",2,0)</x:f>
        <x:v>22</x:v>
      </x:c>
      <x:c r="AL281" s="49" t="str">
        <x:f>IF(AK281&gt;=70,"Official/high-evidence reference",IF(AK281&gt;=40,"Planning reference","Broader option"))</x:f>
        <x:v>Broader option</x:v>
      </x:c>
    </x:row>
    <x:row r="282">
      <x:c r="A282" s="63" t="n">
        <x:v>6293</x:v>
      </x:c>
      <x:c r="B282" s="49" t="str">
        <x:v>Kai Amdar Bramhadevdada Mane Shikshan &amp; Samajik Prathistan's Bramhadevdada Mane Institute of Technology, Solapur</x:v>
      </x:c>
      <x:c r="C282" s="49" t="str">
        <x:v>Maharashtra</x:v>
      </x:c>
      <x:c r="D282" s="49"/>
      <x:c r="E282" s="49" t="str">
        <x:v>Solapur</x:v>
      </x:c>
      <x:c r="F282" s="49"/>
      <x:c r="G282" s="49" t="str">
        <x:v>Un-Aided</x:v>
      </x:c>
      <x:c r="H282" s="49" t="str">
        <x:v>Non-Autonomous / not stated</x:v>
      </x:c>
      <x:c r="I282" s="49" t="str">
        <x:v>Non-Minority / not stated</x:v>
      </x:c>
      <x:c r="J282" s="49"/>
      <x:c r="K282" s="49" t="n">
        <x:v>4</x:v>
      </x:c>
      <x:c r="L282" s="49" t="n">
        <x:v>125</x:v>
      </x:c>
      <x:c r="M282" s="49" t="n">
        <x:v>110</x:v>
      </x:c>
      <x:c r="N282" s="49" t="n">
        <x:v>15</x:v>
      </x:c>
      <x:c r="O282" s="49"/>
      <x:c r="P282" s="49"/>
      <x:c r="Q282" s="49" t="str">
        <x:v>Parsed from official 2025-26 PDF</x:v>
      </x:c>
      <x:c r="R282" s="49" t="str">
        <x:v>2024-25</x:v>
      </x:c>
      <x:c r="S282" s="64" t="n">
        <x:v>88494</x:v>
      </x:c>
      <x:c r="T282" s="64" t="n">
        <x:v>11506</x:v>
      </x:c>
      <x:c r="U282" s="64" t="n">
        <x:v>100000</x:v>
      </x:c>
      <x:c r="V282" s="49" t="str">
        <x:v>Normal FRA-approved annual tuition + development fee; not seat-type-specific</x:v>
      </x:c>
      <x:c r="W282" s="49"/>
      <x:c r="X282" s="49"/>
      <x:c r="Y282" s="68"/>
      <x:c r="Z282" s="49"/>
      <x:c r="AA282" s="49"/>
      <x:c r="AB282" s="49" t="str">
        <x:v>Not centrally verified</x:v>
      </x:c>
      <x:c r="AC282" s="49" t="str">
        <x:v>Not centrally verified</x:v>
      </x:c>
      <x:c r="AD282" s="49" t="str">
        <x:v>Not centrally verified</x:v>
      </x:c>
      <x:c r="AE282" s="49" t="str">
        <x:v>Not available in a standardized official source</x:v>
      </x:c>
      <x:c r="AF282" s="49" t="str">
        <x:v>Not included: no official standardized source; cutoff-derived proxy excluded</x:v>
      </x:c>
      <x:c r="AG282" s="49" t="str">
        <x:v>https://dse2025.mahacet.org.in/dse25/admin/allotment/cap2/6293_4.pdf</x:v>
      </x:c>
      <x:c r="AH282" s="49" t="str">
        <x:v>https://fe2025.mahacet.org/StaticPages/frmInstituteSummary.aspx?InstituteCode=06293</x:v>
      </x:c>
      <x:c r="AI282" s="49"/>
      <x:c r="AJ282" s="49" t="str"/>
      <x:c r="AK282" s="69" t="n">
        <x:f>IF(W282&lt;&gt;"",50,IF(X282="101-150",45,IF(X282="151-200",40,IF(X282="201-300",35,0))))+IF(H282="Autonomous",20,0)+IF(OR(G282="Government",G282="Government-Aided",G282="University Department",G282="University",G282="University Autonomous"),15,0)+MIN(K282,10)+IF(AA282&lt;&gt;"",3,0)+IF(U282&lt;&gt;"",2,0)</x:f>
        <x:v>6</x:v>
      </x:c>
      <x:c r="AL282" s="49" t="str">
        <x:f>IF(AK282&gt;=70,"Official/high-evidence reference",IF(AK282&gt;=40,"Planning reference","Broader option"))</x:f>
        <x:v>Broader option</x:v>
      </x:c>
    </x:row>
    <x:row r="283">
      <x:c r="A283" s="63" t="n">
        <x:v>6298</x:v>
      </x:c>
      <x:c r="B283" s="49" t="str">
        <x:v>Zeal Education Society's Zeal College of Engineering &amp; Reserch, Narhe, Pune</x:v>
      </x:c>
      <x:c r="C283" s="49" t="str">
        <x:v>Maharashtra</x:v>
      </x:c>
      <x:c r="D283" s="49"/>
      <x:c r="E283" s="49" t="str">
        <x:v>Pune</x:v>
      </x:c>
      <x:c r="F283" s="49"/>
      <x:c r="G283" s="49" t="str">
        <x:v>Un-Aided</x:v>
      </x:c>
      <x:c r="H283" s="49" t="str">
        <x:v>Autonomous</x:v>
      </x:c>
      <x:c r="I283" s="49" t="str">
        <x:v>Non-Minority / not stated</x:v>
      </x:c>
      <x:c r="J283" s="49"/>
      <x:c r="K283" s="49" t="n">
        <x:v>10</x:v>
      </x:c>
      <x:c r="L283" s="49" t="n">
        <x:v>270</x:v>
      </x:c>
      <x:c r="M283" s="49" t="n">
        <x:v>222</x:v>
      </x:c>
      <x:c r="N283" s="49" t="n">
        <x:v>48</x:v>
      </x:c>
      <x:c r="O283" s="49"/>
      <x:c r="P283" s="49"/>
      <x:c r="Q283" s="49" t="str">
        <x:v>Parsed from official 2025-26 PDF</x:v>
      </x:c>
      <x:c r="R283" s="49" t="str">
        <x:v>2024-25</x:v>
      </x:c>
      <x:c r="S283" s="64" t="n">
        <x:v>104348</x:v>
      </x:c>
      <x:c r="T283" s="64" t="n">
        <x:v>15652</x:v>
      </x:c>
      <x:c r="U283" s="64" t="n">
        <x:v>120000</x:v>
      </x:c>
      <x:c r="V283" s="49" t="str">
        <x:v>Normal FRA-approved annual tuition + development fee; not seat-type-specific</x:v>
      </x:c>
      <x:c r="W283" s="49"/>
      <x:c r="X283" s="49"/>
      <x:c r="Y283" s="68"/>
      <x:c r="Z283" s="49"/>
      <x:c r="AA283" s="49"/>
      <x:c r="AB283" s="49" t="str">
        <x:v>Not centrally verified</x:v>
      </x:c>
      <x:c r="AC283" s="49" t="str">
        <x:v>Not centrally verified</x:v>
      </x:c>
      <x:c r="AD283" s="49" t="str">
        <x:v>Not centrally verified</x:v>
      </x:c>
      <x:c r="AE283" s="49" t="str">
        <x:v>Not available in a standardized official source</x:v>
      </x:c>
      <x:c r="AF283" s="49" t="str">
        <x:v>Not included: no official standardized source; cutoff-derived proxy excluded</x:v>
      </x:c>
      <x:c r="AG283" s="49" t="str">
        <x:v>https://dse2025.mahacet.org.in/dse25/admin/allotment/cap2/6298_4.pdf</x:v>
      </x:c>
      <x:c r="AH283" s="49" t="str">
        <x:v>https://fe2025.mahacet.org/StaticPages/frmInstituteSummary.aspx?InstituteCode=06298</x:v>
      </x:c>
      <x:c r="AI283" s="49"/>
      <x:c r="AJ283" s="49" t="str"/>
      <x:c r="AK283" s="69" t="n">
        <x:f>IF(W283&lt;&gt;"",50,IF(X283="101-150",45,IF(X283="151-200",40,IF(X283="201-300",35,0))))+IF(H283="Autonomous",20,0)+IF(OR(G283="Government",G283="Government-Aided",G283="University Department",G283="University",G283="University Autonomous"),15,0)+MIN(K283,10)+IF(AA283&lt;&gt;"",3,0)+IF(U283&lt;&gt;"",2,0)</x:f>
        <x:v>32</x:v>
      </x:c>
      <x:c r="AL283" s="49" t="str">
        <x:f>IF(AK283&gt;=70,"Official/high-evidence reference",IF(AK283&gt;=40,"Planning reference","Broader option"))</x:f>
        <x:v>Broader option</x:v>
      </x:c>
    </x:row>
    <x:row r="284">
      <x:c r="A284" s="63" t="n">
        <x:v>6303</x:v>
      </x:c>
      <x:c r="B284" s="49" t="str">
        <x:v>Dr. Ashok Gujar Technical Institute's Dr. Daulatrao Aher College of Engineering, Karad</x:v>
      </x:c>
      <x:c r="C284" s="49" t="str">
        <x:v>Maharashtra</x:v>
      </x:c>
      <x:c r="D284" s="49"/>
      <x:c r="E284" s="49" t="str">
        <x:v>Satara</x:v>
      </x:c>
      <x:c r="F284" s="49"/>
      <x:c r="G284" s="49" t="str">
        <x:v>Un-Aided</x:v>
      </x:c>
      <x:c r="H284" s="49" t="str">
        <x:v>Non-Autonomous / not stated</x:v>
      </x:c>
      <x:c r="I284" s="49" t="str">
        <x:v>Non-Minority / not stated</x:v>
      </x:c>
      <x:c r="J284" s="49"/>
      <x:c r="K284" s="49" t="n">
        <x:v>5</x:v>
      </x:c>
      <x:c r="L284" s="49" t="n">
        <x:v>113</x:v>
      </x:c>
      <x:c r="M284" s="49" t="n">
        <x:v>94</x:v>
      </x:c>
      <x:c r="N284" s="49" t="n">
        <x:v>19</x:v>
      </x:c>
      <x:c r="O284" s="49"/>
      <x:c r="P284" s="49"/>
      <x:c r="Q284" s="49" t="str">
        <x:v>Parsed from official 2025-26 PDF</x:v>
      </x:c>
      <x:c r="R284" s="49" t="str">
        <x:v>2024-25</x:v>
      </x:c>
      <x:c r="S284" s="64" t="n">
        <x:v>75000</x:v>
      </x:c>
      <x:c r="T284" s="64" t="n">
        <x:v>10500</x:v>
      </x:c>
      <x:c r="U284" s="64" t="n">
        <x:v>85500</x:v>
      </x:c>
      <x:c r="V284" s="49" t="str">
        <x:v>Normal FRA-approved annual tuition + development fee; not seat-type-specific</x:v>
      </x:c>
      <x:c r="W284" s="49"/>
      <x:c r="X284" s="49"/>
      <x:c r="Y284" s="68"/>
      <x:c r="Z284" s="49"/>
      <x:c r="AA284" s="49"/>
      <x:c r="AB284" s="49" t="str">
        <x:v>Not centrally verified</x:v>
      </x:c>
      <x:c r="AC284" s="49" t="str">
        <x:v>Not centrally verified</x:v>
      </x:c>
      <x:c r="AD284" s="49" t="str">
        <x:v>Not centrally verified</x:v>
      </x:c>
      <x:c r="AE284" s="49" t="str">
        <x:v>Not available in a standardized official source</x:v>
      </x:c>
      <x:c r="AF284" s="49" t="str">
        <x:v>Not included: no official standardized source; cutoff-derived proxy excluded</x:v>
      </x:c>
      <x:c r="AG284" s="49" t="str">
        <x:v>https://dse2025.mahacet.org.in/dse25/admin/allotment/cap2/6303_4.pdf</x:v>
      </x:c>
      <x:c r="AH284" s="49" t="str">
        <x:v>https://fe2025.mahacet.org/StaticPages/frmInstituteSummary.aspx?InstituteCode=06303</x:v>
      </x:c>
      <x:c r="AI284" s="49"/>
      <x:c r="AJ284" s="49" t="str"/>
      <x:c r="AK284" s="69" t="n">
        <x:f>IF(W284&lt;&gt;"",50,IF(X284="101-150",45,IF(X284="151-200",40,IF(X284="201-300",35,0))))+IF(H284="Autonomous",20,0)+IF(OR(G284="Government",G284="Government-Aided",G284="University Department",G284="University",G284="University Autonomous"),15,0)+MIN(K284,10)+IF(AA284&lt;&gt;"",3,0)+IF(U284&lt;&gt;"",2,0)</x:f>
        <x:v>7</x:v>
      </x:c>
      <x:c r="AL284" s="49" t="str">
        <x:f>IF(AK284&gt;=70,"Official/high-evidence reference",IF(AK284&gt;=40,"Planning reference","Broader option"))</x:f>
        <x:v>Broader option</x:v>
      </x:c>
    </x:row>
    <x:row r="285">
      <x:c r="A285" s="63" t="n">
        <x:v>6304</x:v>
      </x:c>
      <x:c r="B285" s="49" t="str">
        <x:v>Loknete Hanumantrao Charitable Trust's Adarsh Institute of Technology and Research Centre, Vita,Sangli</x:v>
      </x:c>
      <x:c r="C285" s="49" t="str">
        <x:v>Maharashtra</x:v>
      </x:c>
      <x:c r="D285" s="49"/>
      <x:c r="E285" s="49" t="str">
        <x:v>Sangli</x:v>
      </x:c>
      <x:c r="F285" s="49"/>
      <x:c r="G285" s="49" t="str">
        <x:v>Un-Aided</x:v>
      </x:c>
      <x:c r="H285" s="49" t="str">
        <x:v>Autonomous</x:v>
      </x:c>
      <x:c r="I285" s="49" t="str">
        <x:v>Non-Minority / not stated</x:v>
      </x:c>
      <x:c r="J285" s="49"/>
      <x:c r="K285" s="49" t="n">
        <x:v>7</x:v>
      </x:c>
      <x:c r="L285" s="49" t="n">
        <x:v>147</x:v>
      </x:c>
      <x:c r="M285" s="49" t="n">
        <x:v>139</x:v>
      </x:c>
      <x:c r="N285" s="49" t="n">
        <x:v>8</x:v>
      </x:c>
      <x:c r="O285" s="49"/>
      <x:c r="P285" s="49"/>
      <x:c r="Q285" s="49" t="str">
        <x:v>Parsed from official 2025-26 PDF</x:v>
      </x:c>
      <x:c r="R285" s="49" t="str">
        <x:v>2024-25</x:v>
      </x:c>
      <x:c r="S285" s="64" t="n">
        <x:v>87410</x:v>
      </x:c>
      <x:c r="T285" s="64" t="n">
        <x:v>9090</x:v>
      </x:c>
      <x:c r="U285" s="64" t="n">
        <x:v>96500</x:v>
      </x:c>
      <x:c r="V285" s="49" t="str">
        <x:v>Normal FRA-approved annual tuition + development fee; not seat-type-specific</x:v>
      </x:c>
      <x:c r="W285" s="49"/>
      <x:c r="X285" s="49"/>
      <x:c r="Y285" s="68"/>
      <x:c r="Z285" s="49"/>
      <x:c r="AA285" s="49"/>
      <x:c r="AB285" s="49" t="str">
        <x:v>Not centrally verified</x:v>
      </x:c>
      <x:c r="AC285" s="49" t="str">
        <x:v>Not centrally verified</x:v>
      </x:c>
      <x:c r="AD285" s="49" t="str">
        <x:v>Not centrally verified</x:v>
      </x:c>
      <x:c r="AE285" s="49" t="str">
        <x:v>Not available in a standardized official source</x:v>
      </x:c>
      <x:c r="AF285" s="49" t="str">
        <x:v>Not included: no official standardized source; cutoff-derived proxy excluded</x:v>
      </x:c>
      <x:c r="AG285" s="49" t="str">
        <x:v>https://dse2025.mahacet.org.in/dse25/admin/allotment/cap2/6304_4.pdf</x:v>
      </x:c>
      <x:c r="AH285" s="49" t="str">
        <x:v>https://fe2025.mahacet.org/StaticPages/frmInstituteSummary.aspx?InstituteCode=06304</x:v>
      </x:c>
      <x:c r="AI285" s="49"/>
      <x:c r="AJ285" s="49" t="str"/>
      <x:c r="AK285" s="69" t="n">
        <x:f>IF(W285&lt;&gt;"",50,IF(X285="101-150",45,IF(X285="151-200",40,IF(X285="201-300",35,0))))+IF(H285="Autonomous",20,0)+IF(OR(G285="Government",G285="Government-Aided",G285="University Department",G285="University",G285="University Autonomous"),15,0)+MIN(K285,10)+IF(AA285&lt;&gt;"",3,0)+IF(U285&lt;&gt;"",2,0)</x:f>
        <x:v>29</x:v>
      </x:c>
      <x:c r="AL285" s="49" t="str">
        <x:f>IF(AK285&gt;=70,"Official/high-evidence reference",IF(AK285&gt;=40,"Planning reference","Broader option"))</x:f>
        <x:v>Broader option</x:v>
      </x:c>
    </x:row>
    <x:row r="286">
      <x:c r="A286" s="63" t="n">
        <x:v>6305</x:v>
      </x:c>
      <x:c r="B286" s="49" t="str">
        <x:v>Late Narayandas Bhawandas Chhabada Institute of Engineering &amp; Technology, Satara</x:v>
      </x:c>
      <x:c r="C286" s="49" t="str">
        <x:v>Maharashtra</x:v>
      </x:c>
      <x:c r="D286" s="49"/>
      <x:c r="E286" s="49" t="str">
        <x:v>Satara</x:v>
      </x:c>
      <x:c r="F286" s="49"/>
      <x:c r="G286" s="49" t="str">
        <x:v>Un-Aided</x:v>
      </x:c>
      <x:c r="H286" s="49" t="str">
        <x:v>Autonomous</x:v>
      </x:c>
      <x:c r="I286" s="49" t="str">
        <x:v>Non-Minority / not stated</x:v>
      </x:c>
      <x:c r="J286" s="49"/>
      <x:c r="K286" s="49" t="n">
        <x:v>5</x:v>
      </x:c>
      <x:c r="L286" s="49" t="n">
        <x:v>253</x:v>
      </x:c>
      <x:c r="M286" s="49" t="n">
        <x:v>227</x:v>
      </x:c>
      <x:c r="N286" s="49" t="n">
        <x:v>26</x:v>
      </x:c>
      <x:c r="O286" s="49"/>
      <x:c r="P286" s="49"/>
      <x:c r="Q286" s="49" t="str">
        <x:v>Parsed from official 2025-26 PDF</x:v>
      </x:c>
      <x:c r="R286" s="49" t="str">
        <x:v>2024-25</x:v>
      </x:c>
      <x:c r="S286" s="64" t="n">
        <x:v>20000</x:v>
      </x:c>
      <x:c r="T286" s="64" t="n">
        <x:v>2000</x:v>
      </x:c>
      <x:c r="U286" s="64" t="n">
        <x:v>22000</x:v>
      </x:c>
      <x:c r="V286" s="49" t="str">
        <x:v>Normal FRA-approved annual tuition + development fee; not seat-type-specific</x:v>
      </x:c>
      <x:c r="W286" s="49"/>
      <x:c r="X286" s="49"/>
      <x:c r="Y286" s="68"/>
      <x:c r="Z286" s="49"/>
      <x:c r="AA286" s="49"/>
      <x:c r="AB286" s="49" t="str">
        <x:v>Not centrally verified</x:v>
      </x:c>
      <x:c r="AC286" s="49" t="str">
        <x:v>Not centrally verified</x:v>
      </x:c>
      <x:c r="AD286" s="49" t="str">
        <x:v>Not centrally verified</x:v>
      </x:c>
      <x:c r="AE286" s="49" t="str">
        <x:v>Not available in a standardized official source</x:v>
      </x:c>
      <x:c r="AF286" s="49" t="str">
        <x:v>Not included: no official standardized source; cutoff-derived proxy excluded</x:v>
      </x:c>
      <x:c r="AG286" s="49" t="str">
        <x:v>https://dse2025.mahacet.org.in/dse25/admin/allotment/cap2/6305_4.pdf</x:v>
      </x:c>
      <x:c r="AH286" s="49" t="str">
        <x:v>https://fe2025.mahacet.org/StaticPages/frmInstituteSummary.aspx?InstituteCode=06305</x:v>
      </x:c>
      <x:c r="AI286" s="49"/>
      <x:c r="AJ286" s="49" t="str"/>
      <x:c r="AK286" s="69" t="n">
        <x:f>IF(W286&lt;&gt;"",50,IF(X286="101-150",45,IF(X286="151-200",40,IF(X286="201-300",35,0))))+IF(H286="Autonomous",20,0)+IF(OR(G286="Government",G286="Government-Aided",G286="University Department",G286="University",G286="University Autonomous"),15,0)+MIN(K286,10)+IF(AA286&lt;&gt;"",3,0)+IF(U286&lt;&gt;"",2,0)</x:f>
        <x:v>27</x:v>
      </x:c>
      <x:c r="AL286" s="49" t="str">
        <x:f>IF(AK286&gt;=70,"Official/high-evidence reference",IF(AK286&gt;=40,"Planning reference","Broader option"))</x:f>
        <x:v>Broader option</x:v>
      </x:c>
    </x:row>
    <x:row r="287">
      <x:c r="A287" s="63" t="n">
        <x:v>6307</x:v>
      </x:c>
      <x:c r="B287" s="49" t="str">
        <x:v>Dhole Patil Education Society, Dhole Patil College of Engineering, Wagholi, Tal. Haveli</x:v>
      </x:c>
      <x:c r="C287" s="49" t="str">
        <x:v>Maharashtra</x:v>
      </x:c>
      <x:c r="D287" s="49"/>
      <x:c r="E287" s="49" t="str">
        <x:v>Pune</x:v>
      </x:c>
      <x:c r="F287" s="49"/>
      <x:c r="G287" s="49" t="str">
        <x:v>Un-Aided</x:v>
      </x:c>
      <x:c r="H287" s="49" t="str">
        <x:v>Non-Autonomous / not stated</x:v>
      </x:c>
      <x:c r="I287" s="49" t="str">
        <x:v>Non-Minority / not stated</x:v>
      </x:c>
      <x:c r="J287" s="49"/>
      <x:c r="K287" s="49" t="n">
        <x:v>4</x:v>
      </x:c>
      <x:c r="L287" s="49" t="n">
        <x:v>69</x:v>
      </x:c>
      <x:c r="M287" s="49" t="n">
        <x:v>52</x:v>
      </x:c>
      <x:c r="N287" s="49" t="n">
        <x:v>17</x:v>
      </x:c>
      <x:c r="O287" s="49"/>
      <x:c r="P287" s="49"/>
      <x:c r="Q287" s="49" t="str">
        <x:v>Parsed from official 2025-26 PDF</x:v>
      </x:c>
      <x:c r="R287" s="49" t="str">
        <x:v>2024-25</x:v>
      </x:c>
      <x:c r="S287" s="64" t="n">
        <x:v>82824</x:v>
      </x:c>
      <x:c r="T287" s="64" t="n">
        <x:v>12176</x:v>
      </x:c>
      <x:c r="U287" s="64" t="n">
        <x:v>95000</x:v>
      </x:c>
      <x:c r="V287" s="49" t="str">
        <x:v>Normal FRA-approved annual tuition + development fee; not seat-type-specific</x:v>
      </x:c>
      <x:c r="W287" s="49"/>
      <x:c r="X287" s="49"/>
      <x:c r="Y287" s="68"/>
      <x:c r="Z287" s="49"/>
      <x:c r="AA287" s="49"/>
      <x:c r="AB287" s="49" t="str">
        <x:v>Not centrally verified</x:v>
      </x:c>
      <x:c r="AC287" s="49" t="str">
        <x:v>Not centrally verified</x:v>
      </x:c>
      <x:c r="AD287" s="49" t="str">
        <x:v>Not centrally verified</x:v>
      </x:c>
      <x:c r="AE287" s="49" t="str">
        <x:v>Not available in a standardized official source</x:v>
      </x:c>
      <x:c r="AF287" s="49" t="str">
        <x:v>Not included: no official standardized source; cutoff-derived proxy excluded</x:v>
      </x:c>
      <x:c r="AG287" s="49" t="str">
        <x:v>https://dse2025.mahacet.org.in/dse25/admin/allotment/cap2/6307_4.pdf</x:v>
      </x:c>
      <x:c r="AH287" s="49" t="str">
        <x:v>https://fe2025.mahacet.org/StaticPages/frmInstituteSummary.aspx?InstituteCode=06307</x:v>
      </x:c>
      <x:c r="AI287" s="49"/>
      <x:c r="AJ287" s="49" t="str"/>
      <x:c r="AK287" s="69" t="n">
        <x:f>IF(W287&lt;&gt;"",50,IF(X287="101-150",45,IF(X287="151-200",40,IF(X287="201-300",35,0))))+IF(H287="Autonomous",20,0)+IF(OR(G287="Government",G287="Government-Aided",G287="University Department",G287="University",G287="University Autonomous"),15,0)+MIN(K287,10)+IF(AA287&lt;&gt;"",3,0)+IF(U287&lt;&gt;"",2,0)</x:f>
        <x:v>6</x:v>
      </x:c>
      <x:c r="AL287" s="49" t="str">
        <x:f>IF(AK287&gt;=70,"Official/high-evidence reference",IF(AK287&gt;=40,"Planning reference","Broader option"))</x:f>
        <x:v>Broader option</x:v>
      </x:c>
    </x:row>
    <x:row r="288">
      <x:c r="A288" s="63" t="n">
        <x:v>6308</x:v>
      </x:c>
      <x:c r="B288" s="49" t="str">
        <x:v>Shanti Education Society, A.G. Patil Institute of Technology, Soregaon, Solapur(North)</x:v>
      </x:c>
      <x:c r="C288" s="49" t="str">
        <x:v>Maharashtra</x:v>
      </x:c>
      <x:c r="D288" s="49"/>
      <x:c r="E288" s="49" t="str">
        <x:v>Solapur</x:v>
      </x:c>
      <x:c r="F288" s="49"/>
      <x:c r="G288" s="49" t="str">
        <x:v>Un-Aided</x:v>
      </x:c>
      <x:c r="H288" s="49" t="str">
        <x:v>Non-Autonomous / not stated</x:v>
      </x:c>
      <x:c r="I288" s="49" t="str">
        <x:v>Non-Minority / not stated</x:v>
      </x:c>
      <x:c r="J288" s="49"/>
      <x:c r="K288" s="49" t="n">
        <x:v>4</x:v>
      </x:c>
      <x:c r="L288" s="49" t="n">
        <x:v>126</x:v>
      </x:c>
      <x:c r="M288" s="49" t="n">
        <x:v>113</x:v>
      </x:c>
      <x:c r="N288" s="49" t="n">
        <x:v>13</x:v>
      </x:c>
      <x:c r="O288" s="49"/>
      <x:c r="P288" s="49"/>
      <x:c r="Q288" s="49" t="str">
        <x:v>Parsed from official 2025-26 PDF</x:v>
      </x:c>
      <x:c r="R288" s="49" t="str">
        <x:v>2024-25</x:v>
      </x:c>
      <x:c r="S288" s="64" t="n">
        <x:v>71682</x:v>
      </x:c>
      <x:c r="T288" s="64" t="n">
        <x:v>9318</x:v>
      </x:c>
      <x:c r="U288" s="64" t="n">
        <x:v>81000</x:v>
      </x:c>
      <x:c r="V288" s="49" t="str">
        <x:v>Normal FRA-approved annual tuition + development fee; not seat-type-specific</x:v>
      </x:c>
      <x:c r="W288" s="49"/>
      <x:c r="X288" s="49"/>
      <x:c r="Y288" s="68"/>
      <x:c r="Z288" s="49"/>
      <x:c r="AA288" s="49"/>
      <x:c r="AB288" s="49" t="str">
        <x:v>Not centrally verified</x:v>
      </x:c>
      <x:c r="AC288" s="49" t="str">
        <x:v>Not centrally verified</x:v>
      </x:c>
      <x:c r="AD288" s="49" t="str">
        <x:v>Not centrally verified</x:v>
      </x:c>
      <x:c r="AE288" s="49" t="str">
        <x:v>Not available in a standardized official source</x:v>
      </x:c>
      <x:c r="AF288" s="49" t="str">
        <x:v>Not included: no official standardized source; cutoff-derived proxy excluded</x:v>
      </x:c>
      <x:c r="AG288" s="49" t="str">
        <x:v>https://dse2025.mahacet.org.in/dse25/admin/allotment/cap2/6308_4.pdf</x:v>
      </x:c>
      <x:c r="AH288" s="49" t="str">
        <x:v>https://fe2025.mahacet.org/StaticPages/frmInstituteSummary.aspx?InstituteCode=06308</x:v>
      </x:c>
      <x:c r="AI288" s="49"/>
      <x:c r="AJ288" s="49" t="str"/>
      <x:c r="AK288" s="69" t="n">
        <x:f>IF(W288&lt;&gt;"",50,IF(X288="101-150",45,IF(X288="151-200",40,IF(X288="201-300",35,0))))+IF(H288="Autonomous",20,0)+IF(OR(G288="Government",G288="Government-Aided",G288="University Department",G288="University",G288="University Autonomous"),15,0)+MIN(K288,10)+IF(AA288&lt;&gt;"",3,0)+IF(U288&lt;&gt;"",2,0)</x:f>
        <x:v>6</x:v>
      </x:c>
      <x:c r="AL288" s="49" t="str">
        <x:f>IF(AK288&gt;=70,"Official/high-evidence reference",IF(AK288&gt;=40,"Planning reference","Broader option"))</x:f>
        <x:v>Broader option</x:v>
      </x:c>
    </x:row>
    <x:row r="289">
      <x:c r="A289" s="63" t="n">
        <x:v>6310</x:v>
      </x:c>
      <x:c r="B289" s="49" t="str">
        <x:v>Nutan Maharashtra Vidya Prasarak Mandal, Nutan Maharashtra Institute of Engineering &amp;Technology, Talegaon station, Pune</x:v>
      </x:c>
      <x:c r="C289" s="49" t="str">
        <x:v>Maharashtra</x:v>
      </x:c>
      <x:c r="D289" s="49"/>
      <x:c r="E289" s="49" t="str">
        <x:v>Pune</x:v>
      </x:c>
      <x:c r="F289" s="49"/>
      <x:c r="G289" s="49" t="str">
        <x:v>Un-Aided</x:v>
      </x:c>
      <x:c r="H289" s="49" t="str">
        <x:v>Autonomous</x:v>
      </x:c>
      <x:c r="I289" s="49" t="str">
        <x:v>Non-Minority / not stated</x:v>
      </x:c>
      <x:c r="J289" s="49"/>
      <x:c r="K289" s="49" t="n">
        <x:v>7</x:v>
      </x:c>
      <x:c r="L289" s="49" t="n">
        <x:v>162</x:v>
      </x:c>
      <x:c r="M289" s="49" t="n">
        <x:v>132</x:v>
      </x:c>
      <x:c r="N289" s="49" t="n">
        <x:v>30</x:v>
      </x:c>
      <x:c r="O289" s="49"/>
      <x:c r="P289" s="49"/>
      <x:c r="Q289" s="49" t="str">
        <x:v>Parsed from official 2025-26 PDF</x:v>
      </x:c>
      <x:c r="R289" s="49" t="str">
        <x:v>2024-25</x:v>
      </x:c>
      <x:c r="S289" s="64" t="n">
        <x:v>99382</x:v>
      </x:c>
      <x:c r="T289" s="64" t="n">
        <x:v>13118</x:v>
      </x:c>
      <x:c r="U289" s="64" t="n">
        <x:v>112500</x:v>
      </x:c>
      <x:c r="V289" s="49" t="str">
        <x:v>Normal FRA-approved annual tuition + development fee; not seat-type-specific</x:v>
      </x:c>
      <x:c r="W289" s="49"/>
      <x:c r="X289" s="49"/>
      <x:c r="Y289" s="68"/>
      <x:c r="Z289" s="49"/>
      <x:c r="AA289" s="49"/>
      <x:c r="AB289" s="49" t="str">
        <x:v>Not centrally verified</x:v>
      </x:c>
      <x:c r="AC289" s="49" t="str">
        <x:v>Not centrally verified</x:v>
      </x:c>
      <x:c r="AD289" s="49" t="str">
        <x:v>Not centrally verified</x:v>
      </x:c>
      <x:c r="AE289" s="49" t="str">
        <x:v>Not available in a standardized official source</x:v>
      </x:c>
      <x:c r="AF289" s="49" t="str">
        <x:v>Not included: no official standardized source; cutoff-derived proxy excluded</x:v>
      </x:c>
      <x:c r="AG289" s="49" t="str">
        <x:v>https://dse2025.mahacet.org.in/dse25/admin/allotment/cap2/6310_4.pdf</x:v>
      </x:c>
      <x:c r="AH289" s="49" t="str">
        <x:v>https://fe2025.mahacet.org/StaticPages/frmInstituteSummary.aspx?InstituteCode=06310</x:v>
      </x:c>
      <x:c r="AI289" s="49"/>
      <x:c r="AJ289" s="49" t="str"/>
      <x:c r="AK289" s="69" t="n">
        <x:f>IF(W289&lt;&gt;"",50,IF(X289="101-150",45,IF(X289="151-200",40,IF(X289="201-300",35,0))))+IF(H289="Autonomous",20,0)+IF(OR(G289="Government",G289="Government-Aided",G289="University Department",G289="University",G289="University Autonomous"),15,0)+MIN(K289,10)+IF(AA289&lt;&gt;"",3,0)+IF(U289&lt;&gt;"",2,0)</x:f>
        <x:v>29</x:v>
      </x:c>
      <x:c r="AL289" s="49" t="str">
        <x:f>IF(AK289&gt;=70,"Official/high-evidence reference",IF(AK289&gt;=40,"Planning reference","Broader option"))</x:f>
        <x:v>Broader option</x:v>
      </x:c>
    </x:row>
    <x:row r="290">
      <x:c r="A290" s="63" t="n">
        <x:v>6311</x:v>
      </x:c>
      <x:c r="B290" s="49" t="str">
        <x:v>Jayawant Shikshan Prasarak Mandal, Bhivarabai Sawant Institute of Technology &amp; Research, Wagholi</x:v>
      </x:c>
      <x:c r="C290" s="49" t="str">
        <x:v>Maharashtra</x:v>
      </x:c>
      <x:c r="D290" s="49"/>
      <x:c r="E290" s="49" t="str">
        <x:v>Pune</x:v>
      </x:c>
      <x:c r="F290" s="49"/>
      <x:c r="G290" s="49" t="str">
        <x:v>Un-Aided</x:v>
      </x:c>
      <x:c r="H290" s="49" t="str">
        <x:v>Non-Autonomous / not stated</x:v>
      </x:c>
      <x:c r="I290" s="49" t="str">
        <x:v>Non-Minority / not stated</x:v>
      </x:c>
      <x:c r="J290" s="49"/>
      <x:c r="K290" s="49" t="n">
        <x:v>5</x:v>
      </x:c>
      <x:c r="L290" s="49" t="n">
        <x:v>138</x:v>
      </x:c>
      <x:c r="M290" s="49" t="n">
        <x:v>106</x:v>
      </x:c>
      <x:c r="N290" s="49" t="n">
        <x:v>32</x:v>
      </x:c>
      <x:c r="O290" s="49"/>
      <x:c r="P290" s="49"/>
      <x:c r="Q290" s="49" t="str">
        <x:v>Parsed from official 2025-26 PDF</x:v>
      </x:c>
      <x:c r="R290" s="49" t="str">
        <x:v>2024-25</x:v>
      </x:c>
      <x:c r="S290" s="64" t="n">
        <x:v>87796</x:v>
      </x:c>
      <x:c r="T290" s="64" t="n">
        <x:v>12204</x:v>
      </x:c>
      <x:c r="U290" s="64" t="n">
        <x:v>100000</x:v>
      </x:c>
      <x:c r="V290" s="49" t="str">
        <x:v>Normal FRA-approved annual tuition + development fee; not seat-type-specific</x:v>
      </x:c>
      <x:c r="W290" s="49"/>
      <x:c r="X290" s="49"/>
      <x:c r="Y290" s="68"/>
      <x:c r="Z290" s="49"/>
      <x:c r="AA290" s="49"/>
      <x:c r="AB290" s="49" t="str">
        <x:v>Not centrally verified</x:v>
      </x:c>
      <x:c r="AC290" s="49" t="str">
        <x:v>Not centrally verified</x:v>
      </x:c>
      <x:c r="AD290" s="49" t="str">
        <x:v>Not centrally verified</x:v>
      </x:c>
      <x:c r="AE290" s="49" t="str">
        <x:v>Not available in a standardized official source</x:v>
      </x:c>
      <x:c r="AF290" s="49" t="str">
        <x:v>Not included: no official standardized source; cutoff-derived proxy excluded</x:v>
      </x:c>
      <x:c r="AG290" s="49" t="str">
        <x:v>https://dse2025.mahacet.org.in/dse25/admin/allotment/cap2/6311_4.pdf</x:v>
      </x:c>
      <x:c r="AH290" s="49" t="str">
        <x:v>https://fe2025.mahacet.org/StaticPages/frmInstituteSummary.aspx?InstituteCode=06311</x:v>
      </x:c>
      <x:c r="AI290" s="49"/>
      <x:c r="AJ290" s="49" t="str"/>
      <x:c r="AK290" s="69" t="n">
        <x:f>IF(W290&lt;&gt;"",50,IF(X290="101-150",45,IF(X290="151-200",40,IF(X290="201-300",35,0))))+IF(H290="Autonomous",20,0)+IF(OR(G290="Government",G290="Government-Aided",G290="University Department",G290="University",G290="University Autonomous"),15,0)+MIN(K290,10)+IF(AA290&lt;&gt;"",3,0)+IF(U290&lt;&gt;"",2,0)</x:f>
        <x:v>7</x:v>
      </x:c>
      <x:c r="AL290" s="49" t="str">
        <x:f>IF(AK290&gt;=70,"Official/high-evidence reference",IF(AK290&gt;=40,"Planning reference","Broader option"))</x:f>
        <x:v>Broader option</x:v>
      </x:c>
    </x:row>
    <x:row r="291">
      <x:c r="A291" s="63" t="n">
        <x:v>6313</x:v>
      </x:c>
      <x:c r="B291" s="49" t="str">
        <x:v>Jaywant College of Engineering &amp; Polytechnic , Kille Macchindragad Tal. Walva District- Sangali</x:v>
      </x:c>
      <x:c r="C291" s="49" t="str">
        <x:v>Maharashtra</x:v>
      </x:c>
      <x:c r="D291" s="49"/>
      <x:c r="E291" s="49" t="str">
        <x:v>Sangli</x:v>
      </x:c>
      <x:c r="F291" s="49"/>
      <x:c r="G291" s="49" t="str">
        <x:v>Un-Aided</x:v>
      </x:c>
      <x:c r="H291" s="49" t="str">
        <x:v>Non-Autonomous / not stated</x:v>
      </x:c>
      <x:c r="I291" s="49" t="str">
        <x:v>Non-Minority / not stated</x:v>
      </x:c>
      <x:c r="J291" s="49"/>
      <x:c r="K291" s="49" t="n">
        <x:v>5</x:v>
      </x:c>
      <x:c r="L291" s="49" t="n">
        <x:v>269</x:v>
      </x:c>
      <x:c r="M291" s="49" t="n">
        <x:v>241</x:v>
      </x:c>
      <x:c r="N291" s="49" t="n">
        <x:v>28</x:v>
      </x:c>
      <x:c r="O291" s="49"/>
      <x:c r="P291" s="49"/>
      <x:c r="Q291" s="49" t="str">
        <x:v>Parsed from official 2025-26 PDF</x:v>
      </x:c>
      <x:c r="R291" s="49" t="str">
        <x:v>2024-25</x:v>
      </x:c>
      <x:c r="S291" s="64" t="n">
        <x:v>47512</x:v>
      </x:c>
      <x:c r="T291" s="64" t="n">
        <x:v>4988</x:v>
      </x:c>
      <x:c r="U291" s="64" t="n">
        <x:v>52500</x:v>
      </x:c>
      <x:c r="V291" s="49" t="str">
        <x:v>Normal FRA-approved annual tuition + development fee; not seat-type-specific</x:v>
      </x:c>
      <x:c r="W291" s="49"/>
      <x:c r="X291" s="49"/>
      <x:c r="Y291" s="68"/>
      <x:c r="Z291" s="49"/>
      <x:c r="AA291" s="49"/>
      <x:c r="AB291" s="49" t="str">
        <x:v>Not centrally verified</x:v>
      </x:c>
      <x:c r="AC291" s="49" t="str">
        <x:v>Not centrally verified</x:v>
      </x:c>
      <x:c r="AD291" s="49" t="str">
        <x:v>Not centrally verified</x:v>
      </x:c>
      <x:c r="AE291" s="49" t="str">
        <x:v>Not available in a standardized official source</x:v>
      </x:c>
      <x:c r="AF291" s="49" t="str">
        <x:v>Not included: no official standardized source; cutoff-derived proxy excluded</x:v>
      </x:c>
      <x:c r="AG291" s="49" t="str">
        <x:v>https://dse2025.mahacet.org.in/dse25/admin/allotment/cap2/6313_4.pdf</x:v>
      </x:c>
      <x:c r="AH291" s="49" t="str">
        <x:v>https://fe2025.mahacet.org/StaticPages/frmInstituteSummary.aspx?InstituteCode=06313</x:v>
      </x:c>
      <x:c r="AI291" s="49"/>
      <x:c r="AJ291" s="49" t="str"/>
      <x:c r="AK291" s="69" t="n">
        <x:f>IF(W291&lt;&gt;"",50,IF(X291="101-150",45,IF(X291="151-200",40,IF(X291="201-300",35,0))))+IF(H291="Autonomous",20,0)+IF(OR(G291="Government",G291="Government-Aided",G291="University Department",G291="University",G291="University Autonomous"),15,0)+MIN(K291,10)+IF(AA291&lt;&gt;"",3,0)+IF(U291&lt;&gt;"",2,0)</x:f>
        <x:v>7</x:v>
      </x:c>
      <x:c r="AL291" s="49" t="str">
        <x:f>IF(AK291&gt;=70,"Official/high-evidence reference",IF(AK291&gt;=40,"Planning reference","Broader option"))</x:f>
        <x:v>Broader option</x:v>
      </x:c>
    </x:row>
    <x:row r="292">
      <x:c r="A292" s="63" t="n">
        <x:v>6315</x:v>
      </x:c>
      <x:c r="B292" s="49" t="str">
        <x:v>Sanjeevan Group of Institutions</x:v>
      </x:c>
      <x:c r="C292" s="49" t="str">
        <x:v>Maharashtra</x:v>
      </x:c>
      <x:c r="D292" s="49"/>
      <x:c r="E292" s="49" t="str">
        <x:v>Kolhapur</x:v>
      </x:c>
      <x:c r="F292" s="49"/>
      <x:c r="G292" s="49" t="str">
        <x:v>Un-Aided</x:v>
      </x:c>
      <x:c r="H292" s="49" t="str">
        <x:v>Non-Autonomous / not stated</x:v>
      </x:c>
      <x:c r="I292" s="49" t="str">
        <x:v>Non-Minority / not stated</x:v>
      </x:c>
      <x:c r="J292" s="49"/>
      <x:c r="K292" s="49" t="n">
        <x:v>6</x:v>
      </x:c>
      <x:c r="L292" s="49" t="n">
        <x:v>246</x:v>
      </x:c>
      <x:c r="M292" s="49" t="n">
        <x:v>217</x:v>
      </x:c>
      <x:c r="N292" s="49" t="n">
        <x:v>29</x:v>
      </x:c>
      <x:c r="O292" s="49"/>
      <x:c r="P292" s="49"/>
      <x:c r="Q292" s="49" t="str">
        <x:v>Parsed from official 2025-26 PDF</x:v>
      </x:c>
      <x:c r="R292" s="49" t="str">
        <x:v>2024-25</x:v>
      </x:c>
      <x:c r="S292" s="64" t="n">
        <x:v>80071</x:v>
      </x:c>
      <x:c r="T292" s="64" t="n">
        <x:v>9929</x:v>
      </x:c>
      <x:c r="U292" s="64" t="n">
        <x:v>90000</x:v>
      </x:c>
      <x:c r="V292" s="49" t="str">
        <x:v>Normal FRA-approved annual tuition + development fee; not seat-type-specific</x:v>
      </x:c>
      <x:c r="W292" s="49"/>
      <x:c r="X292" s="49"/>
      <x:c r="Y292" s="68"/>
      <x:c r="Z292" s="49"/>
      <x:c r="AA292" s="49"/>
      <x:c r="AB292" s="49" t="str">
        <x:v>Not centrally verified</x:v>
      </x:c>
      <x:c r="AC292" s="49" t="str">
        <x:v>Not centrally verified</x:v>
      </x:c>
      <x:c r="AD292" s="49" t="str">
        <x:v>Not centrally verified</x:v>
      </x:c>
      <x:c r="AE292" s="49" t="str">
        <x:v>Not available in a standardized official source</x:v>
      </x:c>
      <x:c r="AF292" s="49" t="str">
        <x:v>Not included: no official standardized source; cutoff-derived proxy excluded</x:v>
      </x:c>
      <x:c r="AG292" s="49" t="str">
        <x:v>https://dse2025.mahacet.org.in/dse25/admin/allotment/cap2/6315_4.pdf</x:v>
      </x:c>
      <x:c r="AH292" s="49" t="str">
        <x:v>https://fe2025.mahacet.org/StaticPages/frmInstituteSummary.aspx?InstituteCode=06315</x:v>
      </x:c>
      <x:c r="AI292" s="49"/>
      <x:c r="AJ292" s="49" t="str"/>
      <x:c r="AK292" s="69" t="n">
        <x:f>IF(W292&lt;&gt;"",50,IF(X292="101-150",45,IF(X292="151-200",40,IF(X292="201-300",35,0))))+IF(H292="Autonomous",20,0)+IF(OR(G292="Government",G292="Government-Aided",G292="University Department",G292="University",G292="University Autonomous"),15,0)+MIN(K292,10)+IF(AA292&lt;&gt;"",3,0)+IF(U292&lt;&gt;"",2,0)</x:f>
        <x:v>8</x:v>
      </x:c>
      <x:c r="AL292" s="49" t="str">
        <x:f>IF(AK292&gt;=70,"Official/high-evidence reference",IF(AK292&gt;=40,"Planning reference","Broader option"))</x:f>
        <x:v>Broader option</x:v>
      </x:c>
    </x:row>
    <x:row r="293">
      <x:c r="A293" s="63" t="n">
        <x:v>6317</x:v>
      </x:c>
      <x:c r="B293" s="49" t="str">
        <x:v>Sharad Institute of Technology College of Engineering, Yadrav(Ichalkaranji)</x:v>
      </x:c>
      <x:c r="C293" s="49" t="str">
        <x:v>Maharashtra</x:v>
      </x:c>
      <x:c r="D293" s="49"/>
      <x:c r="E293" s="49" t="str">
        <x:v>Kolhapur</x:v>
      </x:c>
      <x:c r="F293" s="49"/>
      <x:c r="G293" s="49" t="str">
        <x:v>Un-Aided</x:v>
      </x:c>
      <x:c r="H293" s="49" t="str">
        <x:v>Autonomous</x:v>
      </x:c>
      <x:c r="I293" s="49" t="str">
        <x:v>Non-Minority / not stated</x:v>
      </x:c>
      <x:c r="J293" s="49"/>
      <x:c r="K293" s="49" t="n">
        <x:v>8</x:v>
      </x:c>
      <x:c r="L293" s="49" t="n">
        <x:v>131</x:v>
      </x:c>
      <x:c r="M293" s="49" t="n">
        <x:v>116</x:v>
      </x:c>
      <x:c r="N293" s="49" t="n">
        <x:v>15</x:v>
      </x:c>
      <x:c r="O293" s="49"/>
      <x:c r="P293" s="49"/>
      <x:c r="Q293" s="49" t="str">
        <x:v>Parsed from official 2025-26 PDF</x:v>
      </x:c>
      <x:c r="R293" s="49" t="str">
        <x:v>2024-25</x:v>
      </x:c>
      <x:c r="S293" s="64" t="n">
        <x:v>74783</x:v>
      </x:c>
      <x:c r="T293" s="64" t="n">
        <x:v>11217</x:v>
      </x:c>
      <x:c r="U293" s="64" t="n">
        <x:v>86000</x:v>
      </x:c>
      <x:c r="V293" s="49" t="str">
        <x:v>Normal FRA-approved annual tuition + development fee; not seat-type-specific</x:v>
      </x:c>
      <x:c r="W293" s="49"/>
      <x:c r="X293" s="49"/>
      <x:c r="Y293" s="68"/>
      <x:c r="Z293" s="49"/>
      <x:c r="AA293" s="49"/>
      <x:c r="AB293" s="49" t="str">
        <x:v>Not centrally verified</x:v>
      </x:c>
      <x:c r="AC293" s="49" t="str">
        <x:v>Not centrally verified</x:v>
      </x:c>
      <x:c r="AD293" s="49" t="str">
        <x:v>Not centrally verified</x:v>
      </x:c>
      <x:c r="AE293" s="49" t="str">
        <x:v>Not available in a standardized official source</x:v>
      </x:c>
      <x:c r="AF293" s="49" t="str">
        <x:v>Not included: no official standardized source; cutoff-derived proxy excluded</x:v>
      </x:c>
      <x:c r="AG293" s="49" t="str">
        <x:v>https://dse2025.mahacet.org.in/dse25/admin/allotment/cap2/6317_4.pdf</x:v>
      </x:c>
      <x:c r="AH293" s="49" t="str">
        <x:v>https://fe2025.mahacet.org/StaticPages/frmInstituteSummary.aspx?InstituteCode=06317</x:v>
      </x:c>
      <x:c r="AI293" s="49"/>
      <x:c r="AJ293" s="49" t="str"/>
      <x:c r="AK293" s="69" t="n">
        <x:f>IF(W293&lt;&gt;"",50,IF(X293="101-150",45,IF(X293="151-200",40,IF(X293="201-300",35,0))))+IF(H293="Autonomous",20,0)+IF(OR(G293="Government",G293="Government-Aided",G293="University Department",G293="University",G293="University Autonomous"),15,0)+MIN(K293,10)+IF(AA293&lt;&gt;"",3,0)+IF(U293&lt;&gt;"",2,0)</x:f>
        <x:v>30</x:v>
      </x:c>
      <x:c r="AL293" s="49" t="str">
        <x:f>IF(AK293&gt;=70,"Official/high-evidence reference",IF(AK293&gt;=40,"Planning reference","Broader option"))</x:f>
        <x:v>Broader option</x:v>
      </x:c>
    </x:row>
    <x:row r="294">
      <x:c r="A294" s="63" t="n">
        <x:v>6318</x:v>
      </x:c>
      <x:c r="B294" s="49" t="str">
        <x:v>Abhinav Education Societys College of Engineering and Technology (Degree), Wadwadi</x:v>
      </x:c>
      <x:c r="C294" s="49" t="str">
        <x:v>Maharashtra</x:v>
      </x:c>
      <x:c r="D294" s="49"/>
      <x:c r="E294" s="49" t="str">
        <x:v>Satara</x:v>
      </x:c>
      <x:c r="F294" s="49"/>
      <x:c r="G294" s="49" t="str">
        <x:v>Un-Aided</x:v>
      </x:c>
      <x:c r="H294" s="49" t="str">
        <x:v>Not verified</x:v>
      </x:c>
      <x:c r="I294" s="49" t="str">
        <x:v>Not verified</x:v>
      </x:c>
      <x:c r="J294" s="49"/>
      <x:c r="K294" s="49" t="n">
        <x:v>0</x:v>
      </x:c>
      <x:c r="L294" s="49"/>
      <x:c r="M294" s="49"/>
      <x:c r="N294" s="49"/>
      <x:c r="O294" s="49"/>
      <x:c r="P294" s="49"/>
      <x:c r="Q294" s="49" t="str">
        <x:v>Official PDF unavailable / not parsed</x:v>
      </x:c>
      <x:c r="R294" s="49" t="str">
        <x:v>2024-25</x:v>
      </x:c>
      <x:c r="S294" s="64" t="n">
        <x:v>40650</x:v>
      </x:c>
      <x:c r="T294" s="64" t="n">
        <x:v>4350</x:v>
      </x:c>
      <x:c r="U294" s="64" t="n">
        <x:v>45000</x:v>
      </x:c>
      <x:c r="V294" s="49" t="str">
        <x:v>Normal FRA-approved annual tuition + development fee; not seat-type-specific</x:v>
      </x:c>
      <x:c r="W294" s="49"/>
      <x:c r="X294" s="49"/>
      <x:c r="Y294" s="68"/>
      <x:c r="Z294" s="49"/>
      <x:c r="AA294" s="49"/>
      <x:c r="AB294" s="49" t="str">
        <x:v>Not centrally verified</x:v>
      </x:c>
      <x:c r="AC294" s="49" t="str">
        <x:v>Not centrally verified</x:v>
      </x:c>
      <x:c r="AD294" s="49" t="str">
        <x:v>Not centrally verified</x:v>
      </x:c>
      <x:c r="AE294" s="49" t="str">
        <x:v>Not available in a standardized official source</x:v>
      </x:c>
      <x:c r="AF294" s="49" t="str">
        <x:v>Not included: no official standardized source; cutoff-derived proxy excluded</x:v>
      </x:c>
      <x:c r="AG294" s="49"/>
      <x:c r="AH294" s="49" t="str">
        <x:v>https://fe2025.mahacet.org/StaticPages/frmInstituteList.aspx?did=1884</x:v>
      </x:c>
      <x:c r="AI294" s="49"/>
      <x:c r="AJ294" s="49" t="str">
        <x:v>PDF unavailable</x:v>
      </x:c>
      <x:c r="AK294" s="69" t="n">
        <x:f>IF(W294&lt;&gt;"",50,IF(X294="101-150",45,IF(X294="151-200",40,IF(X294="201-300",35,0))))+IF(H294="Autonomous",20,0)+IF(OR(G294="Government",G294="Government-Aided",G294="University Department",G294="University",G294="University Autonomous"),15,0)+MIN(K294,10)+IF(AA294&lt;&gt;"",3,0)+IF(U294&lt;&gt;"",2,0)</x:f>
        <x:v>2</x:v>
      </x:c>
      <x:c r="AL294" s="49" t="str">
        <x:f>IF(AK294&gt;=70,"Official/high-evidence reference",IF(AK294&gt;=40,"Planning reference","Broader option"))</x:f>
        <x:v>Broader option</x:v>
      </x:c>
    </x:row>
    <x:row r="295">
      <x:c r="A295" s="63" t="n">
        <x:v>6319</x:v>
      </x:c>
      <x:c r="B295" s="49" t="str">
        <x:v>Shahajirao Patil Vikas Pratishthan, S.B.Patil College of Engineering, Vangali, Tal. Indapur</x:v>
      </x:c>
      <x:c r="C295" s="49" t="str">
        <x:v>Maharashtra</x:v>
      </x:c>
      <x:c r="D295" s="49"/>
      <x:c r="E295" s="49" t="str">
        <x:v>Pune</x:v>
      </x:c>
      <x:c r="F295" s="49"/>
      <x:c r="G295" s="49" t="str">
        <x:v>Un-Aided</x:v>
      </x:c>
      <x:c r="H295" s="49" t="str">
        <x:v>Non-Autonomous / not stated</x:v>
      </x:c>
      <x:c r="I295" s="49" t="str">
        <x:v>Non-Minority / not stated</x:v>
      </x:c>
      <x:c r="J295" s="49"/>
      <x:c r="K295" s="49" t="n">
        <x:v>7</x:v>
      </x:c>
      <x:c r="L295" s="49" t="n">
        <x:v>124</x:v>
      </x:c>
      <x:c r="M295" s="49" t="n">
        <x:v>97</x:v>
      </x:c>
      <x:c r="N295" s="49" t="n">
        <x:v>27</x:v>
      </x:c>
      <x:c r="O295" s="49"/>
      <x:c r="P295" s="49"/>
      <x:c r="Q295" s="49" t="str">
        <x:v>Parsed from official 2025-26 PDF</x:v>
      </x:c>
      <x:c r="R295" s="49" t="str">
        <x:v>2024-25</x:v>
      </x:c>
      <x:c r="S295" s="64" t="n">
        <x:v>74889</x:v>
      </x:c>
      <x:c r="T295" s="64" t="n">
        <x:v>10111</x:v>
      </x:c>
      <x:c r="U295" s="64" t="n">
        <x:v>85000</x:v>
      </x:c>
      <x:c r="V295" s="49" t="str">
        <x:v>Normal FRA-approved annual tuition + development fee; not seat-type-specific</x:v>
      </x:c>
      <x:c r="W295" s="49"/>
      <x:c r="X295" s="49"/>
      <x:c r="Y295" s="68"/>
      <x:c r="Z295" s="49"/>
      <x:c r="AA295" s="49"/>
      <x:c r="AB295" s="49" t="str">
        <x:v>Not centrally verified</x:v>
      </x:c>
      <x:c r="AC295" s="49" t="str">
        <x:v>Not centrally verified</x:v>
      </x:c>
      <x:c r="AD295" s="49" t="str">
        <x:v>Not centrally verified</x:v>
      </x:c>
      <x:c r="AE295" s="49" t="str">
        <x:v>Not available in a standardized official source</x:v>
      </x:c>
      <x:c r="AF295" s="49" t="str">
        <x:v>Not included: no official standardized source; cutoff-derived proxy excluded</x:v>
      </x:c>
      <x:c r="AG295" s="49" t="str">
        <x:v>https://dse2025.mahacet.org.in/dse25/admin/allotment/cap2/6319_4.pdf</x:v>
      </x:c>
      <x:c r="AH295" s="49" t="str">
        <x:v>https://fe2025.mahacet.org/StaticPages/frmInstituteSummary.aspx?InstituteCode=06319</x:v>
      </x:c>
      <x:c r="AI295" s="49"/>
      <x:c r="AJ295" s="49" t="str"/>
      <x:c r="AK295" s="69" t="n">
        <x:f>IF(W295&lt;&gt;"",50,IF(X295="101-150",45,IF(X295="151-200",40,IF(X295="201-300",35,0))))+IF(H295="Autonomous",20,0)+IF(OR(G295="Government",G295="Government-Aided",G295="University Department",G295="University",G295="University Autonomous"),15,0)+MIN(K295,10)+IF(AA295&lt;&gt;"",3,0)+IF(U295&lt;&gt;"",2,0)</x:f>
        <x:v>9</x:v>
      </x:c>
      <x:c r="AL295" s="49" t="str">
        <x:f>IF(AK295&gt;=70,"Official/high-evidence reference",IF(AK295&gt;=40,"Planning reference","Broader option"))</x:f>
        <x:v>Broader option</x:v>
      </x:c>
    </x:row>
    <x:row r="296">
      <x:c r="A296" s="63" t="n">
        <x:v>6320</x:v>
      </x:c>
      <x:c r="B296" s="49" t="str">
        <x:v>K.J.'s Educational Institute's K.J.College of Engineering &amp; Management Research, Pisoli</x:v>
      </x:c>
      <x:c r="C296" s="49" t="str">
        <x:v>Maharashtra</x:v>
      </x:c>
      <x:c r="D296" s="49"/>
      <x:c r="E296" s="49" t="str">
        <x:v>Pune</x:v>
      </x:c>
      <x:c r="F296" s="49"/>
      <x:c r="G296" s="49" t="str">
        <x:v>Un-Aided</x:v>
      </x:c>
      <x:c r="H296" s="49" t="str">
        <x:v>Non-Autonomous / not stated</x:v>
      </x:c>
      <x:c r="I296" s="49" t="str">
        <x:v>Non-Minority / not stated</x:v>
      </x:c>
      <x:c r="J296" s="49"/>
      <x:c r="K296" s="49" t="n">
        <x:v>7</x:v>
      </x:c>
      <x:c r="L296" s="49" t="n">
        <x:v>226</x:v>
      </x:c>
      <x:c r="M296" s="49" t="n">
        <x:v>186</x:v>
      </x:c>
      <x:c r="N296" s="49" t="n">
        <x:v>40</x:v>
      </x:c>
      <x:c r="O296" s="49"/>
      <x:c r="P296" s="49"/>
      <x:c r="Q296" s="49" t="str">
        <x:v>Parsed from official 2025-26 PDF</x:v>
      </x:c>
      <x:c r="R296" s="49" t="str">
        <x:v>2024-25</x:v>
      </x:c>
      <x:c r="S296" s="64" t="n">
        <x:v>76518</x:v>
      </x:c>
      <x:c r="T296" s="64" t="n">
        <x:v>10482</x:v>
      </x:c>
      <x:c r="U296" s="64" t="n">
        <x:v>87000</x:v>
      </x:c>
      <x:c r="V296" s="49" t="str">
        <x:v>Normal FRA-approved annual tuition + development fee; not seat-type-specific</x:v>
      </x:c>
      <x:c r="W296" s="49"/>
      <x:c r="X296" s="49"/>
      <x:c r="Y296" s="68"/>
      <x:c r="Z296" s="49"/>
      <x:c r="AA296" s="49"/>
      <x:c r="AB296" s="49" t="str">
        <x:v>Not centrally verified</x:v>
      </x:c>
      <x:c r="AC296" s="49" t="str">
        <x:v>Not centrally verified</x:v>
      </x:c>
      <x:c r="AD296" s="49" t="str">
        <x:v>Not centrally verified</x:v>
      </x:c>
      <x:c r="AE296" s="49" t="str">
        <x:v>Not available in a standardized official source</x:v>
      </x:c>
      <x:c r="AF296" s="49" t="str">
        <x:v>Not included: no official standardized source; cutoff-derived proxy excluded</x:v>
      </x:c>
      <x:c r="AG296" s="49" t="str">
        <x:v>https://dse2025.mahacet.org.in/dse25/admin/allotment/cap2/6320_4.pdf</x:v>
      </x:c>
      <x:c r="AH296" s="49" t="str">
        <x:v>https://fe2025.mahacet.org/StaticPages/frmInstituteSummary.aspx?InstituteCode=06320</x:v>
      </x:c>
      <x:c r="AI296" s="49"/>
      <x:c r="AJ296" s="49" t="str"/>
      <x:c r="AK296" s="69" t="n">
        <x:f>IF(W296&lt;&gt;"",50,IF(X296="101-150",45,IF(X296="151-200",40,IF(X296="201-300",35,0))))+IF(H296="Autonomous",20,0)+IF(OR(G296="Government",G296="Government-Aided",G296="University Department",G296="University",G296="University Autonomous"),15,0)+MIN(K296,10)+IF(AA296&lt;&gt;"",3,0)+IF(U296&lt;&gt;"",2,0)</x:f>
        <x:v>9</x:v>
      </x:c>
      <x:c r="AL296" s="49" t="str">
        <x:f>IF(AK296&gt;=70,"Official/high-evidence reference",IF(AK296&gt;=40,"Planning reference","Broader option"))</x:f>
        <x:v>Broader option</x:v>
      </x:c>
    </x:row>
    <x:row r="297">
      <x:c r="A297" s="63" t="n">
        <x:v>6321</x:v>
      </x:c>
      <x:c r="B297" s="49" t="str">
        <x:v>Vidya Vikas Pratishthan Institute of Engineering and Technology, Solapur</x:v>
      </x:c>
      <x:c r="C297" s="49" t="str">
        <x:v>Maharashtra</x:v>
      </x:c>
      <x:c r="D297" s="49"/>
      <x:c r="E297" s="49" t="str">
        <x:v>Solapur</x:v>
      </x:c>
      <x:c r="F297" s="49"/>
      <x:c r="G297" s="49" t="str">
        <x:v>Un-Aided</x:v>
      </x:c>
      <x:c r="H297" s="49" t="str">
        <x:v>Non-Autonomous / not stated</x:v>
      </x:c>
      <x:c r="I297" s="49" t="str">
        <x:v>Non-Minority / not stated</x:v>
      </x:c>
      <x:c r="J297" s="49"/>
      <x:c r="K297" s="49" t="n">
        <x:v>6</x:v>
      </x:c>
      <x:c r="L297" s="49" t="n">
        <x:v>195</x:v>
      </x:c>
      <x:c r="M297" s="49" t="n">
        <x:v>179</x:v>
      </x:c>
      <x:c r="N297" s="49" t="n">
        <x:v>16</x:v>
      </x:c>
      <x:c r="O297" s="49"/>
      <x:c r="P297" s="49"/>
      <x:c r="Q297" s="49" t="str">
        <x:v>Parsed from official 2025-26 PDF</x:v>
      </x:c>
      <x:c r="R297" s="49" t="str">
        <x:v>2024-25</x:v>
      </x:c>
      <x:c r="S297" s="64" t="n">
        <x:v>62221</x:v>
      </x:c>
      <x:c r="T297" s="64" t="n">
        <x:v>7779</x:v>
      </x:c>
      <x:c r="U297" s="64" t="n">
        <x:v>70000</x:v>
      </x:c>
      <x:c r="V297" s="49" t="str">
        <x:v>Normal FRA-approved annual tuition + development fee; not seat-type-specific</x:v>
      </x:c>
      <x:c r="W297" s="49"/>
      <x:c r="X297" s="49"/>
      <x:c r="Y297" s="68"/>
      <x:c r="Z297" s="49"/>
      <x:c r="AA297" s="49"/>
      <x:c r="AB297" s="49" t="str">
        <x:v>Not centrally verified</x:v>
      </x:c>
      <x:c r="AC297" s="49" t="str">
        <x:v>Not centrally verified</x:v>
      </x:c>
      <x:c r="AD297" s="49" t="str">
        <x:v>Not centrally verified</x:v>
      </x:c>
      <x:c r="AE297" s="49" t="str">
        <x:v>Not available in a standardized official source</x:v>
      </x:c>
      <x:c r="AF297" s="49" t="str">
        <x:v>Not included: no official standardized source; cutoff-derived proxy excluded</x:v>
      </x:c>
      <x:c r="AG297" s="49" t="str">
        <x:v>https://dse2025.mahacet.org.in/dse25/admin/allotment/cap2/6321_4.pdf</x:v>
      </x:c>
      <x:c r="AH297" s="49" t="str">
        <x:v>https://fe2025.mahacet.org/StaticPages/frmInstituteSummary.aspx?InstituteCode=06321</x:v>
      </x:c>
      <x:c r="AI297" s="49"/>
      <x:c r="AJ297" s="49" t="str"/>
      <x:c r="AK297" s="69" t="n">
        <x:f>IF(W297&lt;&gt;"",50,IF(X297="101-150",45,IF(X297="151-200",40,IF(X297="201-300",35,0))))+IF(H297="Autonomous",20,0)+IF(OR(G297="Government",G297="Government-Aided",G297="University Department",G297="University",G297="University Autonomous"),15,0)+MIN(K297,10)+IF(AA297&lt;&gt;"",3,0)+IF(U297&lt;&gt;"",2,0)</x:f>
        <x:v>8</x:v>
      </x:c>
      <x:c r="AL297" s="49" t="str">
        <x:f>IF(AK297&gt;=70,"Official/high-evidence reference",IF(AK297&gt;=40,"Planning reference","Broader option"))</x:f>
        <x:v>Broader option</x:v>
      </x:c>
    </x:row>
    <x:row r="298">
      <x:c r="A298" s="63" t="n">
        <x:v>6322</x:v>
      </x:c>
      <x:c r="B298" s="49" t="str">
        <x:v>Shree Gajanan Maharaj Shikshan Prasarak Manda'l Sharadchandra Pawar College of Engineering, Dumbarwadi</x:v>
      </x:c>
      <x:c r="C298" s="49" t="str">
        <x:v>Maharashtra</x:v>
      </x:c>
      <x:c r="D298" s="49"/>
      <x:c r="E298" s="49" t="str">
        <x:v>Pune</x:v>
      </x:c>
      <x:c r="F298" s="49"/>
      <x:c r="G298" s="49" t="str">
        <x:v>Un-Aided</x:v>
      </x:c>
      <x:c r="H298" s="49" t="str">
        <x:v>Non-Autonomous / not stated</x:v>
      </x:c>
      <x:c r="I298" s="49" t="str">
        <x:v>Non-Minority / not stated</x:v>
      </x:c>
      <x:c r="J298" s="49"/>
      <x:c r="K298" s="49" t="n">
        <x:v>4</x:v>
      </x:c>
      <x:c r="L298" s="49" t="n">
        <x:v>119</x:v>
      </x:c>
      <x:c r="M298" s="49" t="n">
        <x:v>104</x:v>
      </x:c>
      <x:c r="N298" s="49" t="n">
        <x:v>15</x:v>
      </x:c>
      <x:c r="O298" s="49"/>
      <x:c r="P298" s="49"/>
      <x:c r="Q298" s="49" t="str">
        <x:v>Parsed from official 2025-26 PDF</x:v>
      </x:c>
      <x:c r="R298" s="49" t="str">
        <x:v>2024-25</x:v>
      </x:c>
      <x:c r="S298" s="64" t="n">
        <x:v>70984</x:v>
      </x:c>
      <x:c r="T298" s="64" t="n">
        <x:v>9016</x:v>
      </x:c>
      <x:c r="U298" s="64" t="n">
        <x:v>80000</x:v>
      </x:c>
      <x:c r="V298" s="49" t="str">
        <x:v>Normal FRA-approved annual tuition + development fee; not seat-type-specific</x:v>
      </x:c>
      <x:c r="W298" s="49"/>
      <x:c r="X298" s="49"/>
      <x:c r="Y298" s="68"/>
      <x:c r="Z298" s="49"/>
      <x:c r="AA298" s="49"/>
      <x:c r="AB298" s="49" t="str">
        <x:v>Not centrally verified</x:v>
      </x:c>
      <x:c r="AC298" s="49" t="str">
        <x:v>Not centrally verified</x:v>
      </x:c>
      <x:c r="AD298" s="49" t="str">
        <x:v>Not centrally verified</x:v>
      </x:c>
      <x:c r="AE298" s="49" t="str">
        <x:v>Not available in a standardized official source</x:v>
      </x:c>
      <x:c r="AF298" s="49" t="str">
        <x:v>Not included: no official standardized source; cutoff-derived proxy excluded</x:v>
      </x:c>
      <x:c r="AG298" s="49" t="str">
        <x:v>https://dse2025.mahacet.org.in/dse25/admin/allotment/cap2/6322_4.pdf</x:v>
      </x:c>
      <x:c r="AH298" s="49" t="str">
        <x:v>https://fe2025.mahacet.org/StaticPages/frmInstituteSummary.aspx?InstituteCode=06322</x:v>
      </x:c>
      <x:c r="AI298" s="49"/>
      <x:c r="AJ298" s="49" t="str"/>
      <x:c r="AK298" s="69" t="n">
        <x:f>IF(W298&lt;&gt;"",50,IF(X298="101-150",45,IF(X298="151-200",40,IF(X298="201-300",35,0))))+IF(H298="Autonomous",20,0)+IF(OR(G298="Government",G298="Government-Aided",G298="University Department",G298="University",G298="University Autonomous"),15,0)+MIN(K298,10)+IF(AA298&lt;&gt;"",3,0)+IF(U298&lt;&gt;"",2,0)</x:f>
        <x:v>6</x:v>
      </x:c>
      <x:c r="AL298" s="49" t="str">
        <x:f>IF(AK298&gt;=70,"Official/high-evidence reference",IF(AK298&gt;=40,"Planning reference","Broader option"))</x:f>
        <x:v>Broader option</x:v>
      </x:c>
    </x:row>
    <x:row r="299">
      <x:c r="A299" s="63" t="n">
        <x:v>6324</x:v>
      </x:c>
      <x:c r="B299" s="49" t="str">
        <x:v>Rajgad Technical Campus</x:v>
      </x:c>
      <x:c r="C299" s="49" t="str">
        <x:v>Maharashtra</x:v>
      </x:c>
      <x:c r="D299" s="49"/>
      <x:c r="E299" s="49" t="str">
        <x:v>Pune</x:v>
      </x:c>
      <x:c r="F299" s="49"/>
      <x:c r="G299" s="49" t="str">
        <x:v>Un-Aided</x:v>
      </x:c>
      <x:c r="H299" s="49" t="str">
        <x:v>Non-Autonomous / not stated</x:v>
      </x:c>
      <x:c r="I299" s="49" t="str">
        <x:v>Non-Minority / not stated</x:v>
      </x:c>
      <x:c r="J299" s="49"/>
      <x:c r="K299" s="49" t="n">
        <x:v>5</x:v>
      </x:c>
      <x:c r="L299" s="49" t="n">
        <x:v>164</x:v>
      </x:c>
      <x:c r="M299" s="49" t="n">
        <x:v>139</x:v>
      </x:c>
      <x:c r="N299" s="49" t="n">
        <x:v>25</x:v>
      </x:c>
      <x:c r="O299" s="49"/>
      <x:c r="P299" s="49"/>
      <x:c r="Q299" s="49" t="str">
        <x:v>Parsed from official 2025-26 PDF</x:v>
      </x:c>
      <x:c r="R299" s="49" t="str">
        <x:v>2024-25</x:v>
      </x:c>
      <x:c r="S299" s="64" t="n">
        <x:v>103357</x:v>
      </x:c>
      <x:c r="T299" s="64" t="n">
        <x:v>13643</x:v>
      </x:c>
      <x:c r="U299" s="64" t="n">
        <x:v>117000</x:v>
      </x:c>
      <x:c r="V299" s="49" t="str">
        <x:v>Normal FRA-approved annual tuition + development fee; not seat-type-specific</x:v>
      </x:c>
      <x:c r="W299" s="49"/>
      <x:c r="X299" s="49"/>
      <x:c r="Y299" s="68"/>
      <x:c r="Z299" s="49"/>
      <x:c r="AA299" s="49"/>
      <x:c r="AB299" s="49" t="str">
        <x:v>Not centrally verified</x:v>
      </x:c>
      <x:c r="AC299" s="49" t="str">
        <x:v>Not centrally verified</x:v>
      </x:c>
      <x:c r="AD299" s="49" t="str">
        <x:v>Not centrally verified</x:v>
      </x:c>
      <x:c r="AE299" s="49" t="str">
        <x:v>Not available in a standardized official source</x:v>
      </x:c>
      <x:c r="AF299" s="49" t="str">
        <x:v>Not included: no official standardized source; cutoff-derived proxy excluded</x:v>
      </x:c>
      <x:c r="AG299" s="49" t="str">
        <x:v>https://dse2025.mahacet.org.in/dse25/admin/allotment/cap2/6324_4.pdf</x:v>
      </x:c>
      <x:c r="AH299" s="49" t="str">
        <x:v>https://fe2025.mahacet.org/StaticPages/frmInstituteSummary.aspx?InstituteCode=06324</x:v>
      </x:c>
      <x:c r="AI299" s="49"/>
      <x:c r="AJ299" s="49" t="str"/>
      <x:c r="AK299" s="69" t="n">
        <x:f>IF(W299&lt;&gt;"",50,IF(X299="101-150",45,IF(X299="151-200",40,IF(X299="201-300",35,0))))+IF(H299="Autonomous",20,0)+IF(OR(G299="Government",G299="Government-Aided",G299="University Department",G299="University",G299="University Autonomous"),15,0)+MIN(K299,10)+IF(AA299&lt;&gt;"",3,0)+IF(U299&lt;&gt;"",2,0)</x:f>
        <x:v>7</x:v>
      </x:c>
      <x:c r="AL299" s="49" t="str">
        <x:f>IF(AK299&gt;=70,"Official/high-evidence reference",IF(AK299&gt;=40,"Planning reference","Broader option"))</x:f>
        <x:v>Broader option</x:v>
      </x:c>
    </x:row>
    <x:row r="300">
      <x:c r="A300" s="63" t="n">
        <x:v>6325</x:v>
      </x:c>
      <x:c r="B300" s="49" t="str">
        <x:v>Alard Charitable Trust's Alard College of Engineering and Management, Pune</x:v>
      </x:c>
      <x:c r="C300" s="49" t="str">
        <x:v>Maharashtra</x:v>
      </x:c>
      <x:c r="D300" s="49"/>
      <x:c r="E300" s="49" t="str">
        <x:v>Pune</x:v>
      </x:c>
      <x:c r="F300" s="49"/>
      <x:c r="G300" s="49" t="str">
        <x:v>Un-Aided</x:v>
      </x:c>
      <x:c r="H300" s="49" t="str">
        <x:v>Non-Autonomous / not stated</x:v>
      </x:c>
      <x:c r="I300" s="49" t="str">
        <x:v>Minority</x:v>
      </x:c>
      <x:c r="J300" s="49"/>
      <x:c r="K300" s="49" t="n">
        <x:v>9</x:v>
      </x:c>
      <x:c r="L300" s="49" t="n">
        <x:v>191</x:v>
      </x:c>
      <x:c r="M300" s="49" t="n">
        <x:v>86</x:v>
      </x:c>
      <x:c r="N300" s="49"/>
      <x:c r="O300" s="49" t="n">
        <x:v>105</x:v>
      </x:c>
      <x:c r="P300" s="49"/>
      <x:c r="Q300" s="49" t="str">
        <x:v>Parsed from official 2025-26 PDF</x:v>
      </x:c>
      <x:c r="R300" s="49" t="str">
        <x:v>2024-25</x:v>
      </x:c>
      <x:c r="S300" s="64" t="n">
        <x:v>41779</x:v>
      </x:c>
      <x:c r="T300" s="64" t="n">
        <x:v>5221</x:v>
      </x:c>
      <x:c r="U300" s="64" t="n">
        <x:v>47000</x:v>
      </x:c>
      <x:c r="V300" s="49" t="str">
        <x:v>Normal FRA-approved annual tuition + development fee; not seat-type-specific</x:v>
      </x:c>
      <x:c r="W300" s="49"/>
      <x:c r="X300" s="49"/>
      <x:c r="Y300" s="68"/>
      <x:c r="Z300" s="49"/>
      <x:c r="AA300" s="49"/>
      <x:c r="AB300" s="49" t="str">
        <x:v>Not centrally verified</x:v>
      </x:c>
      <x:c r="AC300" s="49" t="str">
        <x:v>Not centrally verified</x:v>
      </x:c>
      <x:c r="AD300" s="49" t="str">
        <x:v>Not centrally verified</x:v>
      </x:c>
      <x:c r="AE300" s="49" t="str">
        <x:v>Not available in a standardized official source</x:v>
      </x:c>
      <x:c r="AF300" s="49" t="str">
        <x:v>Not included: no official standardized source; cutoff-derived proxy excluded</x:v>
      </x:c>
      <x:c r="AG300" s="49" t="str">
        <x:v>https://dse2025.mahacet.org.in/dse25/admin/allotment/cap2/6325_4.pdf</x:v>
      </x:c>
      <x:c r="AH300" s="49" t="str">
        <x:v>https://fe2025.mahacet.org/StaticPages/frmInstituteSummary.aspx?InstituteCode=06325</x:v>
      </x:c>
      <x:c r="AI300" s="49"/>
      <x:c r="AJ300" s="49" t="str"/>
      <x:c r="AK300" s="69" t="n">
        <x:f>IF(W300&lt;&gt;"",50,IF(X300="101-150",45,IF(X300="151-200",40,IF(X300="201-300",35,0))))+IF(H300="Autonomous",20,0)+IF(OR(G300="Government",G300="Government-Aided",G300="University Department",G300="University",G300="University Autonomous"),15,0)+MIN(K300,10)+IF(AA300&lt;&gt;"",3,0)+IF(U300&lt;&gt;"",2,0)</x:f>
        <x:v>11</x:v>
      </x:c>
      <x:c r="AL300" s="49" t="str">
        <x:f>IF(AK300&gt;=70,"Official/high-evidence reference",IF(AK300&gt;=40,"Planning reference","Broader option"))</x:f>
        <x:v>Broader option</x:v>
      </x:c>
    </x:row>
    <x:row r="301">
      <x:c r="A301" s="63" t="n">
        <x:v>6326</x:v>
      </x:c>
      <x:c r="B301" s="49" t="str">
        <x:v>Karmayogi Institute of Technology</x:v>
      </x:c>
      <x:c r="C301" s="49" t="str">
        <x:v>Maharashtra</x:v>
      </x:c>
      <x:c r="D301" s="49"/>
      <x:c r="E301" s="49" t="str">
        <x:v>Solapur</x:v>
      </x:c>
      <x:c r="F301" s="49"/>
      <x:c r="G301" s="49" t="str">
        <x:v>Un-Aided</x:v>
      </x:c>
      <x:c r="H301" s="49" t="str">
        <x:v>Non-Autonomous / not stated</x:v>
      </x:c>
      <x:c r="I301" s="49" t="str">
        <x:v>Non-Minority / not stated</x:v>
      </x:c>
      <x:c r="J301" s="49"/>
      <x:c r="K301" s="49" t="n">
        <x:v>4</x:v>
      </x:c>
      <x:c r="L301" s="49" t="n">
        <x:v>75</x:v>
      </x:c>
      <x:c r="M301" s="49" t="n">
        <x:v>62</x:v>
      </x:c>
      <x:c r="N301" s="49" t="n">
        <x:v>13</x:v>
      </x:c>
      <x:c r="O301" s="49"/>
      <x:c r="P301" s="49"/>
      <x:c r="Q301" s="49" t="str">
        <x:v>Parsed from official 2025-26 PDF</x:v>
      </x:c>
      <x:c r="R301" s="49" t="str">
        <x:v>2024-25</x:v>
      </x:c>
      <x:c r="S301" s="64" t="n">
        <x:v>86050</x:v>
      </x:c>
      <x:c r="T301" s="64" t="n">
        <x:v>8950</x:v>
      </x:c>
      <x:c r="U301" s="64" t="n">
        <x:v>95000</x:v>
      </x:c>
      <x:c r="V301" s="49" t="str">
        <x:v>Normal FRA-approved annual tuition + development fee; not seat-type-specific</x:v>
      </x:c>
      <x:c r="W301" s="49"/>
      <x:c r="X301" s="49"/>
      <x:c r="Y301" s="68"/>
      <x:c r="Z301" s="49"/>
      <x:c r="AA301" s="49"/>
      <x:c r="AB301" s="49" t="str">
        <x:v>Not centrally verified</x:v>
      </x:c>
      <x:c r="AC301" s="49" t="str">
        <x:v>Not centrally verified</x:v>
      </x:c>
      <x:c r="AD301" s="49" t="str">
        <x:v>Not centrally verified</x:v>
      </x:c>
      <x:c r="AE301" s="49" t="str">
        <x:v>Not available in a standardized official source</x:v>
      </x:c>
      <x:c r="AF301" s="49" t="str">
        <x:v>Not included: no official standardized source; cutoff-derived proxy excluded</x:v>
      </x:c>
      <x:c r="AG301" s="49" t="str">
        <x:v>https://dse2025.mahacet.org.in/dse25/admin/allotment/cap2/6326_4.pdf</x:v>
      </x:c>
      <x:c r="AH301" s="49" t="str">
        <x:v>https://fe2025.mahacet.org/StaticPages/frmInstituteSummary.aspx?InstituteCode=06326</x:v>
      </x:c>
      <x:c r="AI301" s="49"/>
      <x:c r="AJ301" s="49" t="str"/>
      <x:c r="AK301" s="69" t="n">
        <x:f>IF(W301&lt;&gt;"",50,IF(X301="101-150",45,IF(X301="151-200",40,IF(X301="201-300",35,0))))+IF(H301="Autonomous",20,0)+IF(OR(G301="Government",G301="Government-Aided",G301="University Department",G301="University",G301="University Autonomous"),15,0)+MIN(K301,10)+IF(AA301&lt;&gt;"",3,0)+IF(U301&lt;&gt;"",2,0)</x:f>
        <x:v>6</x:v>
      </x:c>
      <x:c r="AL301" s="49" t="str">
        <x:f>IF(AK301&gt;=70,"Official/high-evidence reference",IF(AK301&gt;=40,"Planning reference","Broader option"))</x:f>
        <x:v>Broader option</x:v>
      </x:c>
    </x:row>
    <x:row r="302">
      <x:c r="A302" s="63" t="n">
        <x:v>6402</x:v>
      </x:c>
      <x:c r="B302" s="49" t="str">
        <x:v>NEW INSTITUTE OF TECHNOLOGY,KOLHAPUR</x:v>
      </x:c>
      <x:c r="C302" s="49" t="str">
        <x:v>Maharashtra</x:v>
      </x:c>
      <x:c r="D302" s="49"/>
      <x:c r="E302" s="49"/>
      <x:c r="F302" s="49"/>
      <x:c r="G302" s="49" t="str">
        <x:v>Un-Aided</x:v>
      </x:c>
      <x:c r="H302" s="49" t="str">
        <x:v>Non-Autonomous / not stated</x:v>
      </x:c>
      <x:c r="I302" s="49" t="str">
        <x:v>Non-Minority / not stated</x:v>
      </x:c>
      <x:c r="J302" s="49"/>
      <x:c r="K302" s="49" t="n">
        <x:v>4</x:v>
      </x:c>
      <x:c r="L302" s="49" t="n">
        <x:v>201</x:v>
      </x:c>
      <x:c r="M302" s="49" t="n">
        <x:v>174</x:v>
      </x:c>
      <x:c r="N302" s="49" t="n">
        <x:v>27</x:v>
      </x:c>
      <x:c r="O302" s="49"/>
      <x:c r="P302" s="49"/>
      <x:c r="Q302" s="49" t="str">
        <x:v>Parsed from official 2025-26 PDF</x:v>
      </x:c>
      <x:c r="R302" s="49"/>
      <x:c r="S302" s="64"/>
      <x:c r="T302" s="64"/>
      <x:c r="U302" s="64"/>
      <x:c r="V302" s="49" t="str">
        <x:v>No verified FRA match</x:v>
      </x:c>
      <x:c r="W302" s="49"/>
      <x:c r="X302" s="49"/>
      <x:c r="Y302" s="68"/>
      <x:c r="Z302" s="49"/>
      <x:c r="AA302" s="49"/>
      <x:c r="AB302" s="49" t="str">
        <x:v>Not centrally verified</x:v>
      </x:c>
      <x:c r="AC302" s="49" t="str">
        <x:v>Not centrally verified</x:v>
      </x:c>
      <x:c r="AD302" s="49" t="str">
        <x:v>Not centrally verified</x:v>
      </x:c>
      <x:c r="AE302" s="49" t="str">
        <x:v>Not available in a standardized official source</x:v>
      </x:c>
      <x:c r="AF302" s="49" t="str">
        <x:v>Not included: no official standardized source; cutoff-derived proxy excluded</x:v>
      </x:c>
      <x:c r="AG302" s="49" t="str">
        <x:v>https://dse2025.mahacet.org.in/dse25/admin/allotment/cap2/6402_4.pdf</x:v>
      </x:c>
      <x:c r="AH302" s="49" t="str">
        <x:v>https://fe2025.mahacet.org/StaticPages/frmInstituteSummary.aspx?InstituteCode=06402</x:v>
      </x:c>
      <x:c r="AI302" s="49"/>
      <x:c r="AJ302" s="49" t="str"/>
      <x:c r="AK302" s="69" t="n">
        <x:f>IF(W302&lt;&gt;"",50,IF(X302="101-150",45,IF(X302="151-200",40,IF(X302="201-300",35,0))))+IF(H302="Autonomous",20,0)+IF(OR(G302="Government",G302="Government-Aided",G302="University Department",G302="University",G302="University Autonomous"),15,0)+MIN(K302,10)+IF(AA302&lt;&gt;"",3,0)+IF(U302&lt;&gt;"",2,0)</x:f>
        <x:v>4</x:v>
      </x:c>
      <x:c r="AL302" s="49" t="str">
        <x:f>IF(AK302&gt;=70,"Official/high-evidence reference",IF(AK302&gt;=40,"Planning reference","Broader option"))</x:f>
        <x:v>Broader option</x:v>
      </x:c>
    </x:row>
    <x:row r="303">
      <x:c r="A303" s="63" t="n">
        <x:v>6419</x:v>
      </x:c>
      <x:c r="B303" s="49" t="str">
        <x:v>Nutan College of Engineering and Research, Talegaon Dabhade Tal. Maval, Pune</x:v>
      </x:c>
      <x:c r="C303" s="49" t="str">
        <x:v>Maharashtra</x:v>
      </x:c>
      <x:c r="D303" s="49"/>
      <x:c r="E303" s="49" t="str">
        <x:v>Pune</x:v>
      </x:c>
      <x:c r="F303" s="49"/>
      <x:c r="G303" s="49" t="str">
        <x:v>Un-Aided</x:v>
      </x:c>
      <x:c r="H303" s="49" t="str">
        <x:v>Not verified</x:v>
      </x:c>
      <x:c r="I303" s="49" t="str">
        <x:v>Not verified</x:v>
      </x:c>
      <x:c r="J303" s="49"/>
      <x:c r="K303" s="49" t="n">
        <x:v>0</x:v>
      </x:c>
      <x:c r="L303" s="49"/>
      <x:c r="M303" s="49"/>
      <x:c r="N303" s="49"/>
      <x:c r="O303" s="49"/>
      <x:c r="P303" s="49"/>
      <x:c r="Q303" s="49" t="str">
        <x:v>Official PDF unavailable / not parsed</x:v>
      </x:c>
      <x:c r="R303" s="49" t="str">
        <x:v>2024-25</x:v>
      </x:c>
      <x:c r="S303" s="64" t="n">
        <x:v>73424</x:v>
      </x:c>
      <x:c r="T303" s="64" t="n">
        <x:v>8076</x:v>
      </x:c>
      <x:c r="U303" s="64" t="n">
        <x:v>81500</x:v>
      </x:c>
      <x:c r="V303" s="49" t="str">
        <x:v>Normal FRA-approved annual tuition + development fee; not seat-type-specific</x:v>
      </x:c>
      <x:c r="W303" s="49"/>
      <x:c r="X303" s="49"/>
      <x:c r="Y303" s="68"/>
      <x:c r="Z303" s="49"/>
      <x:c r="AA303" s="49"/>
      <x:c r="AB303" s="49" t="str">
        <x:v>Not centrally verified</x:v>
      </x:c>
      <x:c r="AC303" s="49" t="str">
        <x:v>Not centrally verified</x:v>
      </x:c>
      <x:c r="AD303" s="49" t="str">
        <x:v>Not centrally verified</x:v>
      </x:c>
      <x:c r="AE303" s="49" t="str">
        <x:v>Not available in a standardized official source</x:v>
      </x:c>
      <x:c r="AF303" s="49" t="str">
        <x:v>Not included: no official standardized source; cutoff-derived proxy excluded</x:v>
      </x:c>
      <x:c r="AG303" s="49"/>
      <x:c r="AH303" s="49" t="str">
        <x:v>https://fe2025.mahacet.org/StaticPages/frmInstituteList.aspx?did=1884</x:v>
      </x:c>
      <x:c r="AI303" s="49"/>
      <x:c r="AJ303" s="49" t="str">
        <x:v>PDF unavailable</x:v>
      </x:c>
      <x:c r="AK303" s="69" t="n">
        <x:f>IF(W303&lt;&gt;"",50,IF(X303="101-150",45,IF(X303="151-200",40,IF(X303="201-300",35,0))))+IF(H303="Autonomous",20,0)+IF(OR(G303="Government",G303="Government-Aided",G303="University Department",G303="University",G303="University Autonomous"),15,0)+MIN(K303,10)+IF(AA303&lt;&gt;"",3,0)+IF(U303&lt;&gt;"",2,0)</x:f>
        <x:v>2</x:v>
      </x:c>
      <x:c r="AL303" s="49" t="str">
        <x:f>IF(AK303&gt;=70,"Official/high-evidence reference",IF(AK303&gt;=40,"Planning reference","Broader option"))</x:f>
        <x:v>Broader option</x:v>
      </x:c>
    </x:row>
    <x:row r="304">
      <x:c r="A304" s="63" t="n">
        <x:v>6444</x:v>
      </x:c>
      <x:c r="B304" s="49" t="str">
        <x:v>Shriram Institute Of Engineering &amp; Technology, (Poly), Paniv</x:v>
      </x:c>
      <x:c r="C304" s="49" t="str">
        <x:v>Maharashtra</x:v>
      </x:c>
      <x:c r="D304" s="49"/>
      <x:c r="E304" s="49"/>
      <x:c r="F304" s="49"/>
      <x:c r="G304" s="49" t="str">
        <x:v>Un-Aided</x:v>
      </x:c>
      <x:c r="H304" s="49" t="str">
        <x:v>Non-Autonomous / not stated</x:v>
      </x:c>
      <x:c r="I304" s="49" t="str">
        <x:v>Non-Minority / not stated</x:v>
      </x:c>
      <x:c r="J304" s="49"/>
      <x:c r="K304" s="49" t="n">
        <x:v>3</x:v>
      </x:c>
      <x:c r="L304" s="49" t="n">
        <x:v>104</x:v>
      </x:c>
      <x:c r="M304" s="49" t="n">
        <x:v>87</x:v>
      </x:c>
      <x:c r="N304" s="49" t="n">
        <x:v>17</x:v>
      </x:c>
      <x:c r="O304" s="49"/>
      <x:c r="P304" s="49"/>
      <x:c r="Q304" s="49" t="str">
        <x:v>Parsed from official 2025-26 PDF</x:v>
      </x:c>
      <x:c r="R304" s="49"/>
      <x:c r="S304" s="64"/>
      <x:c r="T304" s="64"/>
      <x:c r="U304" s="64"/>
      <x:c r="V304" s="49" t="str">
        <x:v>No verified FRA match</x:v>
      </x:c>
      <x:c r="W304" s="49"/>
      <x:c r="X304" s="49"/>
      <x:c r="Y304" s="68"/>
      <x:c r="Z304" s="49"/>
      <x:c r="AA304" s="49"/>
      <x:c r="AB304" s="49" t="str">
        <x:v>Not centrally verified</x:v>
      </x:c>
      <x:c r="AC304" s="49" t="str">
        <x:v>Not centrally verified</x:v>
      </x:c>
      <x:c r="AD304" s="49" t="str">
        <x:v>Not centrally verified</x:v>
      </x:c>
      <x:c r="AE304" s="49" t="str">
        <x:v>Not available in a standardized official source</x:v>
      </x:c>
      <x:c r="AF304" s="49" t="str">
        <x:v>Not included: no official standardized source; cutoff-derived proxy excluded</x:v>
      </x:c>
      <x:c r="AG304" s="49" t="str">
        <x:v>https://dse2025.mahacet.org.in/dse25/admin/allotment/cap2/6444_4.pdf</x:v>
      </x:c>
      <x:c r="AH304" s="49" t="str">
        <x:v>https://fe2025.mahacet.org/StaticPages/frmInstituteSummary.aspx?InstituteCode=06444</x:v>
      </x:c>
      <x:c r="AI304" s="49"/>
      <x:c r="AJ304" s="49" t="str"/>
      <x:c r="AK304" s="69" t="n">
        <x:f>IF(W304&lt;&gt;"",50,IF(X304="101-150",45,IF(X304="151-200",40,IF(X304="201-300",35,0))))+IF(H304="Autonomous",20,0)+IF(OR(G304="Government",G304="Government-Aided",G304="University Department",G304="University",G304="University Autonomous"),15,0)+MIN(K304,10)+IF(AA304&lt;&gt;"",3,0)+IF(U304&lt;&gt;"",2,0)</x:f>
        <x:v>3</x:v>
      </x:c>
      <x:c r="AL304" s="49" t="str">
        <x:f>IF(AK304&gt;=70,"Official/high-evidence reference",IF(AK304&gt;=40,"Planning reference","Broader option"))</x:f>
        <x:v>Broader option</x:v>
      </x:c>
    </x:row>
    <x:row r="305">
      <x:c r="A305" s="63" t="n">
        <x:v>6466</x:v>
      </x:c>
      <x:c r="B305" s="49" t="str">
        <x:v>Shree Santkrupa Shikshan Sanstha, Shree Santkrupa Institute Of Engineering &amp; Technology, Karad</x:v>
      </x:c>
      <x:c r="C305" s="49" t="str">
        <x:v>Maharashtra</x:v>
      </x:c>
      <x:c r="D305" s="49"/>
      <x:c r="E305" s="49" t="str">
        <x:v>Satara</x:v>
      </x:c>
      <x:c r="F305" s="49"/>
      <x:c r="G305" s="49" t="str">
        <x:v>Un-Aided</x:v>
      </x:c>
      <x:c r="H305" s="49" t="str">
        <x:v>Non-Autonomous / not stated</x:v>
      </x:c>
      <x:c r="I305" s="49" t="str">
        <x:v>Non-Minority / not stated</x:v>
      </x:c>
      <x:c r="J305" s="49"/>
      <x:c r="K305" s="49" t="n">
        <x:v>4</x:v>
      </x:c>
      <x:c r="L305" s="49" t="n">
        <x:v>111</x:v>
      </x:c>
      <x:c r="M305" s="49" t="n">
        <x:v>99</x:v>
      </x:c>
      <x:c r="N305" s="49" t="n">
        <x:v>12</x:v>
      </x:c>
      <x:c r="O305" s="49"/>
      <x:c r="P305" s="49"/>
      <x:c r="Q305" s="49" t="str">
        <x:v>Parsed from official 2025-26 PDF</x:v>
      </x:c>
      <x:c r="R305" s="49" t="str">
        <x:v>2024-25</x:v>
      </x:c>
      <x:c r="S305" s="64" t="n">
        <x:v>68202</x:v>
      </x:c>
      <x:c r="T305" s="64" t="n">
        <x:v>7298</x:v>
      </x:c>
      <x:c r="U305" s="64" t="n">
        <x:v>75500</x:v>
      </x:c>
      <x:c r="V305" s="49" t="str">
        <x:v>Normal FRA-approved annual tuition + development fee; not seat-type-specific</x:v>
      </x:c>
      <x:c r="W305" s="49"/>
      <x:c r="X305" s="49"/>
      <x:c r="Y305" s="68"/>
      <x:c r="Z305" s="49"/>
      <x:c r="AA305" s="49"/>
      <x:c r="AB305" s="49" t="str">
        <x:v>Not centrally verified</x:v>
      </x:c>
      <x:c r="AC305" s="49" t="str">
        <x:v>Not centrally verified</x:v>
      </x:c>
      <x:c r="AD305" s="49" t="str">
        <x:v>Not centrally verified</x:v>
      </x:c>
      <x:c r="AE305" s="49" t="str">
        <x:v>Not available in a standardized official source</x:v>
      </x:c>
      <x:c r="AF305" s="49" t="str">
        <x:v>Not included: no official standardized source; cutoff-derived proxy excluded</x:v>
      </x:c>
      <x:c r="AG305" s="49" t="str">
        <x:v>https://dse2025.mahacet.org.in/dse25/admin/allotment/cap2/6466_4.pdf</x:v>
      </x:c>
      <x:c r="AH305" s="49" t="str">
        <x:v>https://fe2025.mahacet.org/StaticPages/frmInstituteSummary.aspx?InstituteCode=06466</x:v>
      </x:c>
      <x:c r="AI305" s="49"/>
      <x:c r="AJ305" s="49" t="str"/>
      <x:c r="AK305" s="69" t="n">
        <x:f>IF(W305&lt;&gt;"",50,IF(X305="101-150",45,IF(X305="151-200",40,IF(X305="201-300",35,0))))+IF(H305="Autonomous",20,0)+IF(OR(G305="Government",G305="Government-Aided",G305="University Department",G305="University",G305="University Autonomous"),15,0)+MIN(K305,10)+IF(AA305&lt;&gt;"",3,0)+IF(U305&lt;&gt;"",2,0)</x:f>
        <x:v>6</x:v>
      </x:c>
      <x:c r="AL305" s="49" t="str">
        <x:f>IF(AK305&gt;=70,"Official/high-evidence reference",IF(AK305&gt;=40,"Planning reference","Broader option"))</x:f>
        <x:v>Broader option</x:v>
      </x:c>
    </x:row>
    <x:row r="306">
      <x:c r="A306" s="63" t="n">
        <x:v>6468</x:v>
      </x:c>
      <x:c r="B306" s="49" t="str">
        <x:v>Swami Vivekananda Shikshan Sanstha, Dr. Bapuji Salunkhe Institute Of Engineering &amp; Technology,Kolhapur</x:v>
      </x:c>
      <x:c r="C306" s="49" t="str">
        <x:v>Maharashtra</x:v>
      </x:c>
      <x:c r="D306" s="49"/>
      <x:c r="E306" s="49"/>
      <x:c r="F306" s="49"/>
      <x:c r="G306" s="49" t="str">
        <x:v>Un-Aided</x:v>
      </x:c>
      <x:c r="H306" s="49" t="str">
        <x:v>Non-Autonomous / not stated</x:v>
      </x:c>
      <x:c r="I306" s="49" t="str">
        <x:v>Non-Minority / not stated</x:v>
      </x:c>
      <x:c r="J306" s="49"/>
      <x:c r="K306" s="49" t="n">
        <x:v>5</x:v>
      </x:c>
      <x:c r="L306" s="49" t="n">
        <x:v>133</x:v>
      </x:c>
      <x:c r="M306" s="49" t="n">
        <x:v>108</x:v>
      </x:c>
      <x:c r="N306" s="49" t="n">
        <x:v>25</x:v>
      </x:c>
      <x:c r="O306" s="49"/>
      <x:c r="P306" s="49"/>
      <x:c r="Q306" s="49" t="str">
        <x:v>Parsed from official 2025-26 PDF</x:v>
      </x:c>
      <x:c r="R306" s="49"/>
      <x:c r="S306" s="64"/>
      <x:c r="T306" s="64"/>
      <x:c r="U306" s="64"/>
      <x:c r="V306" s="49" t="str">
        <x:v>No verified FRA match</x:v>
      </x:c>
      <x:c r="W306" s="49"/>
      <x:c r="X306" s="49"/>
      <x:c r="Y306" s="68"/>
      <x:c r="Z306" s="49"/>
      <x:c r="AA306" s="49"/>
      <x:c r="AB306" s="49" t="str">
        <x:v>Not centrally verified</x:v>
      </x:c>
      <x:c r="AC306" s="49" t="str">
        <x:v>Not centrally verified</x:v>
      </x:c>
      <x:c r="AD306" s="49" t="str">
        <x:v>Not centrally verified</x:v>
      </x:c>
      <x:c r="AE306" s="49" t="str">
        <x:v>Not available in a standardized official source</x:v>
      </x:c>
      <x:c r="AF306" s="49" t="str">
        <x:v>Not included: no official standardized source; cutoff-derived proxy excluded</x:v>
      </x:c>
      <x:c r="AG306" s="49" t="str">
        <x:v>https://dse2025.mahacet.org.in/dse25/admin/allotment/cap2/6468_4.pdf</x:v>
      </x:c>
      <x:c r="AH306" s="49" t="str">
        <x:v>https://fe2025.mahacet.org/StaticPages/frmInstituteSummary.aspx?InstituteCode=06468</x:v>
      </x:c>
      <x:c r="AI306" s="49"/>
      <x:c r="AJ306" s="49" t="str"/>
      <x:c r="AK306" s="69" t="n">
        <x:f>IF(W306&lt;&gt;"",50,IF(X306="101-150",45,IF(X306="151-200",40,IF(X306="201-300",35,0))))+IF(H306="Autonomous",20,0)+IF(OR(G306="Government",G306="Government-Aided",G306="University Department",G306="University",G306="University Autonomous"),15,0)+MIN(K306,10)+IF(AA306&lt;&gt;"",3,0)+IF(U306&lt;&gt;"",2,0)</x:f>
        <x:v>5</x:v>
      </x:c>
      <x:c r="AL306" s="49" t="str">
        <x:f>IF(AK306&gt;=70,"Official/high-evidence reference",IF(AK306&gt;=40,"Planning reference","Broader option"))</x:f>
        <x:v>Broader option</x:v>
      </x:c>
    </x:row>
    <x:row r="307">
      <x:c r="A307" s="63" t="n">
        <x:v>6545</x:v>
      </x:c>
      <x:c r="B307" s="49" t="str">
        <x:v>Samarth Education Trust's Arvind Gavali College Of Engineering Panwalewadi, Varye,Satara.</x:v>
      </x:c>
      <x:c r="C307" s="49" t="str">
        <x:v>Maharashtra</x:v>
      </x:c>
      <x:c r="D307" s="49"/>
      <x:c r="E307" s="49" t="str">
        <x:v>Satara</x:v>
      </x:c>
      <x:c r="F307" s="49"/>
      <x:c r="G307" s="49" t="str">
        <x:v>Un-Aided</x:v>
      </x:c>
      <x:c r="H307" s="49" t="str">
        <x:v>Autonomous</x:v>
      </x:c>
      <x:c r="I307" s="49" t="str">
        <x:v>Non-Minority / not stated</x:v>
      </x:c>
      <x:c r="J307" s="49"/>
      <x:c r="K307" s="49" t="n">
        <x:v>6</x:v>
      </x:c>
      <x:c r="L307" s="49" t="n">
        <x:v>230</x:v>
      </x:c>
      <x:c r="M307" s="49" t="n">
        <x:v>196</x:v>
      </x:c>
      <x:c r="N307" s="49" t="n">
        <x:v>34</x:v>
      </x:c>
      <x:c r="O307" s="49"/>
      <x:c r="P307" s="49"/>
      <x:c r="Q307" s="49" t="str">
        <x:v>Parsed from official 2025-26 PDF</x:v>
      </x:c>
      <x:c r="R307" s="49" t="str">
        <x:v>2024-25</x:v>
      </x:c>
      <x:c r="S307" s="64" t="n">
        <x:v>72316</x:v>
      </x:c>
      <x:c r="T307" s="64" t="n">
        <x:v>9184</x:v>
      </x:c>
      <x:c r="U307" s="64" t="n">
        <x:v>81500</x:v>
      </x:c>
      <x:c r="V307" s="49" t="str">
        <x:v>Normal FRA-approved annual tuition + development fee; not seat-type-specific</x:v>
      </x:c>
      <x:c r="W307" s="49"/>
      <x:c r="X307" s="49"/>
      <x:c r="Y307" s="68"/>
      <x:c r="Z307" s="49"/>
      <x:c r="AA307" s="49"/>
      <x:c r="AB307" s="49" t="str">
        <x:v>Not centrally verified</x:v>
      </x:c>
      <x:c r="AC307" s="49" t="str">
        <x:v>Not centrally verified</x:v>
      </x:c>
      <x:c r="AD307" s="49" t="str">
        <x:v>Not centrally verified</x:v>
      </x:c>
      <x:c r="AE307" s="49" t="str">
        <x:v>Not available in a standardized official source</x:v>
      </x:c>
      <x:c r="AF307" s="49" t="str">
        <x:v>Not included: no official standardized source; cutoff-derived proxy excluded</x:v>
      </x:c>
      <x:c r="AG307" s="49" t="str">
        <x:v>https://dse2025.mahacet.org.in/dse25/admin/allotment/cap2/6545_4.pdf</x:v>
      </x:c>
      <x:c r="AH307" s="49" t="str">
        <x:v>https://fe2025.mahacet.org/StaticPages/frmInstituteSummary.aspx?InstituteCode=06545</x:v>
      </x:c>
      <x:c r="AI307" s="49"/>
      <x:c r="AJ307" s="49" t="str"/>
      <x:c r="AK307" s="69" t="n">
        <x:f>IF(W307&lt;&gt;"",50,IF(X307="101-150",45,IF(X307="151-200",40,IF(X307="201-300",35,0))))+IF(H307="Autonomous",20,0)+IF(OR(G307="Government",G307="Government-Aided",G307="University Department",G307="University",G307="University Autonomous"),15,0)+MIN(K307,10)+IF(AA307&lt;&gt;"",3,0)+IF(U307&lt;&gt;"",2,0)</x:f>
        <x:v>28</x:v>
      </x:c>
      <x:c r="AL307" s="49" t="str">
        <x:f>IF(AK307&gt;=70,"Official/high-evidence reference",IF(AK307&gt;=40,"Planning reference","Broader option"))</x:f>
        <x:v>Broader option</x:v>
      </x:c>
    </x:row>
    <x:row r="308">
      <x:c r="A308" s="63" t="n">
        <x:v>6609</x:v>
      </x:c>
      <x:c r="B308" s="49" t="str">
        <x:v>Jaihind College Of Engineering,Kuran</x:v>
      </x:c>
      <x:c r="C308" s="49" t="str">
        <x:v>Maharashtra</x:v>
      </x:c>
      <x:c r="D308" s="49"/>
      <x:c r="E308" s="49" t="str">
        <x:v>Pune</x:v>
      </x:c>
      <x:c r="F308" s="49"/>
      <x:c r="G308" s="49" t="str">
        <x:v>Un-Aided</x:v>
      </x:c>
      <x:c r="H308" s="49" t="str">
        <x:v>Non-Autonomous / not stated</x:v>
      </x:c>
      <x:c r="I308" s="49" t="str">
        <x:v>Non-Minority / not stated</x:v>
      </x:c>
      <x:c r="J308" s="49"/>
      <x:c r="K308" s="49" t="n">
        <x:v>5</x:v>
      </x:c>
      <x:c r="L308" s="49" t="n">
        <x:v>101</x:v>
      </x:c>
      <x:c r="M308" s="49" t="n">
        <x:v>69</x:v>
      </x:c>
      <x:c r="N308" s="49" t="n">
        <x:v>32</x:v>
      </x:c>
      <x:c r="O308" s="49"/>
      <x:c r="P308" s="49"/>
      <x:c r="Q308" s="49" t="str">
        <x:v>Parsed from official 2025-26 PDF</x:v>
      </x:c>
      <x:c r="R308" s="49" t="str">
        <x:v>2024-25</x:v>
      </x:c>
      <x:c r="S308" s="64" t="n">
        <x:v>61428</x:v>
      </x:c>
      <x:c r="T308" s="64" t="n">
        <x:v>6572</x:v>
      </x:c>
      <x:c r="U308" s="64" t="n">
        <x:v>68000</x:v>
      </x:c>
      <x:c r="V308" s="49" t="str">
        <x:v>Normal FRA-approved annual tuition + development fee; not seat-type-specific</x:v>
      </x:c>
      <x:c r="W308" s="49"/>
      <x:c r="X308" s="49"/>
      <x:c r="Y308" s="68"/>
      <x:c r="Z308" s="49"/>
      <x:c r="AA308" s="49"/>
      <x:c r="AB308" s="49" t="str">
        <x:v>Not centrally verified</x:v>
      </x:c>
      <x:c r="AC308" s="49" t="str">
        <x:v>Not centrally verified</x:v>
      </x:c>
      <x:c r="AD308" s="49" t="str">
        <x:v>Not centrally verified</x:v>
      </x:c>
      <x:c r="AE308" s="49" t="str">
        <x:v>Not available in a standardized official source</x:v>
      </x:c>
      <x:c r="AF308" s="49" t="str">
        <x:v>Not included: no official standardized source; cutoff-derived proxy excluded</x:v>
      </x:c>
      <x:c r="AG308" s="49" t="str">
        <x:v>https://dse2025.mahacet.org.in/dse25/admin/allotment/cap2/6609_4.pdf</x:v>
      </x:c>
      <x:c r="AH308" s="49" t="str">
        <x:v>https://fe2025.mahacet.org/StaticPages/frmInstituteSummary.aspx?InstituteCode=06609</x:v>
      </x:c>
      <x:c r="AI308" s="49"/>
      <x:c r="AJ308" s="49" t="str"/>
      <x:c r="AK308" s="69" t="n">
        <x:f>IF(W308&lt;&gt;"",50,IF(X308="101-150",45,IF(X308="151-200",40,IF(X308="201-300",35,0))))+IF(H308="Autonomous",20,0)+IF(OR(G308="Government",G308="Government-Aided",G308="University Department",G308="University",G308="University Autonomous"),15,0)+MIN(K308,10)+IF(AA308&lt;&gt;"",3,0)+IF(U308&lt;&gt;"",2,0)</x:f>
        <x:v>7</x:v>
      </x:c>
      <x:c r="AL308" s="49" t="str">
        <x:f>IF(AK308&gt;=70,"Official/high-evidence reference",IF(AK308&gt;=40,"Planning reference","Broader option"))</x:f>
        <x:v>Broader option</x:v>
      </x:c>
    </x:row>
    <x:row r="309">
      <x:c r="A309" s="63" t="n">
        <x:v>6622</x:v>
      </x:c>
      <x:c r="B309" s="49" t="str">
        <x:v>ISBM College Of Engineering Pune</x:v>
      </x:c>
      <x:c r="C309" s="49" t="str">
        <x:v>Maharashtra</x:v>
      </x:c>
      <x:c r="D309" s="49"/>
      <x:c r="E309" s="49" t="str">
        <x:v>Pune</x:v>
      </x:c>
      <x:c r="F309" s="49"/>
      <x:c r="G309" s="49" t="str">
        <x:v>Un-Aided</x:v>
      </x:c>
      <x:c r="H309" s="49" t="str">
        <x:v>Non-Autonomous / not stated</x:v>
      </x:c>
      <x:c r="I309" s="49" t="str">
        <x:v>Minority</x:v>
      </x:c>
      <x:c r="J309" s="49"/>
      <x:c r="K309" s="49" t="n">
        <x:v>7</x:v>
      </x:c>
      <x:c r="L309" s="49" t="n">
        <x:v>220</x:v>
      </x:c>
      <x:c r="M309" s="49" t="n">
        <x:v>105</x:v>
      </x:c>
      <x:c r="N309" s="49"/>
      <x:c r="O309" s="49" t="n">
        <x:v>115</x:v>
      </x:c>
      <x:c r="P309" s="49"/>
      <x:c r="Q309" s="49" t="str">
        <x:v>Parsed from official 2025-26 PDF</x:v>
      </x:c>
      <x:c r="R309" s="49" t="str">
        <x:v>2024-25</x:v>
      </x:c>
      <x:c r="S309" s="64" t="n">
        <x:v>61728</x:v>
      </x:c>
      <x:c r="T309" s="64" t="n">
        <x:v>8272</x:v>
      </x:c>
      <x:c r="U309" s="64" t="n">
        <x:v>70000</x:v>
      </x:c>
      <x:c r="V309" s="49" t="str">
        <x:v>Normal FRA-approved annual tuition + development fee; not seat-type-specific</x:v>
      </x:c>
      <x:c r="W309" s="49"/>
      <x:c r="X309" s="49"/>
      <x:c r="Y309" s="68"/>
      <x:c r="Z309" s="49"/>
      <x:c r="AA309" s="49"/>
      <x:c r="AB309" s="49" t="str">
        <x:v>Not centrally verified</x:v>
      </x:c>
      <x:c r="AC309" s="49" t="str">
        <x:v>Not centrally verified</x:v>
      </x:c>
      <x:c r="AD309" s="49" t="str">
        <x:v>Not centrally verified</x:v>
      </x:c>
      <x:c r="AE309" s="49" t="str">
        <x:v>Not available in a standardized official source</x:v>
      </x:c>
      <x:c r="AF309" s="49" t="str">
        <x:v>Not included: no official standardized source; cutoff-derived proxy excluded</x:v>
      </x:c>
      <x:c r="AG309" s="49" t="str">
        <x:v>https://dse2025.mahacet.org.in/dse25/admin/allotment/cap2/6622_4.pdf</x:v>
      </x:c>
      <x:c r="AH309" s="49" t="str">
        <x:v>https://fe2025.mahacet.org/StaticPages/frmInstituteSummary.aspx?InstituteCode=06622</x:v>
      </x:c>
      <x:c r="AI309" s="49"/>
      <x:c r="AJ309" s="49" t="str"/>
      <x:c r="AK309" s="69" t="n">
        <x:f>IF(W309&lt;&gt;"",50,IF(X309="101-150",45,IF(X309="151-200",40,IF(X309="201-300",35,0))))+IF(H309="Autonomous",20,0)+IF(OR(G309="Government",G309="Government-Aided",G309="University Department",G309="University",G309="University Autonomous"),15,0)+MIN(K309,10)+IF(AA309&lt;&gt;"",3,0)+IF(U309&lt;&gt;"",2,0)</x:f>
        <x:v>9</x:v>
      </x:c>
      <x:c r="AL309" s="49" t="str">
        <x:f>IF(AK309&gt;=70,"Official/high-evidence reference",IF(AK309&gt;=40,"Planning reference","Broader option"))</x:f>
        <x:v>Broader option</x:v>
      </x:c>
    </x:row>
    <x:row r="310">
      <x:c r="A310" s="63" t="n">
        <x:v>6625</x:v>
      </x:c>
      <x:c r="B310" s="49" t="str">
        <x:v>Universal College of Engineering &amp; Research, Sasewadi</x:v>
      </x:c>
      <x:c r="C310" s="49" t="str">
        <x:v>Maharashtra</x:v>
      </x:c>
      <x:c r="D310" s="49"/>
      <x:c r="E310" s="49" t="str">
        <x:v>Pune</x:v>
      </x:c>
      <x:c r="F310" s="49"/>
      <x:c r="G310" s="49" t="str">
        <x:v>Un-Aided</x:v>
      </x:c>
      <x:c r="H310" s="49" t="str">
        <x:v>Non-Autonomous / not stated</x:v>
      </x:c>
      <x:c r="I310" s="49" t="str">
        <x:v>Non-Minority / not stated</x:v>
      </x:c>
      <x:c r="J310" s="49"/>
      <x:c r="K310" s="49" t="n">
        <x:v>4</x:v>
      </x:c>
      <x:c r="L310" s="49" t="n">
        <x:v>95</x:v>
      </x:c>
      <x:c r="M310" s="49" t="n">
        <x:v>86</x:v>
      </x:c>
      <x:c r="N310" s="49" t="n">
        <x:v>9</x:v>
      </x:c>
      <x:c r="O310" s="49"/>
      <x:c r="P310" s="49"/>
      <x:c r="Q310" s="49" t="str">
        <x:v>Parsed from official 2025-26 PDF</x:v>
      </x:c>
      <x:c r="R310" s="49" t="str">
        <x:v>2024-25</x:v>
      </x:c>
      <x:c r="S310" s="64" t="n">
        <x:v>32433</x:v>
      </x:c>
      <x:c r="T310" s="64" t="n">
        <x:v>3567</x:v>
      </x:c>
      <x:c r="U310" s="64" t="n">
        <x:v>36000</x:v>
      </x:c>
      <x:c r="V310" s="49" t="str">
        <x:v>Normal FRA-approved annual tuition + development fee; not seat-type-specific</x:v>
      </x:c>
      <x:c r="W310" s="49"/>
      <x:c r="X310" s="49"/>
      <x:c r="Y310" s="68"/>
      <x:c r="Z310" s="49"/>
      <x:c r="AA310" s="49"/>
      <x:c r="AB310" s="49" t="str">
        <x:v>Not centrally verified</x:v>
      </x:c>
      <x:c r="AC310" s="49" t="str">
        <x:v>Not centrally verified</x:v>
      </x:c>
      <x:c r="AD310" s="49" t="str">
        <x:v>Not centrally verified</x:v>
      </x:c>
      <x:c r="AE310" s="49" t="str">
        <x:v>Not available in a standardized official source</x:v>
      </x:c>
      <x:c r="AF310" s="49" t="str">
        <x:v>Not included: no official standardized source; cutoff-derived proxy excluded</x:v>
      </x:c>
      <x:c r="AG310" s="49" t="str">
        <x:v>https://dse2025.mahacet.org.in/dse25/admin/allotment/cap2/6625_4.pdf</x:v>
      </x:c>
      <x:c r="AH310" s="49" t="str">
        <x:v>https://fe2025.mahacet.org/StaticPages/frmInstituteSummary.aspx?InstituteCode=06625</x:v>
      </x:c>
      <x:c r="AI310" s="49"/>
      <x:c r="AJ310" s="49" t="str"/>
      <x:c r="AK310" s="69" t="n">
        <x:f>IF(W310&lt;&gt;"",50,IF(X310="101-150",45,IF(X310="151-200",40,IF(X310="201-300",35,0))))+IF(H310="Autonomous",20,0)+IF(OR(G310="Government",G310="Government-Aided",G310="University Department",G310="University",G310="University Autonomous"),15,0)+MIN(K310,10)+IF(AA310&lt;&gt;"",3,0)+IF(U310&lt;&gt;"",2,0)</x:f>
        <x:v>6</x:v>
      </x:c>
      <x:c r="AL310" s="49" t="str">
        <x:f>IF(AK310&gt;=70,"Official/high-evidence reference",IF(AK310&gt;=40,"Planning reference","Broader option"))</x:f>
        <x:v>Broader option</x:v>
      </x:c>
    </x:row>
    <x:row r="311">
      <x:c r="A311" s="63" t="n">
        <x:v>6628</x:v>
      </x:c>
      <x:c r="B311" s="49" t="str">
        <x:v>Dattakala Group Of Institutions, Swami - Chincholi Tal. Daund Dist. Pune</x:v>
      </x:c>
      <x:c r="C311" s="49" t="str">
        <x:v>Maharashtra</x:v>
      </x:c>
      <x:c r="D311" s="49"/>
      <x:c r="E311" s="49" t="str">
        <x:v>Pune</x:v>
      </x:c>
      <x:c r="F311" s="49"/>
      <x:c r="G311" s="49" t="str">
        <x:v>Un-Aided</x:v>
      </x:c>
      <x:c r="H311" s="49" t="str">
        <x:v>Non-Autonomous / not stated</x:v>
      </x:c>
      <x:c r="I311" s="49" t="str">
        <x:v>Non-Minority / not stated</x:v>
      </x:c>
      <x:c r="J311" s="49"/>
      <x:c r="K311" s="49" t="n">
        <x:v>6</x:v>
      </x:c>
      <x:c r="L311" s="49" t="n">
        <x:v>264</x:v>
      </x:c>
      <x:c r="M311" s="49" t="n">
        <x:v>225</x:v>
      </x:c>
      <x:c r="N311" s="49" t="n">
        <x:v>39</x:v>
      </x:c>
      <x:c r="O311" s="49"/>
      <x:c r="P311" s="49"/>
      <x:c r="Q311" s="49" t="str">
        <x:v>Parsed from official 2025-26 PDF</x:v>
      </x:c>
      <x:c r="R311" s="49" t="str">
        <x:v>2024-25</x:v>
      </x:c>
      <x:c r="S311" s="64" t="n">
        <x:v>82666</x:v>
      </x:c>
      <x:c r="T311" s="64" t="n">
        <x:v>10334</x:v>
      </x:c>
      <x:c r="U311" s="64" t="n">
        <x:v>93000</x:v>
      </x:c>
      <x:c r="V311" s="49" t="str">
        <x:v>Normal FRA-approved annual tuition + development fee; not seat-type-specific</x:v>
      </x:c>
      <x:c r="W311" s="49"/>
      <x:c r="X311" s="49"/>
      <x:c r="Y311" s="68"/>
      <x:c r="Z311" s="49"/>
      <x:c r="AA311" s="49"/>
      <x:c r="AB311" s="49" t="str">
        <x:v>Not centrally verified</x:v>
      </x:c>
      <x:c r="AC311" s="49" t="str">
        <x:v>Not centrally verified</x:v>
      </x:c>
      <x:c r="AD311" s="49" t="str">
        <x:v>Not centrally verified</x:v>
      </x:c>
      <x:c r="AE311" s="49" t="str">
        <x:v>Not available in a standardized official source</x:v>
      </x:c>
      <x:c r="AF311" s="49" t="str">
        <x:v>Not included: no official standardized source; cutoff-derived proxy excluded</x:v>
      </x:c>
      <x:c r="AG311" s="49" t="str">
        <x:v>https://dse2025.mahacet.org.in/dse25/admin/allotment/cap2/6628_4.pdf</x:v>
      </x:c>
      <x:c r="AH311" s="49" t="str">
        <x:v>https://fe2025.mahacet.org/StaticPages/frmInstituteSummary.aspx?InstituteCode=06628</x:v>
      </x:c>
      <x:c r="AI311" s="49"/>
      <x:c r="AJ311" s="49" t="str"/>
      <x:c r="AK311" s="69" t="n">
        <x:f>IF(W311&lt;&gt;"",50,IF(X311="101-150",45,IF(X311="151-200",40,IF(X311="201-300",35,0))))+IF(H311="Autonomous",20,0)+IF(OR(G311="Government",G311="Government-Aided",G311="University Department",G311="University",G311="University Autonomous"),15,0)+MIN(K311,10)+IF(AA311&lt;&gt;"",3,0)+IF(U311&lt;&gt;"",2,0)</x:f>
        <x:v>8</x:v>
      </x:c>
      <x:c r="AL311" s="49" t="str">
        <x:f>IF(AK311&gt;=70,"Official/high-evidence reference",IF(AK311&gt;=40,"Planning reference","Broader option"))</x:f>
        <x:v>Broader option</x:v>
      </x:c>
    </x:row>
    <x:row r="312">
      <x:c r="A312" s="63" t="n">
        <x:v>6632</x:v>
      </x:c>
      <x:c r="B312" s="49" t="str">
        <x:v>Navsahyadri Education Society's Group of Institutions</x:v>
      </x:c>
      <x:c r="C312" s="49" t="str">
        <x:v>Maharashtra</x:v>
      </x:c>
      <x:c r="D312" s="49"/>
      <x:c r="E312" s="49" t="str">
        <x:v>Pune</x:v>
      </x:c>
      <x:c r="F312" s="49"/>
      <x:c r="G312" s="49" t="str">
        <x:v>Un-Aided</x:v>
      </x:c>
      <x:c r="H312" s="49" t="str">
        <x:v>Non-Autonomous / not stated</x:v>
      </x:c>
      <x:c r="I312" s="49" t="str">
        <x:v>Non-Minority / not stated</x:v>
      </x:c>
      <x:c r="J312" s="49"/>
      <x:c r="K312" s="49" t="n">
        <x:v>6</x:v>
      </x:c>
      <x:c r="L312" s="49" t="n">
        <x:v>120</x:v>
      </x:c>
      <x:c r="M312" s="49" t="n">
        <x:v>97</x:v>
      </x:c>
      <x:c r="N312" s="49" t="n">
        <x:v>23</x:v>
      </x:c>
      <x:c r="O312" s="49"/>
      <x:c r="P312" s="49"/>
      <x:c r="Q312" s="49" t="str">
        <x:v>Parsed from official 2025-26 PDF</x:v>
      </x:c>
      <x:c r="R312" s="49" t="str">
        <x:v>2024-25</x:v>
      </x:c>
      <x:c r="S312" s="64" t="n">
        <x:v>82452</x:v>
      </x:c>
      <x:c r="T312" s="64" t="n">
        <x:v>11048</x:v>
      </x:c>
      <x:c r="U312" s="64" t="n">
        <x:v>93500</x:v>
      </x:c>
      <x:c r="V312" s="49" t="str">
        <x:v>Normal FRA-approved annual tuition + development fee; not seat-type-specific</x:v>
      </x:c>
      <x:c r="W312" s="49"/>
      <x:c r="X312" s="49"/>
      <x:c r="Y312" s="68"/>
      <x:c r="Z312" s="49"/>
      <x:c r="AA312" s="49"/>
      <x:c r="AB312" s="49" t="str">
        <x:v>Not centrally verified</x:v>
      </x:c>
      <x:c r="AC312" s="49" t="str">
        <x:v>Not centrally verified</x:v>
      </x:c>
      <x:c r="AD312" s="49" t="str">
        <x:v>Not centrally verified</x:v>
      </x:c>
      <x:c r="AE312" s="49" t="str">
        <x:v>Not available in a standardized official source</x:v>
      </x:c>
      <x:c r="AF312" s="49" t="str">
        <x:v>Not included: no official standardized source; cutoff-derived proxy excluded</x:v>
      </x:c>
      <x:c r="AG312" s="49" t="str">
        <x:v>https://dse2025.mahacet.org.in/dse25/admin/allotment/cap2/6632_4.pdf</x:v>
      </x:c>
      <x:c r="AH312" s="49" t="str">
        <x:v>https://fe2025.mahacet.org/StaticPages/frmInstituteSummary.aspx?InstituteCode=06632</x:v>
      </x:c>
      <x:c r="AI312" s="49"/>
      <x:c r="AJ312" s="49" t="str"/>
      <x:c r="AK312" s="69" t="n">
        <x:f>IF(W312&lt;&gt;"",50,IF(X312="101-150",45,IF(X312="151-200",40,IF(X312="201-300",35,0))))+IF(H312="Autonomous",20,0)+IF(OR(G312="Government",G312="Government-Aided",G312="University Department",G312="University",G312="University Autonomous"),15,0)+MIN(K312,10)+IF(AA312&lt;&gt;"",3,0)+IF(U312&lt;&gt;"",2,0)</x:f>
        <x:v>8</x:v>
      </x:c>
      <x:c r="AL312" s="49" t="str">
        <x:f>IF(AK312&gt;=70,"Official/high-evidence reference",IF(AK312&gt;=40,"Planning reference","Broader option"))</x:f>
        <x:v>Broader option</x:v>
      </x:c>
    </x:row>
    <x:row r="313">
      <x:c r="A313" s="63" t="n">
        <x:v>6634</x:v>
      </x:c>
      <x:c r="B313" s="49" t="str">
        <x:v>KJEI's Trinity Academy of Engineering, Yewalewadi, Pune</x:v>
      </x:c>
      <x:c r="C313" s="49" t="str">
        <x:v>Maharashtra</x:v>
      </x:c>
      <x:c r="D313" s="49"/>
      <x:c r="E313" s="49" t="str">
        <x:v>Pune</x:v>
      </x:c>
      <x:c r="F313" s="49"/>
      <x:c r="G313" s="49" t="str">
        <x:v>Un-Aided</x:v>
      </x:c>
      <x:c r="H313" s="49" t="str">
        <x:v>Non-Autonomous / not stated</x:v>
      </x:c>
      <x:c r="I313" s="49" t="str">
        <x:v>Non-Minority / not stated</x:v>
      </x:c>
      <x:c r="J313" s="49"/>
      <x:c r="K313" s="49" t="n">
        <x:v>5</x:v>
      </x:c>
      <x:c r="L313" s="49" t="n">
        <x:v>88</x:v>
      </x:c>
      <x:c r="M313" s="49" t="n">
        <x:v>72</x:v>
      </x:c>
      <x:c r="N313" s="49" t="n">
        <x:v>16</x:v>
      </x:c>
      <x:c r="O313" s="49"/>
      <x:c r="P313" s="49"/>
      <x:c r="Q313" s="49" t="str">
        <x:v>Parsed from official 2025-26 PDF</x:v>
      </x:c>
      <x:c r="R313" s="49" t="str">
        <x:v>2024-25</x:v>
      </x:c>
      <x:c r="S313" s="64" t="n">
        <x:v>76956</x:v>
      </x:c>
      <x:c r="T313" s="64" t="n">
        <x:v>11544</x:v>
      </x:c>
      <x:c r="U313" s="64" t="n">
        <x:v>88500</x:v>
      </x:c>
      <x:c r="V313" s="49" t="str">
        <x:v>Normal FRA-approved annual tuition + development fee; not seat-type-specific</x:v>
      </x:c>
      <x:c r="W313" s="49"/>
      <x:c r="X313" s="49"/>
      <x:c r="Y313" s="68"/>
      <x:c r="Z313" s="49"/>
      <x:c r="AA313" s="49"/>
      <x:c r="AB313" s="49" t="str">
        <x:v>Not centrally verified</x:v>
      </x:c>
      <x:c r="AC313" s="49" t="str">
        <x:v>Not centrally verified</x:v>
      </x:c>
      <x:c r="AD313" s="49" t="str">
        <x:v>Not centrally verified</x:v>
      </x:c>
      <x:c r="AE313" s="49" t="str">
        <x:v>Not available in a standardized official source</x:v>
      </x:c>
      <x:c r="AF313" s="49" t="str">
        <x:v>Not included: no official standardized source; cutoff-derived proxy excluded</x:v>
      </x:c>
      <x:c r="AG313" s="49" t="str">
        <x:v>https://dse2025.mahacet.org.in/dse25/admin/allotment/cap2/6634_4.pdf</x:v>
      </x:c>
      <x:c r="AH313" s="49" t="str">
        <x:v>https://fe2025.mahacet.org/StaticPages/frmInstituteSummary.aspx?InstituteCode=06634</x:v>
      </x:c>
      <x:c r="AI313" s="49"/>
      <x:c r="AJ313" s="49" t="str"/>
      <x:c r="AK313" s="69" t="n">
        <x:f>IF(W313&lt;&gt;"",50,IF(X313="101-150",45,IF(X313="151-200",40,IF(X313="201-300",35,0))))+IF(H313="Autonomous",20,0)+IF(OR(G313="Government",G313="Government-Aided",G313="University Department",G313="University",G313="University Autonomous"),15,0)+MIN(K313,10)+IF(AA313&lt;&gt;"",3,0)+IF(U313&lt;&gt;"",2,0)</x:f>
        <x:v>7</x:v>
      </x:c>
      <x:c r="AL313" s="49" t="str">
        <x:f>IF(AK313&gt;=70,"Official/high-evidence reference",IF(AK313&gt;=40,"Planning reference","Broader option"))</x:f>
        <x:v>Broader option</x:v>
      </x:c>
    </x:row>
    <x:row r="314">
      <x:c r="A314" s="63" t="n">
        <x:v>6635</x:v>
      </x:c>
      <x:c r="B314" s="49" t="str">
        <x:v>Samarth College of Engineering and Management</x:v>
      </x:c>
      <x:c r="C314" s="49" t="str">
        <x:v>Maharashtra</x:v>
      </x:c>
      <x:c r="D314" s="49"/>
      <x:c r="E314" s="49" t="str">
        <x:v>Pune</x:v>
      </x:c>
      <x:c r="F314" s="49"/>
      <x:c r="G314" s="49" t="str">
        <x:v>Un-Aided</x:v>
      </x:c>
      <x:c r="H314" s="49" t="str">
        <x:v>Non-Autonomous / not stated</x:v>
      </x:c>
      <x:c r="I314" s="49" t="str">
        <x:v>Non-Minority / not stated</x:v>
      </x:c>
      <x:c r="J314" s="49"/>
      <x:c r="K314" s="49" t="n">
        <x:v>7</x:v>
      </x:c>
      <x:c r="L314" s="49" t="n">
        <x:v>169</x:v>
      </x:c>
      <x:c r="M314" s="49" t="n">
        <x:v>134</x:v>
      </x:c>
      <x:c r="N314" s="49" t="n">
        <x:v>35</x:v>
      </x:c>
      <x:c r="O314" s="49"/>
      <x:c r="P314" s="49"/>
      <x:c r="Q314" s="49" t="str">
        <x:v>Parsed from official 2025-26 PDF</x:v>
      </x:c>
      <x:c r="R314" s="49" t="str">
        <x:v>2024-25</x:v>
      </x:c>
      <x:c r="S314" s="64" t="n">
        <x:v>80444</x:v>
      </x:c>
      <x:c r="T314" s="64" t="n">
        <x:v>10056</x:v>
      </x:c>
      <x:c r="U314" s="64" t="n">
        <x:v>90500</x:v>
      </x:c>
      <x:c r="V314" s="49" t="str">
        <x:v>Normal FRA-approved annual tuition + development fee; not seat-type-specific</x:v>
      </x:c>
      <x:c r="W314" s="49"/>
      <x:c r="X314" s="49"/>
      <x:c r="Y314" s="68"/>
      <x:c r="Z314" s="49"/>
      <x:c r="AA314" s="49"/>
      <x:c r="AB314" s="49" t="str">
        <x:v>Not centrally verified</x:v>
      </x:c>
      <x:c r="AC314" s="49" t="str">
        <x:v>Not centrally verified</x:v>
      </x:c>
      <x:c r="AD314" s="49" t="str">
        <x:v>Not centrally verified</x:v>
      </x:c>
      <x:c r="AE314" s="49" t="str">
        <x:v>Not available in a standardized official source</x:v>
      </x:c>
      <x:c r="AF314" s="49" t="str">
        <x:v>Not included: no official standardized source; cutoff-derived proxy excluded</x:v>
      </x:c>
      <x:c r="AG314" s="49" t="str">
        <x:v>https://dse2025.mahacet.org.in/dse25/admin/allotment/cap2/6635_4.pdf</x:v>
      </x:c>
      <x:c r="AH314" s="49" t="str">
        <x:v>https://fe2025.mahacet.org/StaticPages/frmInstituteSummary.aspx?InstituteCode=06635</x:v>
      </x:c>
      <x:c r="AI314" s="49"/>
      <x:c r="AJ314" s="49" t="str"/>
      <x:c r="AK314" s="69" t="n">
        <x:f>IF(W314&lt;&gt;"",50,IF(X314="101-150",45,IF(X314="151-200",40,IF(X314="201-300",35,0))))+IF(H314="Autonomous",20,0)+IF(OR(G314="Government",G314="Government-Aided",G314="University Department",G314="University",G314="University Autonomous"),15,0)+MIN(K314,10)+IF(AA314&lt;&gt;"",3,0)+IF(U314&lt;&gt;"",2,0)</x:f>
        <x:v>9</x:v>
      </x:c>
      <x:c r="AL314" s="49" t="str">
        <x:f>IF(AK314&gt;=70,"Official/high-evidence reference",IF(AK314&gt;=40,"Planning reference","Broader option"))</x:f>
        <x:v>Broader option</x:v>
      </x:c>
    </x:row>
    <x:row r="315">
      <x:c r="A315" s="63" t="n">
        <x:v>6640</x:v>
      </x:c>
      <x:c r="B315" s="49" t="str">
        <x:v>N. B. Navale Sinhgad College of Engineering, Kegaon, solapur</x:v>
      </x:c>
      <x:c r="C315" s="49" t="str">
        <x:v>Maharashtra</x:v>
      </x:c>
      <x:c r="D315" s="49"/>
      <x:c r="E315" s="49" t="str">
        <x:v>Solapur</x:v>
      </x:c>
      <x:c r="F315" s="49"/>
      <x:c r="G315" s="49" t="str">
        <x:v>Un-Aided</x:v>
      </x:c>
      <x:c r="H315" s="49" t="str">
        <x:v>Non-Autonomous / not stated</x:v>
      </x:c>
      <x:c r="I315" s="49" t="str">
        <x:v>Non-Minority / not stated</x:v>
      </x:c>
      <x:c r="J315" s="49"/>
      <x:c r="K315" s="49" t="n">
        <x:v>5</x:v>
      </x:c>
      <x:c r="L315" s="49" t="n">
        <x:v>118</x:v>
      </x:c>
      <x:c r="M315" s="49" t="n">
        <x:v>103</x:v>
      </x:c>
      <x:c r="N315" s="49" t="n">
        <x:v>15</x:v>
      </x:c>
      <x:c r="O315" s="49"/>
      <x:c r="P315" s="49"/>
      <x:c r="Q315" s="49" t="str">
        <x:v>Parsed from official 2025-26 PDF</x:v>
      </x:c>
      <x:c r="R315" s="49" t="str">
        <x:v>2024-25</x:v>
      </x:c>
      <x:c r="S315" s="64" t="n">
        <x:v>83624</x:v>
      </x:c>
      <x:c r="T315" s="64" t="n">
        <x:v>11876</x:v>
      </x:c>
      <x:c r="U315" s="64" t="n">
        <x:v>95500</x:v>
      </x:c>
      <x:c r="V315" s="49" t="str">
        <x:v>Normal FRA-approved annual tuition + development fee; not seat-type-specific</x:v>
      </x:c>
      <x:c r="W315" s="49"/>
      <x:c r="X315" s="49"/>
      <x:c r="Y315" s="68"/>
      <x:c r="Z315" s="49"/>
      <x:c r="AA315" s="49"/>
      <x:c r="AB315" s="49" t="str">
        <x:v>Not centrally verified</x:v>
      </x:c>
      <x:c r="AC315" s="49" t="str">
        <x:v>Not centrally verified</x:v>
      </x:c>
      <x:c r="AD315" s="49" t="str">
        <x:v>Not centrally verified</x:v>
      </x:c>
      <x:c r="AE315" s="49" t="str">
        <x:v>Not available in a standardized official source</x:v>
      </x:c>
      <x:c r="AF315" s="49" t="str">
        <x:v>Not included: no official standardized source; cutoff-derived proxy excluded</x:v>
      </x:c>
      <x:c r="AG315" s="49" t="str">
        <x:v>https://dse2025.mahacet.org.in/dse25/admin/allotment/cap2/6640_4.pdf</x:v>
      </x:c>
      <x:c r="AH315" s="49" t="str">
        <x:v>https://fe2025.mahacet.org/StaticPages/frmInstituteSummary.aspx?InstituteCode=06640</x:v>
      </x:c>
      <x:c r="AI315" s="49"/>
      <x:c r="AJ315" s="49" t="str"/>
      <x:c r="AK315" s="69" t="n">
        <x:f>IF(W315&lt;&gt;"",50,IF(X315="101-150",45,IF(X315="151-200",40,IF(X315="201-300",35,0))))+IF(H315="Autonomous",20,0)+IF(OR(G315="Government",G315="Government-Aided",G315="University Department",G315="University",G315="University Autonomous"),15,0)+MIN(K315,10)+IF(AA315&lt;&gt;"",3,0)+IF(U315&lt;&gt;"",2,0)</x:f>
        <x:v>7</x:v>
      </x:c>
      <x:c r="AL315" s="49" t="str">
        <x:f>IF(AK315&gt;=70,"Official/high-evidence reference",IF(AK315&gt;=40,"Planning reference","Broader option"))</x:f>
        <x:v>Broader option</x:v>
      </x:c>
    </x:row>
    <x:row r="316">
      <x:c r="A316" s="63" t="n">
        <x:v>6643</x:v>
      </x:c>
      <x:c r="B316" s="49" t="str">
        <x:v>S K N Sinhgad College of Engineering, Korti Tal. Pandharpur Dist Solapur</x:v>
      </x:c>
      <x:c r="C316" s="49" t="str">
        <x:v>Maharashtra</x:v>
      </x:c>
      <x:c r="D316" s="49"/>
      <x:c r="E316" s="49" t="str">
        <x:v>Solapur</x:v>
      </x:c>
      <x:c r="F316" s="49"/>
      <x:c r="G316" s="49" t="str">
        <x:v>Un-Aided</x:v>
      </x:c>
      <x:c r="H316" s="49" t="str">
        <x:v>Non-Autonomous / not stated</x:v>
      </x:c>
      <x:c r="I316" s="49" t="str">
        <x:v>Non-Minority / not stated</x:v>
      </x:c>
      <x:c r="J316" s="49"/>
      <x:c r="K316" s="49" t="n">
        <x:v>5</x:v>
      </x:c>
      <x:c r="L316" s="49" t="n">
        <x:v>78</x:v>
      </x:c>
      <x:c r="M316" s="49" t="n">
        <x:v>59</x:v>
      </x:c>
      <x:c r="N316" s="49" t="n">
        <x:v>19</x:v>
      </x:c>
      <x:c r="O316" s="49"/>
      <x:c r="P316" s="49"/>
      <x:c r="Q316" s="49" t="str">
        <x:v>Parsed from official 2025-26 PDF</x:v>
      </x:c>
      <x:c r="R316" s="49" t="str">
        <x:v>2024-25</x:v>
      </x:c>
      <x:c r="S316" s="64" t="n">
        <x:v>83478</x:v>
      </x:c>
      <x:c r="T316" s="64" t="n">
        <x:v>12522</x:v>
      </x:c>
      <x:c r="U316" s="64" t="n">
        <x:v>96000</x:v>
      </x:c>
      <x:c r="V316" s="49" t="str">
        <x:v>Normal FRA-approved annual tuition + development fee; not seat-type-specific</x:v>
      </x:c>
      <x:c r="W316" s="49"/>
      <x:c r="X316" s="49"/>
      <x:c r="Y316" s="68"/>
      <x:c r="Z316" s="49"/>
      <x:c r="AA316" s="49"/>
      <x:c r="AB316" s="49" t="str">
        <x:v>Not centrally verified</x:v>
      </x:c>
      <x:c r="AC316" s="49" t="str">
        <x:v>Not centrally verified</x:v>
      </x:c>
      <x:c r="AD316" s="49" t="str">
        <x:v>Not centrally verified</x:v>
      </x:c>
      <x:c r="AE316" s="49" t="str">
        <x:v>Not available in a standardized official source</x:v>
      </x:c>
      <x:c r="AF316" s="49" t="str">
        <x:v>Not included: no official standardized source; cutoff-derived proxy excluded</x:v>
      </x:c>
      <x:c r="AG316" s="49" t="str">
        <x:v>https://dse2025.mahacet.org.in/dse25/admin/allotment/cap2/6643_4.pdf</x:v>
      </x:c>
      <x:c r="AH316" s="49" t="str">
        <x:v>https://fe2025.mahacet.org/StaticPages/frmInstituteSummary.aspx?InstituteCode=06643</x:v>
      </x:c>
      <x:c r="AI316" s="49"/>
      <x:c r="AJ316" s="49" t="str"/>
      <x:c r="AK316" s="69" t="n">
        <x:f>IF(W316&lt;&gt;"",50,IF(X316="101-150",45,IF(X316="151-200",40,IF(X316="201-300",35,0))))+IF(H316="Autonomous",20,0)+IF(OR(G316="Government",G316="Government-Aided",G316="University Department",G316="University",G316="University Autonomous"),15,0)+MIN(K316,10)+IF(AA316&lt;&gt;"",3,0)+IF(U316&lt;&gt;"",2,0)</x:f>
        <x:v>7</x:v>
      </x:c>
      <x:c r="AL316" s="49" t="str">
        <x:f>IF(AK316&gt;=70,"Official/high-evidence reference",IF(AK316&gt;=40,"Planning reference","Broader option"))</x:f>
        <x:v>Broader option</x:v>
      </x:c>
    </x:row>
    <x:row r="317">
      <x:c r="A317" s="63" t="n">
        <x:v>6644</x:v>
      </x:c>
      <x:c r="B317" s="49" t="str">
        <x:v>Shri. Ambabai Talim Sanstha's Sanjay Bhokare Group of Institutes, Miraj</x:v>
      </x:c>
      <x:c r="C317" s="49" t="str">
        <x:v>Maharashtra</x:v>
      </x:c>
      <x:c r="D317" s="49"/>
      <x:c r="E317" s="49" t="str">
        <x:v>Sangli</x:v>
      </x:c>
      <x:c r="F317" s="49"/>
      <x:c r="G317" s="49" t="str">
        <x:v>Un-Aided</x:v>
      </x:c>
      <x:c r="H317" s="49" t="str">
        <x:v>Autonomous</x:v>
      </x:c>
      <x:c r="I317" s="49" t="str">
        <x:v>Non-Minority / not stated</x:v>
      </x:c>
      <x:c r="J317" s="49"/>
      <x:c r="K317" s="49" t="n">
        <x:v>7</x:v>
      </x:c>
      <x:c r="L317" s="49" t="n">
        <x:v>184</x:v>
      </x:c>
      <x:c r="M317" s="49" t="n">
        <x:v>166</x:v>
      </x:c>
      <x:c r="N317" s="49" t="n">
        <x:v>18</x:v>
      </x:c>
      <x:c r="O317" s="49"/>
      <x:c r="P317" s="49"/>
      <x:c r="Q317" s="49" t="str">
        <x:v>Parsed from official 2025-26 PDF</x:v>
      </x:c>
      <x:c r="R317" s="49" t="str">
        <x:v>2024-25</x:v>
      </x:c>
      <x:c r="S317" s="64" t="n">
        <x:v>74562</x:v>
      </x:c>
      <x:c r="T317" s="64" t="n">
        <x:v>10438</x:v>
      </x:c>
      <x:c r="U317" s="64" t="n">
        <x:v>85000</x:v>
      </x:c>
      <x:c r="V317" s="49" t="str">
        <x:v>Normal FRA-approved annual tuition + development fee; not seat-type-specific</x:v>
      </x:c>
      <x:c r="W317" s="49"/>
      <x:c r="X317" s="49"/>
      <x:c r="Y317" s="68"/>
      <x:c r="Z317" s="49"/>
      <x:c r="AA317" s="49"/>
      <x:c r="AB317" s="49" t="str">
        <x:v>Not centrally verified</x:v>
      </x:c>
      <x:c r="AC317" s="49" t="str">
        <x:v>Not centrally verified</x:v>
      </x:c>
      <x:c r="AD317" s="49" t="str">
        <x:v>Not centrally verified</x:v>
      </x:c>
      <x:c r="AE317" s="49" t="str">
        <x:v>Not available in a standardized official source</x:v>
      </x:c>
      <x:c r="AF317" s="49" t="str">
        <x:v>Not included: no official standardized source; cutoff-derived proxy excluded</x:v>
      </x:c>
      <x:c r="AG317" s="49" t="str">
        <x:v>https://dse2025.mahacet.org.in/dse25/admin/allotment/cap2/6644_4.pdf</x:v>
      </x:c>
      <x:c r="AH317" s="49" t="str">
        <x:v>https://fe2025.mahacet.org/StaticPages/frmInstituteSummary.aspx?InstituteCode=06644</x:v>
      </x:c>
      <x:c r="AI317" s="49"/>
      <x:c r="AJ317" s="49" t="str"/>
      <x:c r="AK317" s="69" t="n">
        <x:f>IF(W317&lt;&gt;"",50,IF(X317="101-150",45,IF(X317="151-200",40,IF(X317="201-300",35,0))))+IF(H317="Autonomous",20,0)+IF(OR(G317="Government",G317="Government-Aided",G317="University Department",G317="University",G317="University Autonomous"),15,0)+MIN(K317,10)+IF(AA317&lt;&gt;"",3,0)+IF(U317&lt;&gt;"",2,0)</x:f>
        <x:v>29</x:v>
      </x:c>
      <x:c r="AL317" s="49" t="str">
        <x:f>IF(AK317&gt;=70,"Official/high-evidence reference",IF(AK317&gt;=40,"Planning reference","Broader option"))</x:f>
        <x:v>Broader option</x:v>
      </x:c>
    </x:row>
    <x:row r="318">
      <x:c r="A318" s="63" t="n">
        <x:v>6649</x:v>
      </x:c>
      <x:c r="B318" s="49" t="str">
        <x:v>TSSM's Bhivarabai Sawant College of Engineering and Research, Narhe, Pune</x:v>
      </x:c>
      <x:c r="C318" s="49" t="str">
        <x:v>Maharashtra</x:v>
      </x:c>
      <x:c r="D318" s="49"/>
      <x:c r="E318" s="49" t="str">
        <x:v>Pune</x:v>
      </x:c>
      <x:c r="F318" s="49"/>
      <x:c r="G318" s="49" t="str">
        <x:v>Un-Aided</x:v>
      </x:c>
      <x:c r="H318" s="49" t="str">
        <x:v>Non-Autonomous / not stated</x:v>
      </x:c>
      <x:c r="I318" s="49" t="str">
        <x:v>Non-Minority / not stated</x:v>
      </x:c>
      <x:c r="J318" s="49"/>
      <x:c r="K318" s="49" t="n">
        <x:v>5</x:v>
      </x:c>
      <x:c r="L318" s="49" t="n">
        <x:v>110</x:v>
      </x:c>
      <x:c r="M318" s="49" t="n">
        <x:v>88</x:v>
      </x:c>
      <x:c r="N318" s="49" t="n">
        <x:v>22</x:v>
      </x:c>
      <x:c r="O318" s="49"/>
      <x:c r="P318" s="49"/>
      <x:c r="Q318" s="49" t="str">
        <x:v>Parsed from official 2025-26 PDF</x:v>
      </x:c>
      <x:c r="R318" s="49" t="str">
        <x:v>2024-25</x:v>
      </x:c>
      <x:c r="S318" s="64" t="n">
        <x:v>91309</x:v>
      </x:c>
      <x:c r="T318" s="64" t="n">
        <x:v>12691</x:v>
      </x:c>
      <x:c r="U318" s="64" t="n">
        <x:v>104000</x:v>
      </x:c>
      <x:c r="V318" s="49" t="str">
        <x:v>Normal FRA-approved annual tuition + development fee; not seat-type-specific</x:v>
      </x:c>
      <x:c r="W318" s="49"/>
      <x:c r="X318" s="49"/>
      <x:c r="Y318" s="68"/>
      <x:c r="Z318" s="49"/>
      <x:c r="AA318" s="49"/>
      <x:c r="AB318" s="49" t="str">
        <x:v>Not centrally verified</x:v>
      </x:c>
      <x:c r="AC318" s="49" t="str">
        <x:v>Not centrally verified</x:v>
      </x:c>
      <x:c r="AD318" s="49" t="str">
        <x:v>Not centrally verified</x:v>
      </x:c>
      <x:c r="AE318" s="49" t="str">
        <x:v>Not available in a standardized official source</x:v>
      </x:c>
      <x:c r="AF318" s="49" t="str">
        <x:v>Not included: no official standardized source; cutoff-derived proxy excluded</x:v>
      </x:c>
      <x:c r="AG318" s="49" t="str">
        <x:v>https://dse2025.mahacet.org.in/dse25/admin/allotment/cap2/6649_4.pdf</x:v>
      </x:c>
      <x:c r="AH318" s="49" t="str">
        <x:v>https://fe2025.mahacet.org/StaticPages/frmInstituteSummary.aspx?InstituteCode=06649</x:v>
      </x:c>
      <x:c r="AI318" s="49"/>
      <x:c r="AJ318" s="49" t="str"/>
      <x:c r="AK318" s="69" t="n">
        <x:f>IF(W318&lt;&gt;"",50,IF(X318="101-150",45,IF(X318="151-200",40,IF(X318="201-300",35,0))))+IF(H318="Autonomous",20,0)+IF(OR(G318="Government",G318="Government-Aided",G318="University Department",G318="University",G318="University Autonomous"),15,0)+MIN(K318,10)+IF(AA318&lt;&gt;"",3,0)+IF(U318&lt;&gt;"",2,0)</x:f>
        <x:v>7</x:v>
      </x:c>
      <x:c r="AL318" s="49" t="str">
        <x:f>IF(AK318&gt;=70,"Official/high-evidence reference",IF(AK318&gt;=40,"Planning reference","Broader option"))</x:f>
        <x:v>Broader option</x:v>
      </x:c>
    </x:row>
    <x:row r="319">
      <x:c r="A319" s="63" t="n">
        <x:v>6714</x:v>
      </x:c>
      <x:c r="B319" s="49" t="str">
        <x:v>APPASAHEB ALIAS SA.RE.PATIL INSTITUTE OF TECHNOLOGY, Dattanagar Tal-Shirol, Dist Kolhapur</x:v>
      </x:c>
      <x:c r="C319" s="49" t="str">
        <x:v>Maharashtra</x:v>
      </x:c>
      <x:c r="D319" s="49"/>
      <x:c r="E319" s="49"/>
      <x:c r="F319" s="49"/>
      <x:c r="G319" s="49" t="str">
        <x:v>Un-Aided</x:v>
      </x:c>
      <x:c r="H319" s="49" t="str">
        <x:v>Non-Autonomous / not stated</x:v>
      </x:c>
      <x:c r="I319" s="49" t="str">
        <x:v>Non-Minority / not stated</x:v>
      </x:c>
      <x:c r="J319" s="49"/>
      <x:c r="K319" s="49" t="n">
        <x:v>4</x:v>
      </x:c>
      <x:c r="L319" s="49" t="n">
        <x:v>263</x:v>
      </x:c>
      <x:c r="M319" s="49" t="n">
        <x:v>241</x:v>
      </x:c>
      <x:c r="N319" s="49" t="n">
        <x:v>22</x:v>
      </x:c>
      <x:c r="O319" s="49"/>
      <x:c r="P319" s="49"/>
      <x:c r="Q319" s="49" t="str">
        <x:v>Parsed from official 2025-26 PDF</x:v>
      </x:c>
      <x:c r="R319" s="49"/>
      <x:c r="S319" s="64"/>
      <x:c r="T319" s="64"/>
      <x:c r="U319" s="64"/>
      <x:c r="V319" s="49" t="str">
        <x:v>No verified FRA match</x:v>
      </x:c>
      <x:c r="W319" s="49"/>
      <x:c r="X319" s="49"/>
      <x:c r="Y319" s="68"/>
      <x:c r="Z319" s="49"/>
      <x:c r="AA319" s="49"/>
      <x:c r="AB319" s="49" t="str">
        <x:v>Not centrally verified</x:v>
      </x:c>
      <x:c r="AC319" s="49" t="str">
        <x:v>Not centrally verified</x:v>
      </x:c>
      <x:c r="AD319" s="49" t="str">
        <x:v>Not centrally verified</x:v>
      </x:c>
      <x:c r="AE319" s="49" t="str">
        <x:v>Not available in a standardized official source</x:v>
      </x:c>
      <x:c r="AF319" s="49" t="str">
        <x:v>Not included: no official standardized source; cutoff-derived proxy excluded</x:v>
      </x:c>
      <x:c r="AG319" s="49" t="str">
        <x:v>https://dse2025.mahacet.org.in/dse25/admin/allotment/cap2/6714_4.pdf</x:v>
      </x:c>
      <x:c r="AH319" s="49" t="str">
        <x:v>https://fe2025.mahacet.org/StaticPages/frmInstituteSummary.aspx?InstituteCode=06714</x:v>
      </x:c>
      <x:c r="AI319" s="49"/>
      <x:c r="AJ319" s="49" t="str"/>
      <x:c r="AK319" s="69" t="n">
        <x:f>IF(W319&lt;&gt;"",50,IF(X319="101-150",45,IF(X319="151-200",40,IF(X319="201-300",35,0))))+IF(H319="Autonomous",20,0)+IF(OR(G319="Government",G319="Government-Aided",G319="University Department",G319="University",G319="University Autonomous"),15,0)+MIN(K319,10)+IF(AA319&lt;&gt;"",3,0)+IF(U319&lt;&gt;"",2,0)</x:f>
        <x:v>4</x:v>
      </x:c>
      <x:c r="AL319" s="49" t="str">
        <x:f>IF(AK319&gt;=70,"Official/high-evidence reference",IF(AK319&gt;=40,"Planning reference","Broader option"))</x:f>
        <x:v>Broader option</x:v>
      </x:c>
    </x:row>
    <x:row r="320">
      <x:c r="A320" s="63" t="n">
        <x:v>6732</x:v>
      </x:c>
      <x:c r="B320" s="49" t="str">
        <x:v>Ajeenkya DY Patil School of Engineering, Lohegaon, Pune</x:v>
      </x:c>
      <x:c r="C320" s="49" t="str">
        <x:v>Maharashtra</x:v>
      </x:c>
      <x:c r="D320" s="49"/>
      <x:c r="E320" s="49" t="str">
        <x:v>Pune</x:v>
      </x:c>
      <x:c r="F320" s="49"/>
      <x:c r="G320" s="49" t="str">
        <x:v>Un-Aided</x:v>
      </x:c>
      <x:c r="H320" s="49" t="str">
        <x:v>Non-Autonomous / not stated</x:v>
      </x:c>
      <x:c r="I320" s="49" t="str">
        <x:v>Non-Minority / not stated</x:v>
      </x:c>
      <x:c r="J320" s="49"/>
      <x:c r="K320" s="49" t="n">
        <x:v>5</x:v>
      </x:c>
      <x:c r="L320" s="49" t="n">
        <x:v>180</x:v>
      </x:c>
      <x:c r="M320" s="49" t="n">
        <x:v>134</x:v>
      </x:c>
      <x:c r="N320" s="49" t="n">
        <x:v>46</x:v>
      </x:c>
      <x:c r="O320" s="49"/>
      <x:c r="P320" s="49"/>
      <x:c r="Q320" s="49" t="str">
        <x:v>Parsed from official 2025-26 PDF</x:v>
      </x:c>
      <x:c r="R320" s="49" t="str">
        <x:v>2024-25</x:v>
      </x:c>
      <x:c r="S320" s="64" t="n">
        <x:v>90192</x:v>
      </x:c>
      <x:c r="T320" s="64" t="n">
        <x:v>12808</x:v>
      </x:c>
      <x:c r="U320" s="64" t="n">
        <x:v>103000</x:v>
      </x:c>
      <x:c r="V320" s="49" t="str">
        <x:v>Normal FRA-approved annual tuition + development fee; not seat-type-specific</x:v>
      </x:c>
      <x:c r="W320" s="49"/>
      <x:c r="X320" s="49"/>
      <x:c r="Y320" s="68"/>
      <x:c r="Z320" s="49"/>
      <x:c r="AA320" s="49"/>
      <x:c r="AB320" s="49" t="str">
        <x:v>Not centrally verified</x:v>
      </x:c>
      <x:c r="AC320" s="49" t="str">
        <x:v>Not centrally verified</x:v>
      </x:c>
      <x:c r="AD320" s="49" t="str">
        <x:v>Not centrally verified</x:v>
      </x:c>
      <x:c r="AE320" s="49" t="str">
        <x:v>Not available in a standardized official source</x:v>
      </x:c>
      <x:c r="AF320" s="49" t="str">
        <x:v>Not included: no official standardized source; cutoff-derived proxy excluded</x:v>
      </x:c>
      <x:c r="AG320" s="49" t="str">
        <x:v>https://dse2025.mahacet.org.in/dse25/admin/allotment/cap2/6732_4.pdf</x:v>
      </x:c>
      <x:c r="AH320" s="49" t="str">
        <x:v>https://fe2025.mahacet.org/StaticPages/frmInstituteSummary.aspx?InstituteCode=06732</x:v>
      </x:c>
      <x:c r="AI320" s="49"/>
      <x:c r="AJ320" s="49" t="str"/>
      <x:c r="AK320" s="69" t="n">
        <x:f>IF(W320&lt;&gt;"",50,IF(X320="101-150",45,IF(X320="151-200",40,IF(X320="201-300",35,0))))+IF(H320="Autonomous",20,0)+IF(OR(G320="Government",G320="Government-Aided",G320="University Department",G320="University",G320="University Autonomous"),15,0)+MIN(K320,10)+IF(AA320&lt;&gt;"",3,0)+IF(U320&lt;&gt;"",2,0)</x:f>
        <x:v>7</x:v>
      </x:c>
      <x:c r="AL320" s="49" t="str">
        <x:f>IF(AK320&gt;=70,"Official/high-evidence reference",IF(AK320&gt;=40,"Planning reference","Broader option"))</x:f>
        <x:v>Broader option</x:v>
      </x:c>
    </x:row>
    <x:row r="321">
      <x:c r="A321" s="63" t="n">
        <x:v>6754</x:v>
      </x:c>
      <x:c r="B321" s="49" t="str">
        <x:v>International Institute of Information Technology (I²IT), Pune.</x:v>
      </x:c>
      <x:c r="C321" s="49" t="str">
        <x:v>Maharashtra</x:v>
      </x:c>
      <x:c r="D321" s="49"/>
      <x:c r="E321" s="49" t="str">
        <x:v>Pune</x:v>
      </x:c>
      <x:c r="F321" s="49"/>
      <x:c r="G321" s="49" t="str">
        <x:v>Un-Aided</x:v>
      </x:c>
      <x:c r="H321" s="49" t="str">
        <x:v>Autonomous</x:v>
      </x:c>
      <x:c r="I321" s="49" t="str">
        <x:v>Non-Minority / not stated</x:v>
      </x:c>
      <x:c r="J321" s="49"/>
      <x:c r="K321" s="49" t="n">
        <x:v>3</x:v>
      </x:c>
      <x:c r="L321" s="49" t="n">
        <x:v>56</x:v>
      </x:c>
      <x:c r="M321" s="49" t="n">
        <x:v>46</x:v>
      </x:c>
      <x:c r="N321" s="49" t="n">
        <x:v>10</x:v>
      </x:c>
      <x:c r="O321" s="49"/>
      <x:c r="P321" s="49"/>
      <x:c r="Q321" s="49" t="str">
        <x:v>Parsed from official 2025-26 PDF</x:v>
      </x:c>
      <x:c r="R321" s="49" t="str">
        <x:v>2024-25</x:v>
      </x:c>
      <x:c r="S321" s="64" t="n">
        <x:v>96930</x:v>
      </x:c>
      <x:c r="T321" s="64" t="n">
        <x:v>13570</x:v>
      </x:c>
      <x:c r="U321" s="64" t="n">
        <x:v>110500</x:v>
      </x:c>
      <x:c r="V321" s="49" t="str">
        <x:v>Normal FRA-approved annual tuition + development fee; not seat-type-specific</x:v>
      </x:c>
      <x:c r="W321" s="49"/>
      <x:c r="X321" s="49"/>
      <x:c r="Y321" s="68"/>
      <x:c r="Z321" s="49"/>
      <x:c r="AA321" s="49"/>
      <x:c r="AB321" s="49" t="str">
        <x:v>Not centrally verified</x:v>
      </x:c>
      <x:c r="AC321" s="49" t="str">
        <x:v>Not centrally verified</x:v>
      </x:c>
      <x:c r="AD321" s="49" t="str">
        <x:v>Not centrally verified</x:v>
      </x:c>
      <x:c r="AE321" s="49" t="str">
        <x:v>Not available in a standardized official source</x:v>
      </x:c>
      <x:c r="AF321" s="49" t="str">
        <x:v>Not included: no official standardized source; cutoff-derived proxy excluded</x:v>
      </x:c>
      <x:c r="AG321" s="49" t="str">
        <x:v>https://dse2025.mahacet.org.in/dse25/admin/allotment/cap2/6754_4.pdf</x:v>
      </x:c>
      <x:c r="AH321" s="49" t="str">
        <x:v>https://fe2025.mahacet.org/StaticPages/frmInstituteSummary.aspx?InstituteCode=06754</x:v>
      </x:c>
      <x:c r="AI321" s="49"/>
      <x:c r="AJ321" s="49" t="str"/>
      <x:c r="AK321" s="69" t="n">
        <x:f>IF(W321&lt;&gt;"",50,IF(X321="101-150",45,IF(X321="151-200",40,IF(X321="201-300",35,0))))+IF(H321="Autonomous",20,0)+IF(OR(G321="Government",G321="Government-Aided",G321="University Department",G321="University",G321="University Autonomous"),15,0)+MIN(K321,10)+IF(AA321&lt;&gt;"",3,0)+IF(U321&lt;&gt;"",2,0)</x:f>
        <x:v>25</x:v>
      </x:c>
      <x:c r="AL321" s="49" t="str">
        <x:f>IF(AK321&gt;=70,"Official/high-evidence reference",IF(AK321&gt;=40,"Planning reference","Broader option"))</x:f>
        <x:v>Broader option</x:v>
      </x:c>
    </x:row>
    <x:row r="322">
      <x:c r="A322" s="63" t="n">
        <x:v>6755</x:v>
      </x:c>
      <x:c r="B322" s="49" t="str">
        <x:v>JSPM Narhe Technical Campus, Pune.</x:v>
      </x:c>
      <x:c r="C322" s="49" t="str">
        <x:v>Maharashtra</x:v>
      </x:c>
      <x:c r="D322" s="49"/>
      <x:c r="E322" s="49" t="str">
        <x:v>Pune</x:v>
      </x:c>
      <x:c r="F322" s="49"/>
      <x:c r="G322" s="49" t="str">
        <x:v>Un-Aided</x:v>
      </x:c>
      <x:c r="H322" s="49" t="str">
        <x:v>Non-Autonomous / not stated</x:v>
      </x:c>
      <x:c r="I322" s="49" t="str">
        <x:v>Non-Minority / not stated</x:v>
      </x:c>
      <x:c r="J322" s="49"/>
      <x:c r="K322" s="49" t="n">
        <x:v>5</x:v>
      </x:c>
      <x:c r="L322" s="49" t="n">
        <x:v>122</x:v>
      </x:c>
      <x:c r="M322" s="49" t="n">
        <x:v>100</x:v>
      </x:c>
      <x:c r="N322" s="49" t="n">
        <x:v>22</x:v>
      </x:c>
      <x:c r="O322" s="49"/>
      <x:c r="P322" s="49"/>
      <x:c r="Q322" s="49" t="str">
        <x:v>Parsed from official 2025-26 PDF</x:v>
      </x:c>
      <x:c r="R322" s="49" t="str">
        <x:v>2024-25</x:v>
      </x:c>
      <x:c r="S322" s="64" t="n">
        <x:v>88183</x:v>
      </x:c>
      <x:c r="T322" s="64" t="n">
        <x:v>11817</x:v>
      </x:c>
      <x:c r="U322" s="64" t="n">
        <x:v>100000</x:v>
      </x:c>
      <x:c r="V322" s="49" t="str">
        <x:v>Normal FRA-approved annual tuition + development fee; not seat-type-specific</x:v>
      </x:c>
      <x:c r="W322" s="49"/>
      <x:c r="X322" s="49"/>
      <x:c r="Y322" s="68"/>
      <x:c r="Z322" s="49"/>
      <x:c r="AA322" s="49"/>
      <x:c r="AB322" s="49" t="str">
        <x:v>Not centrally verified</x:v>
      </x:c>
      <x:c r="AC322" s="49" t="str">
        <x:v>Not centrally verified</x:v>
      </x:c>
      <x:c r="AD322" s="49" t="str">
        <x:v>Not centrally verified</x:v>
      </x:c>
      <x:c r="AE322" s="49" t="str">
        <x:v>Not available in a standardized official source</x:v>
      </x:c>
      <x:c r="AF322" s="49" t="str">
        <x:v>Not included: no official standardized source; cutoff-derived proxy excluded</x:v>
      </x:c>
      <x:c r="AG322" s="49" t="str">
        <x:v>https://dse2025.mahacet.org.in/dse25/admin/allotment/cap2/6755_4.pdf</x:v>
      </x:c>
      <x:c r="AH322" s="49" t="str">
        <x:v>https://fe2025.mahacet.org/StaticPages/frmInstituteSummary.aspx?InstituteCode=06755</x:v>
      </x:c>
      <x:c r="AI322" s="49"/>
      <x:c r="AJ322" s="49" t="str"/>
      <x:c r="AK322" s="69" t="n">
        <x:f>IF(W322&lt;&gt;"",50,IF(X322="101-150",45,IF(X322="151-200",40,IF(X322="201-300",35,0))))+IF(H322="Autonomous",20,0)+IF(OR(G322="Government",G322="Government-Aided",G322="University Department",G322="University",G322="University Autonomous"),15,0)+MIN(K322,10)+IF(AA322&lt;&gt;"",3,0)+IF(U322&lt;&gt;"",2,0)</x:f>
        <x:v>7</x:v>
      </x:c>
      <x:c r="AL322" s="49" t="str">
        <x:f>IF(AK322&gt;=70,"Official/high-evidence reference",IF(AK322&gt;=40,"Planning reference","Broader option"))</x:f>
        <x:v>Broader option</x:v>
      </x:c>
    </x:row>
    <x:row r="323">
      <x:c r="A323" s="63" t="n">
        <x:v>6756</x:v>
      </x:c>
      <x:c r="B323" s="49" t="str">
        <x:v>Fabtech Technical Campus College of Engineering and Research, Sangola</x:v>
      </x:c>
      <x:c r="C323" s="49" t="str">
        <x:v>Maharashtra</x:v>
      </x:c>
      <x:c r="D323" s="49"/>
      <x:c r="E323" s="49" t="str">
        <x:v>Solapur</x:v>
      </x:c>
      <x:c r="F323" s="49"/>
      <x:c r="G323" s="49" t="str">
        <x:v>Un-Aided</x:v>
      </x:c>
      <x:c r="H323" s="49" t="str">
        <x:v>Autonomous</x:v>
      </x:c>
      <x:c r="I323" s="49" t="str">
        <x:v>Non-Minority / not stated</x:v>
      </x:c>
      <x:c r="J323" s="49"/>
      <x:c r="K323" s="49" t="n">
        <x:v>6</x:v>
      </x:c>
      <x:c r="L323" s="49" t="n">
        <x:v>128</x:v>
      </x:c>
      <x:c r="M323" s="49" t="n">
        <x:v>98</x:v>
      </x:c>
      <x:c r="N323" s="49" t="n">
        <x:v>30</x:v>
      </x:c>
      <x:c r="O323" s="49"/>
      <x:c r="P323" s="49"/>
      <x:c r="Q323" s="49" t="str">
        <x:v>Parsed from official 2025-26 PDF</x:v>
      </x:c>
      <x:c r="R323" s="49" t="str">
        <x:v>2024-25</x:v>
      </x:c>
      <x:c r="S323" s="64" t="n">
        <x:v>71428</x:v>
      </x:c>
      <x:c r="T323" s="64" t="n">
        <x:v>8572</x:v>
      </x:c>
      <x:c r="U323" s="64" t="n">
        <x:v>80000</x:v>
      </x:c>
      <x:c r="V323" s="49" t="str">
        <x:v>Normal FRA-approved annual tuition + development fee; not seat-type-specific</x:v>
      </x:c>
      <x:c r="W323" s="49"/>
      <x:c r="X323" s="49"/>
      <x:c r="Y323" s="68"/>
      <x:c r="Z323" s="49"/>
      <x:c r="AA323" s="49"/>
      <x:c r="AB323" s="49" t="str">
        <x:v>Not centrally verified</x:v>
      </x:c>
      <x:c r="AC323" s="49" t="str">
        <x:v>Not centrally verified</x:v>
      </x:c>
      <x:c r="AD323" s="49" t="str">
        <x:v>Not centrally verified</x:v>
      </x:c>
      <x:c r="AE323" s="49" t="str">
        <x:v>Not available in a standardized official source</x:v>
      </x:c>
      <x:c r="AF323" s="49" t="str">
        <x:v>Not included: no official standardized source; cutoff-derived proxy excluded</x:v>
      </x:c>
      <x:c r="AG323" s="49" t="str">
        <x:v>https://dse2025.mahacet.org.in/dse25/admin/allotment/cap2/6756_4.pdf</x:v>
      </x:c>
      <x:c r="AH323" s="49" t="str">
        <x:v>https://fe2025.mahacet.org/StaticPages/frmInstituteSummary.aspx?InstituteCode=06756</x:v>
      </x:c>
      <x:c r="AI323" s="49"/>
      <x:c r="AJ323" s="49" t="str"/>
      <x:c r="AK323" s="69" t="n">
        <x:f>IF(W323&lt;&gt;"",50,IF(X323="101-150",45,IF(X323="151-200",40,IF(X323="201-300",35,0))))+IF(H323="Autonomous",20,0)+IF(OR(G323="Government",G323="Government-Aided",G323="University Department",G323="University",G323="University Autonomous"),15,0)+MIN(K323,10)+IF(AA323&lt;&gt;"",3,0)+IF(U323&lt;&gt;"",2,0)</x:f>
        <x:v>28</x:v>
      </x:c>
      <x:c r="AL323" s="49" t="str">
        <x:f>IF(AK323&gt;=70,"Official/high-evidence reference",IF(AK323&gt;=40,"Planning reference","Broader option"))</x:f>
        <x:v>Broader option</x:v>
      </x:c>
    </x:row>
    <x:row r="324">
      <x:c r="A324" s="63" t="n">
        <x:v>6757</x:v>
      </x:c>
      <x:c r="B324" s="49" t="str">
        <x:v>Yashoda Technical Campus, Wadhe, Satara.</x:v>
      </x:c>
      <x:c r="C324" s="49" t="str">
        <x:v>Maharashtra</x:v>
      </x:c>
      <x:c r="D324" s="49"/>
      <x:c r="E324" s="49" t="str">
        <x:v>Satara</x:v>
      </x:c>
      <x:c r="F324" s="49"/>
      <x:c r="G324" s="49" t="str">
        <x:v>Un-Aided</x:v>
      </x:c>
      <x:c r="H324" s="49" t="str">
        <x:v>Non-Autonomous / not stated</x:v>
      </x:c>
      <x:c r="I324" s="49" t="str">
        <x:v>Non-Minority / not stated</x:v>
      </x:c>
      <x:c r="J324" s="49"/>
      <x:c r="K324" s="49" t="n">
        <x:v>9</x:v>
      </x:c>
      <x:c r="L324" s="49" t="n">
        <x:v>250</x:v>
      </x:c>
      <x:c r="M324" s="49" t="n">
        <x:v>202</x:v>
      </x:c>
      <x:c r="N324" s="49" t="n">
        <x:v>48</x:v>
      </x:c>
      <x:c r="O324" s="49"/>
      <x:c r="P324" s="49"/>
      <x:c r="Q324" s="49" t="str">
        <x:v>Parsed from official 2025-26 PDF</x:v>
      </x:c>
      <x:c r="R324" s="49" t="str">
        <x:v>2024-25</x:v>
      </x:c>
      <x:c r="S324" s="64" t="n">
        <x:v>93806</x:v>
      </x:c>
      <x:c r="T324" s="64" t="n">
        <x:v>12194</x:v>
      </x:c>
      <x:c r="U324" s="64" t="n">
        <x:v>106000</x:v>
      </x:c>
      <x:c r="V324" s="49" t="str">
        <x:v>Normal FRA-approved annual tuition + development fee; not seat-type-specific</x:v>
      </x:c>
      <x:c r="W324" s="49"/>
      <x:c r="X324" s="49"/>
      <x:c r="Y324" s="68"/>
      <x:c r="Z324" s="49"/>
      <x:c r="AA324" s="49"/>
      <x:c r="AB324" s="49" t="str">
        <x:v>Not centrally verified</x:v>
      </x:c>
      <x:c r="AC324" s="49" t="str">
        <x:v>Not centrally verified</x:v>
      </x:c>
      <x:c r="AD324" s="49" t="str">
        <x:v>Not centrally verified</x:v>
      </x:c>
      <x:c r="AE324" s="49" t="str">
        <x:v>Not available in a standardized official source</x:v>
      </x:c>
      <x:c r="AF324" s="49" t="str">
        <x:v>Not included: no official standardized source; cutoff-derived proxy excluded</x:v>
      </x:c>
      <x:c r="AG324" s="49" t="str">
        <x:v>https://dse2025.mahacet.org.in/dse25/admin/allotment/cap2/6757_4.pdf</x:v>
      </x:c>
      <x:c r="AH324" s="49" t="str">
        <x:v>https://fe2025.mahacet.org/StaticPages/frmInstituteSummary.aspx?InstituteCode=06757</x:v>
      </x:c>
      <x:c r="AI324" s="49"/>
      <x:c r="AJ324" s="49" t="str"/>
      <x:c r="AK324" s="69" t="n">
        <x:f>IF(W324&lt;&gt;"",50,IF(X324="101-150",45,IF(X324="151-200",40,IF(X324="201-300",35,0))))+IF(H324="Autonomous",20,0)+IF(OR(G324="Government",G324="Government-Aided",G324="University Department",G324="University",G324="University Autonomous"),15,0)+MIN(K324,10)+IF(AA324&lt;&gt;"",3,0)+IF(U324&lt;&gt;"",2,0)</x:f>
        <x:v>11</x:v>
      </x:c>
      <x:c r="AL324" s="49" t="str">
        <x:f>IF(AK324&gt;=70,"Official/high-evidence reference",IF(AK324&gt;=40,"Planning reference","Broader option"))</x:f>
        <x:v>Broader option</x:v>
      </x:c>
    </x:row>
    <x:row r="325">
      <x:c r="A325" s="63" t="n">
        <x:v>6758</x:v>
      </x:c>
      <x:c r="B325" s="49" t="str">
        <x:v>Sahyadri Valley College of Engineering &amp; Technology, Rajuri, Pune.</x:v>
      </x:c>
      <x:c r="C325" s="49" t="str">
        <x:v>Maharashtra</x:v>
      </x:c>
      <x:c r="D325" s="49"/>
      <x:c r="E325" s="49" t="str">
        <x:v>Pune</x:v>
      </x:c>
      <x:c r="F325" s="49"/>
      <x:c r="G325" s="49" t="str">
        <x:v>Un-Aided</x:v>
      </x:c>
      <x:c r="H325" s="49" t="str">
        <x:v>Non-Autonomous / not stated</x:v>
      </x:c>
      <x:c r="I325" s="49" t="str">
        <x:v>Non-Minority / not stated</x:v>
      </x:c>
      <x:c r="J325" s="49"/>
      <x:c r="K325" s="49" t="n">
        <x:v>6</x:v>
      </x:c>
      <x:c r="L325" s="49" t="n">
        <x:v>187</x:v>
      </x:c>
      <x:c r="M325" s="49" t="n">
        <x:v>163</x:v>
      </x:c>
      <x:c r="N325" s="49" t="n">
        <x:v>24</x:v>
      </x:c>
      <x:c r="O325" s="49"/>
      <x:c r="P325" s="49"/>
      <x:c r="Q325" s="49" t="str">
        <x:v>Parsed from official 2025-26 PDF</x:v>
      </x:c>
      <x:c r="R325" s="49" t="str">
        <x:v>2024-25</x:v>
      </x:c>
      <x:c r="S325" s="64" t="n">
        <x:v>46667</x:v>
      </x:c>
      <x:c r="T325" s="64" t="n">
        <x:v>5833</x:v>
      </x:c>
      <x:c r="U325" s="64" t="n">
        <x:v>52500</x:v>
      </x:c>
      <x:c r="V325" s="49" t="str">
        <x:v>Normal FRA-approved annual tuition + development fee; not seat-type-specific</x:v>
      </x:c>
      <x:c r="W325" s="49"/>
      <x:c r="X325" s="49"/>
      <x:c r="Y325" s="68"/>
      <x:c r="Z325" s="49"/>
      <x:c r="AA325" s="49"/>
      <x:c r="AB325" s="49" t="str">
        <x:v>Not centrally verified</x:v>
      </x:c>
      <x:c r="AC325" s="49" t="str">
        <x:v>Not centrally verified</x:v>
      </x:c>
      <x:c r="AD325" s="49" t="str">
        <x:v>Not centrally verified</x:v>
      </x:c>
      <x:c r="AE325" s="49" t="str">
        <x:v>Not available in a standardized official source</x:v>
      </x:c>
      <x:c r="AF325" s="49" t="str">
        <x:v>Not included: no official standardized source; cutoff-derived proxy excluded</x:v>
      </x:c>
      <x:c r="AG325" s="49" t="str">
        <x:v>https://dse2025.mahacet.org.in/dse25/admin/allotment/cap2/6758_4.pdf</x:v>
      </x:c>
      <x:c r="AH325" s="49" t="str">
        <x:v>https://fe2025.mahacet.org/StaticPages/frmInstituteSummary.aspx?InstituteCode=06758</x:v>
      </x:c>
      <x:c r="AI325" s="49"/>
      <x:c r="AJ325" s="49" t="str"/>
      <x:c r="AK325" s="69" t="n">
        <x:f>IF(W325&lt;&gt;"",50,IF(X325="101-150",45,IF(X325="151-200",40,IF(X325="201-300",35,0))))+IF(H325="Autonomous",20,0)+IF(OR(G325="Government",G325="Government-Aided",G325="University Department",G325="University",G325="University Autonomous"),15,0)+MIN(K325,10)+IF(AA325&lt;&gt;"",3,0)+IF(U325&lt;&gt;"",2,0)</x:f>
        <x:v>8</x:v>
      </x:c>
      <x:c r="AL325" s="49" t="str">
        <x:f>IF(AK325&gt;=70,"Official/high-evidence reference",IF(AK325&gt;=40,"Planning reference","Broader option"))</x:f>
        <x:v>Broader option</x:v>
      </x:c>
    </x:row>
    <x:row r="326">
      <x:c r="A326" s="63" t="n">
        <x:v>6759</x:v>
      </x:c>
      <x:c r="B326" s="49" t="str">
        <x:v>Shree Ramchandra College of Engineering, Lonikand,Pune</x:v>
      </x:c>
      <x:c r="C326" s="49" t="str">
        <x:v>Maharashtra</x:v>
      </x:c>
      <x:c r="D326" s="49"/>
      <x:c r="E326" s="49" t="str">
        <x:v>Pune</x:v>
      </x:c>
      <x:c r="F326" s="49"/>
      <x:c r="G326" s="49" t="str">
        <x:v>Un-Aided</x:v>
      </x:c>
      <x:c r="H326" s="49" t="str">
        <x:v>Non-Autonomous / not stated</x:v>
      </x:c>
      <x:c r="I326" s="49" t="str">
        <x:v>Non-Minority / not stated</x:v>
      </x:c>
      <x:c r="J326" s="49"/>
      <x:c r="K326" s="49" t="n">
        <x:v>5</x:v>
      </x:c>
      <x:c r="L326" s="49" t="n">
        <x:v>79</x:v>
      </x:c>
      <x:c r="M326" s="49" t="n">
        <x:v>63</x:v>
      </x:c>
      <x:c r="N326" s="49" t="n">
        <x:v>16</x:v>
      </x:c>
      <x:c r="O326" s="49"/>
      <x:c r="P326" s="49"/>
      <x:c r="Q326" s="49" t="str">
        <x:v>Parsed from official 2025-26 PDF</x:v>
      </x:c>
      <x:c r="R326" s="49" t="str">
        <x:v>2024-25</x:v>
      </x:c>
      <x:c r="S326" s="64" t="n">
        <x:v>67256</x:v>
      </x:c>
      <x:c r="T326" s="64" t="n">
        <x:v>8744</x:v>
      </x:c>
      <x:c r="U326" s="64" t="n">
        <x:v>76000</x:v>
      </x:c>
      <x:c r="V326" s="49" t="str">
        <x:v>Normal FRA-approved annual tuition + development fee; not seat-type-specific</x:v>
      </x:c>
      <x:c r="W326" s="49"/>
      <x:c r="X326" s="49"/>
      <x:c r="Y326" s="68"/>
      <x:c r="Z326" s="49"/>
      <x:c r="AA326" s="49"/>
      <x:c r="AB326" s="49" t="str">
        <x:v>Not centrally verified</x:v>
      </x:c>
      <x:c r="AC326" s="49" t="str">
        <x:v>Not centrally verified</x:v>
      </x:c>
      <x:c r="AD326" s="49" t="str">
        <x:v>Not centrally verified</x:v>
      </x:c>
      <x:c r="AE326" s="49" t="str">
        <x:v>Not available in a standardized official source</x:v>
      </x:c>
      <x:c r="AF326" s="49" t="str">
        <x:v>Not included: no official standardized source; cutoff-derived proxy excluded</x:v>
      </x:c>
      <x:c r="AG326" s="49" t="str">
        <x:v>https://dse2025.mahacet.org.in/dse25/admin/allotment/cap2/6759_4.pdf</x:v>
      </x:c>
      <x:c r="AH326" s="49" t="str">
        <x:v>https://fe2025.mahacet.org/StaticPages/frmInstituteSummary.aspx?InstituteCode=06759</x:v>
      </x:c>
      <x:c r="AI326" s="49"/>
      <x:c r="AJ326" s="49" t="str"/>
      <x:c r="AK326" s="69" t="n">
        <x:f>IF(W326&lt;&gt;"",50,IF(X326="101-150",45,IF(X326="151-200",40,IF(X326="201-300",35,0))))+IF(H326="Autonomous",20,0)+IF(OR(G326="Government",G326="Government-Aided",G326="University Department",G326="University",G326="University Autonomous"),15,0)+MIN(K326,10)+IF(AA326&lt;&gt;"",3,0)+IF(U326&lt;&gt;"",2,0)</x:f>
        <x:v>7</x:v>
      </x:c>
      <x:c r="AL326" s="49" t="str">
        <x:f>IF(AK326&gt;=70,"Official/high-evidence reference",IF(AK326&gt;=40,"Planning reference","Broader option"))</x:f>
        <x:v>Broader option</x:v>
      </x:c>
    </x:row>
    <x:row r="327">
      <x:c r="A327" s="63" t="n">
        <x:v>6762</x:v>
      </x:c>
      <x:c r="B327" s="49" t="str">
        <x:v>Nanasaheb Mahadik College of Engineering,Walwa, Sangli.</x:v>
      </x:c>
      <x:c r="C327" s="49" t="str">
        <x:v>Maharashtra</x:v>
      </x:c>
      <x:c r="D327" s="49"/>
      <x:c r="E327" s="49" t="str">
        <x:v>Sangli</x:v>
      </x:c>
      <x:c r="F327" s="49"/>
      <x:c r="G327" s="49" t="str">
        <x:v>Un-Aided</x:v>
      </x:c>
      <x:c r="H327" s="49" t="str">
        <x:v>Non-Autonomous / not stated</x:v>
      </x:c>
      <x:c r="I327" s="49" t="str">
        <x:v>Non-Minority / not stated</x:v>
      </x:c>
      <x:c r="J327" s="49"/>
      <x:c r="K327" s="49" t="n">
        <x:v>5</x:v>
      </x:c>
      <x:c r="L327" s="49" t="n">
        <x:v>259</x:v>
      </x:c>
      <x:c r="M327" s="49" t="n">
        <x:v>232</x:v>
      </x:c>
      <x:c r="N327" s="49" t="n">
        <x:v>27</x:v>
      </x:c>
      <x:c r="O327" s="49"/>
      <x:c r="P327" s="49"/>
      <x:c r="Q327" s="49" t="str">
        <x:v>Parsed from official 2025-26 PDF</x:v>
      </x:c>
      <x:c r="R327" s="49" t="str">
        <x:v>2024-25</x:v>
      </x:c>
      <x:c r="S327" s="64" t="n">
        <x:v>68445</x:v>
      </x:c>
      <x:c r="T327" s="64" t="n">
        <x:v>8555</x:v>
      </x:c>
      <x:c r="U327" s="64" t="n">
        <x:v>77000</x:v>
      </x:c>
      <x:c r="V327" s="49" t="str">
        <x:v>Normal FRA-approved annual tuition + development fee; not seat-type-specific</x:v>
      </x:c>
      <x:c r="W327" s="49"/>
      <x:c r="X327" s="49"/>
      <x:c r="Y327" s="68"/>
      <x:c r="Z327" s="49"/>
      <x:c r="AA327" s="49"/>
      <x:c r="AB327" s="49" t="str">
        <x:v>Not centrally verified</x:v>
      </x:c>
      <x:c r="AC327" s="49" t="str">
        <x:v>Not centrally verified</x:v>
      </x:c>
      <x:c r="AD327" s="49" t="str">
        <x:v>Not centrally verified</x:v>
      </x:c>
      <x:c r="AE327" s="49" t="str">
        <x:v>Not available in a standardized official source</x:v>
      </x:c>
      <x:c r="AF327" s="49" t="str">
        <x:v>Not included: no official standardized source; cutoff-derived proxy excluded</x:v>
      </x:c>
      <x:c r="AG327" s="49" t="str">
        <x:v>https://dse2025.mahacet.org.in/dse25/admin/allotment/cap2/6762_4.pdf</x:v>
      </x:c>
      <x:c r="AH327" s="49" t="str">
        <x:v>https://fe2025.mahacet.org/StaticPages/frmInstituteSummary.aspx?InstituteCode=06762</x:v>
      </x:c>
      <x:c r="AI327" s="49"/>
      <x:c r="AJ327" s="49" t="str"/>
      <x:c r="AK327" s="69" t="n">
        <x:f>IF(W327&lt;&gt;"",50,IF(X327="101-150",45,IF(X327="151-200",40,IF(X327="201-300",35,0))))+IF(H327="Autonomous",20,0)+IF(OR(G327="Government",G327="Government-Aided",G327="University Department",G327="University",G327="University Autonomous"),15,0)+MIN(K327,10)+IF(AA327&lt;&gt;"",3,0)+IF(U327&lt;&gt;"",2,0)</x:f>
        <x:v>7</x:v>
      </x:c>
      <x:c r="AL327" s="49" t="str">
        <x:f>IF(AK327&gt;=70,"Official/high-evidence reference",IF(AK327&gt;=40,"Planning reference","Broader option"))</x:f>
        <x:v>Broader option</x:v>
      </x:c>
    </x:row>
    <x:row r="328">
      <x:c r="A328" s="63" t="n">
        <x:v>6766</x:v>
      </x:c>
      <x:c r="B328" s="49" t="str">
        <x:v>Phaltan Education Society's College of Engineering Thakurki Tal- Phaltan Dist-Satara</x:v>
      </x:c>
      <x:c r="C328" s="49" t="str">
        <x:v>Maharashtra</x:v>
      </x:c>
      <x:c r="D328" s="49"/>
      <x:c r="E328" s="49" t="str">
        <x:v>Satara</x:v>
      </x:c>
      <x:c r="F328" s="49"/>
      <x:c r="G328" s="49" t="str">
        <x:v>Un-Aided</x:v>
      </x:c>
      <x:c r="H328" s="49" t="str">
        <x:v>Non-Autonomous / not stated</x:v>
      </x:c>
      <x:c r="I328" s="49" t="str">
        <x:v>Non-Minority / not stated</x:v>
      </x:c>
      <x:c r="J328" s="49"/>
      <x:c r="K328" s="49" t="n">
        <x:v>5</x:v>
      </x:c>
      <x:c r="L328" s="49" t="n">
        <x:v>216</x:v>
      </x:c>
      <x:c r="M328" s="49" t="n">
        <x:v>183</x:v>
      </x:c>
      <x:c r="N328" s="49" t="n">
        <x:v>33</x:v>
      </x:c>
      <x:c r="O328" s="49"/>
      <x:c r="P328" s="49"/>
      <x:c r="Q328" s="49" t="str">
        <x:v>Parsed from official 2025-26 PDF</x:v>
      </x:c>
      <x:c r="R328" s="49" t="str">
        <x:v>2024-25</x:v>
      </x:c>
      <x:c r="S328" s="64" t="n">
        <x:v>78292</x:v>
      </x:c>
      <x:c r="T328" s="64" t="n">
        <x:v>9708</x:v>
      </x:c>
      <x:c r="U328" s="64" t="n">
        <x:v>88000</x:v>
      </x:c>
      <x:c r="V328" s="49" t="str">
        <x:v>Normal FRA-approved annual tuition + development fee; not seat-type-specific</x:v>
      </x:c>
      <x:c r="W328" s="49"/>
      <x:c r="X328" s="49"/>
      <x:c r="Y328" s="68"/>
      <x:c r="Z328" s="49"/>
      <x:c r="AA328" s="49"/>
      <x:c r="AB328" s="49" t="str">
        <x:v>Not centrally verified</x:v>
      </x:c>
      <x:c r="AC328" s="49" t="str">
        <x:v>Not centrally verified</x:v>
      </x:c>
      <x:c r="AD328" s="49" t="str">
        <x:v>Not centrally verified</x:v>
      </x:c>
      <x:c r="AE328" s="49" t="str">
        <x:v>Not available in a standardized official source</x:v>
      </x:c>
      <x:c r="AF328" s="49" t="str">
        <x:v>Not included: no official standardized source; cutoff-derived proxy excluded</x:v>
      </x:c>
      <x:c r="AG328" s="49" t="str">
        <x:v>https://dse2025.mahacet.org.in/dse25/admin/allotment/cap2/6766_4.pdf</x:v>
      </x:c>
      <x:c r="AH328" s="49" t="str">
        <x:v>https://fe2025.mahacet.org/StaticPages/frmInstituteSummary.aspx?InstituteCode=06766</x:v>
      </x:c>
      <x:c r="AI328" s="49"/>
      <x:c r="AJ328" s="49" t="str"/>
      <x:c r="AK328" s="69" t="n">
        <x:f>IF(W328&lt;&gt;"",50,IF(X328="101-150",45,IF(X328="151-200",40,IF(X328="201-300",35,0))))+IF(H328="Autonomous",20,0)+IF(OR(G328="Government",G328="Government-Aided",G328="University Department",G328="University",G328="University Autonomous"),15,0)+MIN(K328,10)+IF(AA328&lt;&gt;"",3,0)+IF(U328&lt;&gt;"",2,0)</x:f>
        <x:v>7</x:v>
      </x:c>
      <x:c r="AL328" s="49" t="str">
        <x:f>IF(AK328&gt;=70,"Official/high-evidence reference",IF(AK328&gt;=40,"Planning reference","Broader option"))</x:f>
        <x:v>Broader option</x:v>
      </x:c>
    </x:row>
    <x:row r="329">
      <x:c r="A329" s="63" t="n">
        <x:v>6767</x:v>
      </x:c>
      <x:c r="B329" s="49" t="str">
        <x:v>Suman Ramesh Tulsiani Technical Campus Faculty of Engineering, Kamshet,Pune.</x:v>
      </x:c>
      <x:c r="C329" s="49" t="str">
        <x:v>Maharashtra</x:v>
      </x:c>
      <x:c r="D329" s="49"/>
      <x:c r="E329" s="49" t="str">
        <x:v>Pune</x:v>
      </x:c>
      <x:c r="F329" s="49"/>
      <x:c r="G329" s="49" t="str">
        <x:v>Un-Aided</x:v>
      </x:c>
      <x:c r="H329" s="49" t="str">
        <x:v>Non-Autonomous / not stated</x:v>
      </x:c>
      <x:c r="I329" s="49" t="str">
        <x:v>Non-Minority / not stated</x:v>
      </x:c>
      <x:c r="J329" s="49"/>
      <x:c r="K329" s="49" t="n">
        <x:v>5</x:v>
      </x:c>
      <x:c r="L329" s="49" t="n">
        <x:v>281</x:v>
      </x:c>
      <x:c r="M329" s="49" t="n">
        <x:v>246</x:v>
      </x:c>
      <x:c r="N329" s="49" t="n">
        <x:v>35</x:v>
      </x:c>
      <x:c r="O329" s="49"/>
      <x:c r="P329" s="49"/>
      <x:c r="Q329" s="49" t="str">
        <x:v>Parsed from official 2025-26 PDF</x:v>
      </x:c>
      <x:c r="R329" s="49" t="str">
        <x:v>2024-25</x:v>
      </x:c>
      <x:c r="S329" s="64" t="n">
        <x:v>62832</x:v>
      </x:c>
      <x:c r="T329" s="64" t="n">
        <x:v>8168</x:v>
      </x:c>
      <x:c r="U329" s="64" t="n">
        <x:v>71000</x:v>
      </x:c>
      <x:c r="V329" s="49" t="str">
        <x:v>Normal FRA-approved annual tuition + development fee; not seat-type-specific</x:v>
      </x:c>
      <x:c r="W329" s="49"/>
      <x:c r="X329" s="49"/>
      <x:c r="Y329" s="68"/>
      <x:c r="Z329" s="49"/>
      <x:c r="AA329" s="49"/>
      <x:c r="AB329" s="49" t="str">
        <x:v>Not centrally verified</x:v>
      </x:c>
      <x:c r="AC329" s="49" t="str">
        <x:v>Not centrally verified</x:v>
      </x:c>
      <x:c r="AD329" s="49" t="str">
        <x:v>Not centrally verified</x:v>
      </x:c>
      <x:c r="AE329" s="49" t="str">
        <x:v>Not available in a standardized official source</x:v>
      </x:c>
      <x:c r="AF329" s="49" t="str">
        <x:v>Not included: no official standardized source; cutoff-derived proxy excluded</x:v>
      </x:c>
      <x:c r="AG329" s="49" t="str">
        <x:v>https://dse2025.mahacet.org.in/dse25/admin/allotment/cap2/6767_4.pdf</x:v>
      </x:c>
      <x:c r="AH329" s="49" t="str">
        <x:v>https://fe2025.mahacet.org/StaticPages/frmInstituteSummary.aspx?InstituteCode=06767</x:v>
      </x:c>
      <x:c r="AI329" s="49"/>
      <x:c r="AJ329" s="49" t="str"/>
      <x:c r="AK329" s="69" t="n">
        <x:f>IF(W329&lt;&gt;"",50,IF(X329="101-150",45,IF(X329="151-200",40,IF(X329="201-300",35,0))))+IF(H329="Autonomous",20,0)+IF(OR(G329="Government",G329="Government-Aided",G329="University Department",G329="University",G329="University Autonomous"),15,0)+MIN(K329,10)+IF(AA329&lt;&gt;"",3,0)+IF(U329&lt;&gt;"",2,0)</x:f>
        <x:v>7</x:v>
      </x:c>
      <x:c r="AL329" s="49" t="str">
        <x:f>IF(AK329&gt;=70,"Official/high-evidence reference",IF(AK329&gt;=40,"Planning reference","Broader option"))</x:f>
        <x:v>Broader option</x:v>
      </x:c>
    </x:row>
    <x:row r="330">
      <x:c r="A330" s="63" t="n">
        <x:v>6768</x:v>
      </x:c>
      <x:c r="B330" s="49" t="str">
        <x:v>P.K. Technical Campus, Pune.</x:v>
      </x:c>
      <x:c r="C330" s="49" t="str">
        <x:v>Maharashtra</x:v>
      </x:c>
      <x:c r="D330" s="49"/>
      <x:c r="E330" s="49" t="str">
        <x:v>Pune</x:v>
      </x:c>
      <x:c r="F330" s="49"/>
      <x:c r="G330" s="49" t="str">
        <x:v>Un-Aided</x:v>
      </x:c>
      <x:c r="H330" s="49" t="str">
        <x:v>Non-Autonomous / not stated</x:v>
      </x:c>
      <x:c r="I330" s="49" t="str">
        <x:v>Non-Minority / not stated</x:v>
      </x:c>
      <x:c r="J330" s="49"/>
      <x:c r="K330" s="49" t="n">
        <x:v>2</x:v>
      </x:c>
      <x:c r="L330" s="49" t="n">
        <x:v>58</x:v>
      </x:c>
      <x:c r="M330" s="49" t="n">
        <x:v>46</x:v>
      </x:c>
      <x:c r="N330" s="49" t="n">
        <x:v>12</x:v>
      </x:c>
      <x:c r="O330" s="49"/>
      <x:c r="P330" s="49"/>
      <x:c r="Q330" s="49" t="str">
        <x:v>Parsed from official 2025-26 PDF</x:v>
      </x:c>
      <x:c r="R330" s="49" t="str">
        <x:v>2024-25</x:v>
      </x:c>
      <x:c r="S330" s="64" t="n">
        <x:v>57932</x:v>
      </x:c>
      <x:c r="T330" s="64" t="n">
        <x:v>7068</x:v>
      </x:c>
      <x:c r="U330" s="64" t="n">
        <x:v>65000</x:v>
      </x:c>
      <x:c r="V330" s="49" t="str">
        <x:v>Normal FRA-approved annual tuition + development fee; not seat-type-specific</x:v>
      </x:c>
      <x:c r="W330" s="49"/>
      <x:c r="X330" s="49"/>
      <x:c r="Y330" s="68"/>
      <x:c r="Z330" s="49"/>
      <x:c r="AA330" s="49"/>
      <x:c r="AB330" s="49" t="str">
        <x:v>Not centrally verified</x:v>
      </x:c>
      <x:c r="AC330" s="49" t="str">
        <x:v>Not centrally verified</x:v>
      </x:c>
      <x:c r="AD330" s="49" t="str">
        <x:v>Not centrally verified</x:v>
      </x:c>
      <x:c r="AE330" s="49" t="str">
        <x:v>Not available in a standardized official source</x:v>
      </x:c>
      <x:c r="AF330" s="49" t="str">
        <x:v>Not included: no official standardized source; cutoff-derived proxy excluded</x:v>
      </x:c>
      <x:c r="AG330" s="49" t="str">
        <x:v>https://dse2025.mahacet.org.in/dse25/admin/allotment/cap2/6768_4.pdf</x:v>
      </x:c>
      <x:c r="AH330" s="49" t="str">
        <x:v>https://fe2025.mahacet.org/StaticPages/frmInstituteSummary.aspx?InstituteCode=06768</x:v>
      </x:c>
      <x:c r="AI330" s="49"/>
      <x:c r="AJ330" s="49" t="str"/>
      <x:c r="AK330" s="69" t="n">
        <x:f>IF(W330&lt;&gt;"",50,IF(X330="101-150",45,IF(X330="151-200",40,IF(X330="201-300",35,0))))+IF(H330="Autonomous",20,0)+IF(OR(G330="Government",G330="Government-Aided",G330="University Department",G330="University",G330="University Autonomous"),15,0)+MIN(K330,10)+IF(AA330&lt;&gt;"",3,0)+IF(U330&lt;&gt;"",2,0)</x:f>
        <x:v>4</x:v>
      </x:c>
      <x:c r="AL330" s="49" t="str">
        <x:f>IF(AK330&gt;=70,"Official/high-evidence reference",IF(AK330&gt;=40,"Planning reference","Broader option"))</x:f>
        <x:v>Broader option</x:v>
      </x:c>
    </x:row>
    <x:row r="331">
      <x:c r="A331" s="63" t="n">
        <x:v>6769</x:v>
      </x:c>
      <x:c r="B331" s="49" t="str">
        <x:v>Rasiklal M. Dhariwal Sinhgad Technical Institutes Campus, Warje, Pune.</x:v>
      </x:c>
      <x:c r="C331" s="49" t="str">
        <x:v>Maharashtra</x:v>
      </x:c>
      <x:c r="D331" s="49"/>
      <x:c r="E331" s="49" t="str">
        <x:v>Pune</x:v>
      </x:c>
      <x:c r="F331" s="49"/>
      <x:c r="G331" s="49" t="str">
        <x:v>Un-Aided</x:v>
      </x:c>
      <x:c r="H331" s="49" t="str">
        <x:v>Non-Autonomous / not stated</x:v>
      </x:c>
      <x:c r="I331" s="49" t="str">
        <x:v>Non-Minority / not stated</x:v>
      </x:c>
      <x:c r="J331" s="49"/>
      <x:c r="K331" s="49" t="n">
        <x:v>5</x:v>
      </x:c>
      <x:c r="L331" s="49" t="n">
        <x:v>127</x:v>
      </x:c>
      <x:c r="M331" s="49" t="n">
        <x:v>94</x:v>
      </x:c>
      <x:c r="N331" s="49" t="n">
        <x:v>33</x:v>
      </x:c>
      <x:c r="O331" s="49"/>
      <x:c r="P331" s="49"/>
      <x:c r="Q331" s="49" t="str">
        <x:v>Parsed from official 2025-26 PDF</x:v>
      </x:c>
      <x:c r="R331" s="49" t="str">
        <x:v>2024-25</x:v>
      </x:c>
      <x:c r="S331" s="64" t="n">
        <x:v>82609</x:v>
      </x:c>
      <x:c r="T331" s="64" t="n">
        <x:v>12391</x:v>
      </x:c>
      <x:c r="U331" s="64" t="n">
        <x:v>95000</x:v>
      </x:c>
      <x:c r="V331" s="49" t="str">
        <x:v>Normal FRA-approved annual tuition + development fee; not seat-type-specific</x:v>
      </x:c>
      <x:c r="W331" s="49"/>
      <x:c r="X331" s="49"/>
      <x:c r="Y331" s="68"/>
      <x:c r="Z331" s="49"/>
      <x:c r="AA331" s="49"/>
      <x:c r="AB331" s="49" t="str">
        <x:v>Not centrally verified</x:v>
      </x:c>
      <x:c r="AC331" s="49" t="str">
        <x:v>Not centrally verified</x:v>
      </x:c>
      <x:c r="AD331" s="49" t="str">
        <x:v>Not centrally verified</x:v>
      </x:c>
      <x:c r="AE331" s="49" t="str">
        <x:v>Not available in a standardized official source</x:v>
      </x:c>
      <x:c r="AF331" s="49" t="str">
        <x:v>Not included: no official standardized source; cutoff-derived proxy excluded</x:v>
      </x:c>
      <x:c r="AG331" s="49" t="str">
        <x:v>https://dse2025.mahacet.org.in/dse25/admin/allotment/cap2/6769_4.pdf</x:v>
      </x:c>
      <x:c r="AH331" s="49" t="str">
        <x:v>https://fe2025.mahacet.org/StaticPages/frmInstituteSummary.aspx?InstituteCode=06769</x:v>
      </x:c>
      <x:c r="AI331" s="49"/>
      <x:c r="AJ331" s="49" t="str"/>
      <x:c r="AK331" s="69" t="n">
        <x:f>IF(W331&lt;&gt;"",50,IF(X331="101-150",45,IF(X331="151-200",40,IF(X331="201-300",35,0))))+IF(H331="Autonomous",20,0)+IF(OR(G331="Government",G331="Government-Aided",G331="University Department",G331="University",G331="University Autonomous"),15,0)+MIN(K331,10)+IF(AA331&lt;&gt;"",3,0)+IF(U331&lt;&gt;"",2,0)</x:f>
        <x:v>7</x:v>
      </x:c>
      <x:c r="AL331" s="49" t="str">
        <x:f>IF(AK331&gt;=70,"Official/high-evidence reference",IF(AK331&gt;=40,"Planning reference","Broader option"))</x:f>
        <x:v>Broader option</x:v>
      </x:c>
    </x:row>
    <x:row r="332">
      <x:c r="A332" s="63" t="n">
        <x:v>6770</x:v>
      </x:c>
      <x:c r="B332" s="49" t="str">
        <x:v>SKN Sinhgad Institute of Technology &amp; Science, Kusgaon(BK),Pune.</x:v>
      </x:c>
      <x:c r="C332" s="49" t="str">
        <x:v>Maharashtra</x:v>
      </x:c>
      <x:c r="D332" s="49"/>
      <x:c r="E332" s="49" t="str">
        <x:v>Pune</x:v>
      </x:c>
      <x:c r="F332" s="49"/>
      <x:c r="G332" s="49" t="str">
        <x:v>Un-Aided</x:v>
      </x:c>
      <x:c r="H332" s="49" t="str">
        <x:v>Non-Autonomous / not stated</x:v>
      </x:c>
      <x:c r="I332" s="49" t="str">
        <x:v>Non-Minority / not stated</x:v>
      </x:c>
      <x:c r="J332" s="49"/>
      <x:c r="K332" s="49" t="n">
        <x:v>3</x:v>
      </x:c>
      <x:c r="L332" s="49" t="n">
        <x:v>49</x:v>
      </x:c>
      <x:c r="M332" s="49" t="n">
        <x:v>38</x:v>
      </x:c>
      <x:c r="N332" s="49" t="n">
        <x:v>11</x:v>
      </x:c>
      <x:c r="O332" s="49"/>
      <x:c r="P332" s="49"/>
      <x:c r="Q332" s="49" t="str">
        <x:v>Parsed from official 2025-26 PDF</x:v>
      </x:c>
      <x:c r="R332" s="49" t="str">
        <x:v>2024-25</x:v>
      </x:c>
      <x:c r="S332" s="64" t="n">
        <x:v>107826</x:v>
      </x:c>
      <x:c r="T332" s="64" t="n">
        <x:v>16174</x:v>
      </x:c>
      <x:c r="U332" s="64" t="n">
        <x:v>124000</x:v>
      </x:c>
      <x:c r="V332" s="49" t="str">
        <x:v>Normal FRA-approved annual tuition + development fee; not seat-type-specific</x:v>
      </x:c>
      <x:c r="W332" s="49"/>
      <x:c r="X332" s="49"/>
      <x:c r="Y332" s="68"/>
      <x:c r="Z332" s="49"/>
      <x:c r="AA332" s="49"/>
      <x:c r="AB332" s="49" t="str">
        <x:v>Not centrally verified</x:v>
      </x:c>
      <x:c r="AC332" s="49" t="str">
        <x:v>Not centrally verified</x:v>
      </x:c>
      <x:c r="AD332" s="49" t="str">
        <x:v>Not centrally verified</x:v>
      </x:c>
      <x:c r="AE332" s="49" t="str">
        <x:v>Not available in a standardized official source</x:v>
      </x:c>
      <x:c r="AF332" s="49" t="str">
        <x:v>Not included: no official standardized source; cutoff-derived proxy excluded</x:v>
      </x:c>
      <x:c r="AG332" s="49" t="str">
        <x:v>https://dse2025.mahacet.org.in/dse25/admin/allotment/cap2/6770_4.pdf</x:v>
      </x:c>
      <x:c r="AH332" s="49" t="str">
        <x:v>https://fe2025.mahacet.org/StaticPages/frmInstituteSummary.aspx?InstituteCode=06770</x:v>
      </x:c>
      <x:c r="AI332" s="49"/>
      <x:c r="AJ332" s="49" t="str"/>
      <x:c r="AK332" s="69" t="n">
        <x:f>IF(W332&lt;&gt;"",50,IF(X332="101-150",45,IF(X332="151-200",40,IF(X332="201-300",35,0))))+IF(H332="Autonomous",20,0)+IF(OR(G332="Government",G332="Government-Aided",G332="University Department",G332="University",G332="University Autonomous"),15,0)+MIN(K332,10)+IF(AA332&lt;&gt;"",3,0)+IF(U332&lt;&gt;"",2,0)</x:f>
        <x:v>5</x:v>
      </x:c>
      <x:c r="AL332" s="49" t="str">
        <x:f>IF(AK332&gt;=70,"Official/high-evidence reference",IF(AK332&gt;=40,"Planning reference","Broader option"))</x:f>
        <x:v>Broader option</x:v>
      </x:c>
    </x:row>
    <x:row r="333">
      <x:c r="A333" s="63" t="n">
        <x:v>6771</x:v>
      </x:c>
      <x:c r="B333" s="49" t="str">
        <x:v>Flora Institute of Technology, Khopi, Near Khed Shivapur Toll Plaza, Pune</x:v>
      </x:c>
      <x:c r="C333" s="49" t="str">
        <x:v>Maharashtra</x:v>
      </x:c>
      <x:c r="D333" s="49"/>
      <x:c r="E333" s="49"/>
      <x:c r="F333" s="49"/>
      <x:c r="G333" s="49" t="str">
        <x:v>Un-Aided</x:v>
      </x:c>
      <x:c r="H333" s="49" t="str">
        <x:v>Non-Autonomous / not stated</x:v>
      </x:c>
      <x:c r="I333" s="49" t="str">
        <x:v>Non-Minority / not stated</x:v>
      </x:c>
      <x:c r="J333" s="49"/>
      <x:c r="K333" s="49" t="n">
        <x:v>3</x:v>
      </x:c>
      <x:c r="L333" s="49" t="n">
        <x:v>163</x:v>
      </x:c>
      <x:c r="M333" s="49" t="n">
        <x:v>146</x:v>
      </x:c>
      <x:c r="N333" s="49" t="n">
        <x:v>17</x:v>
      </x:c>
      <x:c r="O333" s="49"/>
      <x:c r="P333" s="49"/>
      <x:c r="Q333" s="49" t="str">
        <x:v>Parsed from official 2025-26 PDF</x:v>
      </x:c>
      <x:c r="R333" s="49"/>
      <x:c r="S333" s="64"/>
      <x:c r="T333" s="64"/>
      <x:c r="U333" s="64"/>
      <x:c r="V333" s="49" t="str">
        <x:v>No verified FRA match</x:v>
      </x:c>
      <x:c r="W333" s="49"/>
      <x:c r="X333" s="49"/>
      <x:c r="Y333" s="68"/>
      <x:c r="Z333" s="49"/>
      <x:c r="AA333" s="49"/>
      <x:c r="AB333" s="49" t="str">
        <x:v>Not centrally verified</x:v>
      </x:c>
      <x:c r="AC333" s="49" t="str">
        <x:v>Not centrally verified</x:v>
      </x:c>
      <x:c r="AD333" s="49" t="str">
        <x:v>Not centrally verified</x:v>
      </x:c>
      <x:c r="AE333" s="49" t="str">
        <x:v>Not available in a standardized official source</x:v>
      </x:c>
      <x:c r="AF333" s="49" t="str">
        <x:v>Not included: no official standardized source; cutoff-derived proxy excluded</x:v>
      </x:c>
      <x:c r="AG333" s="49" t="str">
        <x:v>https://dse2025.mahacet.org.in/dse25/admin/allotment/cap2/6771_4.pdf</x:v>
      </x:c>
      <x:c r="AH333" s="49" t="str">
        <x:v>https://fe2025.mahacet.org/StaticPages/frmInstituteSummary.aspx?InstituteCode=06771</x:v>
      </x:c>
      <x:c r="AI333" s="49"/>
      <x:c r="AJ333" s="49" t="str"/>
      <x:c r="AK333" s="69" t="n">
        <x:f>IF(W333&lt;&gt;"",50,IF(X333="101-150",45,IF(X333="151-200",40,IF(X333="201-300",35,0))))+IF(H333="Autonomous",20,0)+IF(OR(G333="Government",G333="Government-Aided",G333="University Department",G333="University",G333="University Autonomous"),15,0)+MIN(K333,10)+IF(AA333&lt;&gt;"",3,0)+IF(U333&lt;&gt;"",2,0)</x:f>
        <x:v>3</x:v>
      </x:c>
      <x:c r="AL333" s="49" t="str">
        <x:f>IF(AK333&gt;=70,"Official/high-evidence reference",IF(AK333&gt;=40,"Planning reference","Broader option"))</x:f>
        <x:v>Broader option</x:v>
      </x:c>
    </x:row>
    <x:row r="334">
      <x:c r="A334" s="63" t="n">
        <x:v>6772</x:v>
      </x:c>
      <x:c r="B334" s="49" t="str">
        <x:v>NBN Sinhgad Technical Institutes Campus, Pune</x:v>
      </x:c>
      <x:c r="C334" s="49" t="str">
        <x:v>Maharashtra</x:v>
      </x:c>
      <x:c r="D334" s="49"/>
      <x:c r="E334" s="49" t="str">
        <x:v>Pune</x:v>
      </x:c>
      <x:c r="F334" s="49"/>
      <x:c r="G334" s="49" t="str">
        <x:v>Un-Aided</x:v>
      </x:c>
      <x:c r="H334" s="49" t="str">
        <x:v>Non-Autonomous / not stated</x:v>
      </x:c>
      <x:c r="I334" s="49" t="str">
        <x:v>Non-Minority / not stated</x:v>
      </x:c>
      <x:c r="J334" s="49"/>
      <x:c r="K334" s="49" t="n">
        <x:v>5</x:v>
      </x:c>
      <x:c r="L334" s="49" t="n">
        <x:v>96</x:v>
      </x:c>
      <x:c r="M334" s="49" t="n">
        <x:v>71</x:v>
      </x:c>
      <x:c r="N334" s="49" t="n">
        <x:v>25</x:v>
      </x:c>
      <x:c r="O334" s="49"/>
      <x:c r="P334" s="49"/>
      <x:c r="Q334" s="49" t="str">
        <x:v>Parsed from official 2025-26 PDF</x:v>
      </x:c>
      <x:c r="R334" s="49" t="str">
        <x:v>2024-25</x:v>
      </x:c>
      <x:c r="S334" s="64" t="n">
        <x:v>87610</x:v>
      </x:c>
      <x:c r="T334" s="64" t="n">
        <x:v>11390</x:v>
      </x:c>
      <x:c r="U334" s="64" t="n">
        <x:v>99000</x:v>
      </x:c>
      <x:c r="V334" s="49" t="str">
        <x:v>Normal FRA-approved annual tuition + development fee; not seat-type-specific</x:v>
      </x:c>
      <x:c r="W334" s="49"/>
      <x:c r="X334" s="49"/>
      <x:c r="Y334" s="68"/>
      <x:c r="Z334" s="49"/>
      <x:c r="AA334" s="49"/>
      <x:c r="AB334" s="49" t="str">
        <x:v>Not centrally verified</x:v>
      </x:c>
      <x:c r="AC334" s="49" t="str">
        <x:v>Not centrally verified</x:v>
      </x:c>
      <x:c r="AD334" s="49" t="str">
        <x:v>Not centrally verified</x:v>
      </x:c>
      <x:c r="AE334" s="49" t="str">
        <x:v>Not available in a standardized official source</x:v>
      </x:c>
      <x:c r="AF334" s="49" t="str">
        <x:v>Not included: no official standardized source; cutoff-derived proxy excluded</x:v>
      </x:c>
      <x:c r="AG334" s="49" t="str">
        <x:v>https://dse2025.mahacet.org.in/dse25/admin/allotment/cap2/6772_4.pdf</x:v>
      </x:c>
      <x:c r="AH334" s="49" t="str">
        <x:v>https://fe2025.mahacet.org/StaticPages/frmInstituteSummary.aspx?InstituteCode=06772</x:v>
      </x:c>
      <x:c r="AI334" s="49"/>
      <x:c r="AJ334" s="49" t="str"/>
      <x:c r="AK334" s="69" t="n">
        <x:f>IF(W334&lt;&gt;"",50,IF(X334="101-150",45,IF(X334="151-200",40,IF(X334="201-300",35,0))))+IF(H334="Autonomous",20,0)+IF(OR(G334="Government",G334="Government-Aided",G334="University Department",G334="University",G334="University Autonomous"),15,0)+MIN(K334,10)+IF(AA334&lt;&gt;"",3,0)+IF(U334&lt;&gt;"",2,0)</x:f>
        <x:v>7</x:v>
      </x:c>
      <x:c r="AL334" s="49" t="str">
        <x:f>IF(AK334&gt;=70,"Official/high-evidence reference",IF(AK334&gt;=40,"Planning reference","Broader option"))</x:f>
        <x:v>Broader option</x:v>
      </x:c>
    </x:row>
    <x:row r="335">
      <x:c r="A335" s="63" t="n">
        <x:v>6780</x:v>
      </x:c>
      <x:c r="B335" s="49" t="str">
        <x:v>D.Y.Patil Education Society's,D.Y.Patil Technical Campus, Faculty of Engineering &amp; Faculty of Management,Talsande,Kolhapur.</x:v>
      </x:c>
      <x:c r="C335" s="49" t="str">
        <x:v>Maharashtra</x:v>
      </x:c>
      <x:c r="D335" s="49"/>
      <x:c r="E335" s="49" t="str">
        <x:v>Kolhapur</x:v>
      </x:c>
      <x:c r="F335" s="49"/>
      <x:c r="G335" s="49" t="str">
        <x:v>Un-Aided</x:v>
      </x:c>
      <x:c r="H335" s="49" t="str">
        <x:v>Autonomous</x:v>
      </x:c>
      <x:c r="I335" s="49" t="str">
        <x:v>Non-Minority / not stated</x:v>
      </x:c>
      <x:c r="J335" s="49"/>
      <x:c r="K335" s="49" t="n">
        <x:v>5</x:v>
      </x:c>
      <x:c r="L335" s="49" t="n">
        <x:v>80</x:v>
      </x:c>
      <x:c r="M335" s="49" t="n">
        <x:v>71</x:v>
      </x:c>
      <x:c r="N335" s="49" t="n">
        <x:v>9</x:v>
      </x:c>
      <x:c r="O335" s="49"/>
      <x:c r="P335" s="49"/>
      <x:c r="Q335" s="49" t="str">
        <x:v>Parsed from official 2025-26 PDF</x:v>
      </x:c>
      <x:c r="R335" s="49" t="str">
        <x:v>2024-25</x:v>
      </x:c>
      <x:c r="S335" s="64" t="n">
        <x:v>72595</x:v>
      </x:c>
      <x:c r="T335" s="64" t="n">
        <x:v>7405</x:v>
      </x:c>
      <x:c r="U335" s="64" t="n">
        <x:v>80000</x:v>
      </x:c>
      <x:c r="V335" s="49" t="str">
        <x:v>Normal FRA-approved annual tuition + development fee; not seat-type-specific</x:v>
      </x:c>
      <x:c r="W335" s="49"/>
      <x:c r="X335" s="49"/>
      <x:c r="Y335" s="68"/>
      <x:c r="Z335" s="49"/>
      <x:c r="AA335" s="49"/>
      <x:c r="AB335" s="49" t="str">
        <x:v>Not centrally verified</x:v>
      </x:c>
      <x:c r="AC335" s="49" t="str">
        <x:v>Not centrally verified</x:v>
      </x:c>
      <x:c r="AD335" s="49" t="str">
        <x:v>Not centrally verified</x:v>
      </x:c>
      <x:c r="AE335" s="49" t="str">
        <x:v>Not available in a standardized official source</x:v>
      </x:c>
      <x:c r="AF335" s="49" t="str">
        <x:v>Not included: no official standardized source; cutoff-derived proxy excluded</x:v>
      </x:c>
      <x:c r="AG335" s="49" t="str">
        <x:v>https://dse2025.mahacet.org.in/dse25/admin/allotment/cap2/6780_4.pdf</x:v>
      </x:c>
      <x:c r="AH335" s="49" t="str">
        <x:v>https://fe2025.mahacet.org/StaticPages/frmInstituteSummary.aspx?InstituteCode=06780</x:v>
      </x:c>
      <x:c r="AI335" s="49"/>
      <x:c r="AJ335" s="49" t="str"/>
      <x:c r="AK335" s="69" t="n">
        <x:f>IF(W335&lt;&gt;"",50,IF(X335="101-150",45,IF(X335="151-200",40,IF(X335="201-300",35,0))))+IF(H335="Autonomous",20,0)+IF(OR(G335="Government",G335="Government-Aided",G335="University Department",G335="University",G335="University Autonomous"),15,0)+MIN(K335,10)+IF(AA335&lt;&gt;"",3,0)+IF(U335&lt;&gt;"",2,0)</x:f>
        <x:v>27</x:v>
      </x:c>
      <x:c r="AL335" s="49" t="str">
        <x:f>IF(AK335&gt;=70,"Official/high-evidence reference",IF(AK335&gt;=40,"Planning reference","Broader option"))</x:f>
        <x:v>Broader option</x:v>
      </x:c>
    </x:row>
    <x:row r="336">
      <x:c r="A336" s="63" t="n">
        <x:v>6781</x:v>
      </x:c>
      <x:c r="B336" s="49" t="str">
        <x:v>Bhagwant Institute of Technology, Barshi</x:v>
      </x:c>
      <x:c r="C336" s="49" t="str">
        <x:v>Maharashtra</x:v>
      </x:c>
      <x:c r="D336" s="49"/>
      <x:c r="E336" s="49" t="str">
        <x:v>Solapur</x:v>
      </x:c>
      <x:c r="F336" s="49"/>
      <x:c r="G336" s="49" t="str">
        <x:v>Un-Aided</x:v>
      </x:c>
      <x:c r="H336" s="49" t="str">
        <x:v>Non-Autonomous / not stated</x:v>
      </x:c>
      <x:c r="I336" s="49" t="str">
        <x:v>Non-Minority / not stated</x:v>
      </x:c>
      <x:c r="J336" s="49"/>
      <x:c r="K336" s="49" t="n">
        <x:v>4</x:v>
      </x:c>
      <x:c r="L336" s="49" t="n">
        <x:v>238</x:v>
      </x:c>
      <x:c r="M336" s="49" t="n">
        <x:v>212</x:v>
      </x:c>
      <x:c r="N336" s="49" t="n">
        <x:v>26</x:v>
      </x:c>
      <x:c r="O336" s="49"/>
      <x:c r="P336" s="49"/>
      <x:c r="Q336" s="49" t="str">
        <x:v>Parsed from official 2025-26 PDF</x:v>
      </x:c>
      <x:c r="R336" s="49" t="str">
        <x:v>2024-25</x:v>
      </x:c>
      <x:c r="S336" s="64" t="n">
        <x:v>52679</x:v>
      </x:c>
      <x:c r="T336" s="64" t="n">
        <x:v>6321</x:v>
      </x:c>
      <x:c r="U336" s="64" t="n">
        <x:v>59000</x:v>
      </x:c>
      <x:c r="V336" s="49" t="str">
        <x:v>Normal FRA-approved annual tuition + development fee; not seat-type-specific</x:v>
      </x:c>
      <x:c r="W336" s="49"/>
      <x:c r="X336" s="49"/>
      <x:c r="Y336" s="68"/>
      <x:c r="Z336" s="49"/>
      <x:c r="AA336" s="49"/>
      <x:c r="AB336" s="49" t="str">
        <x:v>Not centrally verified</x:v>
      </x:c>
      <x:c r="AC336" s="49" t="str">
        <x:v>Not centrally verified</x:v>
      </x:c>
      <x:c r="AD336" s="49" t="str">
        <x:v>Not centrally verified</x:v>
      </x:c>
      <x:c r="AE336" s="49" t="str">
        <x:v>Not available in a standardized official source</x:v>
      </x:c>
      <x:c r="AF336" s="49" t="str">
        <x:v>Not included: no official standardized source; cutoff-derived proxy excluded</x:v>
      </x:c>
      <x:c r="AG336" s="49" t="str">
        <x:v>https://dse2025.mahacet.org.in/dse25/admin/allotment/cap2/6781_4.pdf</x:v>
      </x:c>
      <x:c r="AH336" s="49" t="str">
        <x:v>https://fe2025.mahacet.org/StaticPages/frmInstituteSummary.aspx?InstituteCode=06781</x:v>
      </x:c>
      <x:c r="AI336" s="49"/>
      <x:c r="AJ336" s="49" t="str"/>
      <x:c r="AK336" s="69" t="n">
        <x:f>IF(W336&lt;&gt;"",50,IF(X336="101-150",45,IF(X336="151-200",40,IF(X336="201-300",35,0))))+IF(H336="Autonomous",20,0)+IF(OR(G336="Government",G336="Government-Aided",G336="University Department",G336="University",G336="University Autonomous"),15,0)+MIN(K336,10)+IF(AA336&lt;&gt;"",3,0)+IF(U336&lt;&gt;"",2,0)</x:f>
        <x:v>6</x:v>
      </x:c>
      <x:c r="AL336" s="49" t="str">
        <x:f>IF(AK336&gt;=70,"Official/high-evidence reference",IF(AK336&gt;=40,"Planning reference","Broader option"))</x:f>
        <x:v>Broader option</x:v>
      </x:c>
    </x:row>
    <x:row r="337">
      <x:c r="A337" s="63" t="n">
        <x:v>6782</x:v>
      </x:c>
      <x:c r="B337" s="49" t="str">
        <x:v>Sahakar Maharshee Shankarrao Mohite Patil Institute of Technology &amp; Research, Akluj</x:v>
      </x:c>
      <x:c r="C337" s="49" t="str">
        <x:v>Maharashtra</x:v>
      </x:c>
      <x:c r="D337" s="49"/>
      <x:c r="E337" s="49" t="str">
        <x:v>Solapur</x:v>
      </x:c>
      <x:c r="F337" s="49"/>
      <x:c r="G337" s="49" t="str">
        <x:v>Un-Aided</x:v>
      </x:c>
      <x:c r="H337" s="49" t="str">
        <x:v>Non-Autonomous / not stated</x:v>
      </x:c>
      <x:c r="I337" s="49" t="str">
        <x:v>Non-Minority / not stated</x:v>
      </x:c>
      <x:c r="J337" s="49"/>
      <x:c r="K337" s="49" t="n">
        <x:v>6</x:v>
      </x:c>
      <x:c r="L337" s="49" t="n">
        <x:v>179</x:v>
      </x:c>
      <x:c r="M337" s="49" t="n">
        <x:v>149</x:v>
      </x:c>
      <x:c r="N337" s="49" t="n">
        <x:v>30</x:v>
      </x:c>
      <x:c r="O337" s="49"/>
      <x:c r="P337" s="49"/>
      <x:c r="Q337" s="49" t="str">
        <x:v>Parsed from official 2025-26 PDF</x:v>
      </x:c>
      <x:c r="R337" s="49" t="str">
        <x:v>2024-25</x:v>
      </x:c>
      <x:c r="S337" s="64" t="n">
        <x:v>47297</x:v>
      </x:c>
      <x:c r="T337" s="64" t="n">
        <x:v>5203</x:v>
      </x:c>
      <x:c r="U337" s="64" t="n">
        <x:v>52500</x:v>
      </x:c>
      <x:c r="V337" s="49" t="str">
        <x:v>Normal FRA-approved annual tuition + development fee; not seat-type-specific</x:v>
      </x:c>
      <x:c r="W337" s="49"/>
      <x:c r="X337" s="49"/>
      <x:c r="Y337" s="68"/>
      <x:c r="Z337" s="49"/>
      <x:c r="AA337" s="49"/>
      <x:c r="AB337" s="49" t="str">
        <x:v>Not centrally verified</x:v>
      </x:c>
      <x:c r="AC337" s="49" t="str">
        <x:v>Not centrally verified</x:v>
      </x:c>
      <x:c r="AD337" s="49" t="str">
        <x:v>Not centrally verified</x:v>
      </x:c>
      <x:c r="AE337" s="49" t="str">
        <x:v>Not available in a standardized official source</x:v>
      </x:c>
      <x:c r="AF337" s="49" t="str">
        <x:v>Not included: no official standardized source; cutoff-derived proxy excluded</x:v>
      </x:c>
      <x:c r="AG337" s="49" t="str">
        <x:v>https://dse2025.mahacet.org.in/dse25/admin/allotment/cap2/6782_4.pdf</x:v>
      </x:c>
      <x:c r="AH337" s="49" t="str">
        <x:v>https://fe2025.mahacet.org/StaticPages/frmInstituteSummary.aspx?InstituteCode=06782</x:v>
      </x:c>
      <x:c r="AI337" s="49"/>
      <x:c r="AJ337" s="49" t="str"/>
      <x:c r="AK337" s="69" t="n">
        <x:f>IF(W337&lt;&gt;"",50,IF(X337="101-150",45,IF(X337="151-200",40,IF(X337="201-300",35,0))))+IF(H337="Autonomous",20,0)+IF(OR(G337="Government",G337="Government-Aided",G337="University Department",G337="University",G337="University Autonomous"),15,0)+MIN(K337,10)+IF(AA337&lt;&gt;"",3,0)+IF(U337&lt;&gt;"",2,0)</x:f>
        <x:v>8</x:v>
      </x:c>
      <x:c r="AL337" s="49" t="str">
        <x:f>IF(AK337&gt;=70,"Official/high-evidence reference",IF(AK337&gt;=40,"Planning reference","Broader option"))</x:f>
        <x:v>Broader option</x:v>
      </x:c>
    </x:row>
    <x:row r="338">
      <x:c r="A338" s="63" t="n">
        <x:v>6794</x:v>
      </x:c>
      <x:c r="B338" s="49" t="str">
        <x:v>Anantrao Pawar College of Engineering &amp; Research, Pune</x:v>
      </x:c>
      <x:c r="C338" s="49" t="str">
        <x:v>Maharashtra</x:v>
      </x:c>
      <x:c r="D338" s="49"/>
      <x:c r="E338" s="49" t="str">
        <x:v>Pune</x:v>
      </x:c>
      <x:c r="F338" s="49"/>
      <x:c r="G338" s="49" t="str">
        <x:v>Un-Aided</x:v>
      </x:c>
      <x:c r="H338" s="49" t="str">
        <x:v>Non-Autonomous / not stated</x:v>
      </x:c>
      <x:c r="I338" s="49" t="str">
        <x:v>Non-Minority / not stated</x:v>
      </x:c>
      <x:c r="J338" s="49"/>
      <x:c r="K338" s="49" t="n">
        <x:v>8</x:v>
      </x:c>
      <x:c r="L338" s="49" t="n">
        <x:v>158</x:v>
      </x:c>
      <x:c r="M338" s="49" t="n">
        <x:v>132</x:v>
      </x:c>
      <x:c r="N338" s="49" t="n">
        <x:v>26</x:v>
      </x:c>
      <x:c r="O338" s="49"/>
      <x:c r="P338" s="49"/>
      <x:c r="Q338" s="49" t="str">
        <x:v>Parsed from official 2025-26 PDF</x:v>
      </x:c>
      <x:c r="R338" s="49" t="str">
        <x:v>2024-25</x:v>
      </x:c>
      <x:c r="S338" s="64" t="n">
        <x:v>62999</x:v>
      </x:c>
      <x:c r="T338" s="64" t="n">
        <x:v>8001</x:v>
      </x:c>
      <x:c r="U338" s="64" t="n">
        <x:v>71000</x:v>
      </x:c>
      <x:c r="V338" s="49" t="str">
        <x:v>Normal FRA-approved annual tuition + development fee; not seat-type-specific</x:v>
      </x:c>
      <x:c r="W338" s="49"/>
      <x:c r="X338" s="49"/>
      <x:c r="Y338" s="68"/>
      <x:c r="Z338" s="49"/>
      <x:c r="AA338" s="49"/>
      <x:c r="AB338" s="49" t="str">
        <x:v>Not centrally verified</x:v>
      </x:c>
      <x:c r="AC338" s="49" t="str">
        <x:v>Not centrally verified</x:v>
      </x:c>
      <x:c r="AD338" s="49" t="str">
        <x:v>Not centrally verified</x:v>
      </x:c>
      <x:c r="AE338" s="49" t="str">
        <x:v>Not available in a standardized official source</x:v>
      </x:c>
      <x:c r="AF338" s="49" t="str">
        <x:v>Not included: no official standardized source; cutoff-derived proxy excluded</x:v>
      </x:c>
      <x:c r="AG338" s="49" t="str">
        <x:v>https://dse2025.mahacet.org.in/dse25/admin/allotment/cap2/6794_4.pdf</x:v>
      </x:c>
      <x:c r="AH338" s="49" t="str">
        <x:v>https://fe2025.mahacet.org/StaticPages/frmInstituteSummary.aspx?InstituteCode=06794</x:v>
      </x:c>
      <x:c r="AI338" s="49"/>
      <x:c r="AJ338" s="49" t="str"/>
      <x:c r="AK338" s="69" t="n">
        <x:f>IF(W338&lt;&gt;"",50,IF(X338="101-150",45,IF(X338="151-200",40,IF(X338="201-300",35,0))))+IF(H338="Autonomous",20,0)+IF(OR(G338="Government",G338="Government-Aided",G338="University Department",G338="University",G338="University Autonomous"),15,0)+MIN(K338,10)+IF(AA338&lt;&gt;"",3,0)+IF(U338&lt;&gt;"",2,0)</x:f>
        <x:v>10</x:v>
      </x:c>
      <x:c r="AL338" s="49" t="str">
        <x:f>IF(AK338&gt;=70,"Official/high-evidence reference",IF(AK338&gt;=40,"Planning reference","Broader option"))</x:f>
        <x:v>Broader option</x:v>
      </x:c>
    </x:row>
    <x:row r="339">
      <x:c r="A339" s="63" t="n">
        <x:v>6795</x:v>
      </x:c>
      <x:c r="B339" s="49" t="str">
        <x:v>Shri.Someshwar Shikshan Prasarak Mandal, Sharadchandra Pawar College of Engineering &amp; Technology, Someshwar Nagar</x:v>
      </x:c>
      <x:c r="C339" s="49" t="str">
        <x:v>Maharashtra</x:v>
      </x:c>
      <x:c r="D339" s="49"/>
      <x:c r="E339" s="49" t="str">
        <x:v>Pune</x:v>
      </x:c>
      <x:c r="F339" s="49"/>
      <x:c r="G339" s="49" t="str">
        <x:v>Un-Aided</x:v>
      </x:c>
      <x:c r="H339" s="49" t="str">
        <x:v>Non-Autonomous / not stated</x:v>
      </x:c>
      <x:c r="I339" s="49" t="str">
        <x:v>Non-Minority / not stated</x:v>
      </x:c>
      <x:c r="J339" s="49"/>
      <x:c r="K339" s="49" t="n">
        <x:v>4</x:v>
      </x:c>
      <x:c r="L339" s="49" t="n">
        <x:v>81</x:v>
      </x:c>
      <x:c r="M339" s="49" t="n">
        <x:v>71</x:v>
      </x:c>
      <x:c r="N339" s="49" t="n">
        <x:v>10</x:v>
      </x:c>
      <x:c r="O339" s="49"/>
      <x:c r="P339" s="49"/>
      <x:c r="Q339" s="49" t="str">
        <x:v>Parsed from official 2025-26 PDF</x:v>
      </x:c>
      <x:c r="R339" s="49" t="str">
        <x:v>2024-25</x:v>
      </x:c>
      <x:c r="S339" s="64" t="n">
        <x:v>54299</x:v>
      </x:c>
      <x:c r="T339" s="64" t="n">
        <x:v>5701</x:v>
      </x:c>
      <x:c r="U339" s="64" t="n">
        <x:v>60000</x:v>
      </x:c>
      <x:c r="V339" s="49" t="str">
        <x:v>Normal FRA-approved annual tuition + development fee; not seat-type-specific</x:v>
      </x:c>
      <x:c r="W339" s="49"/>
      <x:c r="X339" s="49"/>
      <x:c r="Y339" s="68"/>
      <x:c r="Z339" s="49"/>
      <x:c r="AA339" s="49"/>
      <x:c r="AB339" s="49" t="str">
        <x:v>Not centrally verified</x:v>
      </x:c>
      <x:c r="AC339" s="49" t="str">
        <x:v>Not centrally verified</x:v>
      </x:c>
      <x:c r="AD339" s="49" t="str">
        <x:v>Not centrally verified</x:v>
      </x:c>
      <x:c r="AE339" s="49" t="str">
        <x:v>Not available in a standardized official source</x:v>
      </x:c>
      <x:c r="AF339" s="49" t="str">
        <x:v>Not included: no official standardized source; cutoff-derived proxy excluded</x:v>
      </x:c>
      <x:c r="AG339" s="49" t="str">
        <x:v>https://dse2025.mahacet.org.in/dse25/admin/allotment/cap2/6795_4.pdf</x:v>
      </x:c>
      <x:c r="AH339" s="49" t="str">
        <x:v>https://fe2025.mahacet.org/StaticPages/frmInstituteSummary.aspx?InstituteCode=06795</x:v>
      </x:c>
      <x:c r="AI339" s="49"/>
      <x:c r="AJ339" s="49" t="str"/>
      <x:c r="AK339" s="69" t="n">
        <x:f>IF(W339&lt;&gt;"",50,IF(X339="101-150",45,IF(X339="151-200",40,IF(X339="201-300",35,0))))+IF(H339="Autonomous",20,0)+IF(OR(G339="Government",G339="Government-Aided",G339="University Department",G339="University",G339="University Autonomous"),15,0)+MIN(K339,10)+IF(AA339&lt;&gt;"",3,0)+IF(U339&lt;&gt;"",2,0)</x:f>
        <x:v>6</x:v>
      </x:c>
      <x:c r="AL339" s="49" t="str">
        <x:f>IF(AK339&gt;=70,"Official/high-evidence reference",IF(AK339&gt;=40,"Planning reference","Broader option"))</x:f>
        <x:v>Broader option</x:v>
      </x:c>
    </x:row>
    <x:row r="340">
      <x:c r="A340" s="63" t="n">
        <x:v>6796</x:v>
      </x:c>
      <x:c r="B340" s="49" t="str">
        <x:v>Bharati Vidyapeeth's College of Engineering,Lavale, Pune</x:v>
      </x:c>
      <x:c r="C340" s="49" t="str">
        <x:v>Maharashtra</x:v>
      </x:c>
      <x:c r="D340" s="49"/>
      <x:c r="E340" s="49" t="str">
        <x:v>Pune</x:v>
      </x:c>
      <x:c r="F340" s="49"/>
      <x:c r="G340" s="49" t="str">
        <x:v>Un-Aided</x:v>
      </x:c>
      <x:c r="H340" s="49" t="str">
        <x:v>Non-Autonomous / not stated</x:v>
      </x:c>
      <x:c r="I340" s="49" t="str">
        <x:v>Non-Minority / not stated</x:v>
      </x:c>
      <x:c r="J340" s="49"/>
      <x:c r="K340" s="49" t="n">
        <x:v>4</x:v>
      </x:c>
      <x:c r="L340" s="49" t="n">
        <x:v>184</x:v>
      </x:c>
      <x:c r="M340" s="49" t="n">
        <x:v>162</x:v>
      </x:c>
      <x:c r="N340" s="49" t="n">
        <x:v>22</x:v>
      </x:c>
      <x:c r="O340" s="49"/>
      <x:c r="P340" s="49"/>
      <x:c r="Q340" s="49" t="str">
        <x:v>Parsed from official 2025-26 PDF</x:v>
      </x:c>
      <x:c r="R340" s="49" t="str">
        <x:v>2024-25</x:v>
      </x:c>
      <x:c r="S340" s="64" t="n">
        <x:v>95175</x:v>
      </x:c>
      <x:c r="T340" s="64" t="n">
        <x:v>11325</x:v>
      </x:c>
      <x:c r="U340" s="64" t="n">
        <x:v>106500</x:v>
      </x:c>
      <x:c r="V340" s="49" t="str">
        <x:v>Normal FRA-approved annual tuition + development fee; not seat-type-specific</x:v>
      </x:c>
      <x:c r="W340" s="49"/>
      <x:c r="X340" s="49"/>
      <x:c r="Y340" s="68"/>
      <x:c r="Z340" s="49"/>
      <x:c r="AA340" s="49"/>
      <x:c r="AB340" s="49" t="str">
        <x:v>Not centrally verified</x:v>
      </x:c>
      <x:c r="AC340" s="49" t="str">
        <x:v>Not centrally verified</x:v>
      </x:c>
      <x:c r="AD340" s="49" t="str">
        <x:v>Not centrally verified</x:v>
      </x:c>
      <x:c r="AE340" s="49" t="str">
        <x:v>Not available in a standardized official source</x:v>
      </x:c>
      <x:c r="AF340" s="49" t="str">
        <x:v>Not included: no official standardized source; cutoff-derived proxy excluded</x:v>
      </x:c>
      <x:c r="AG340" s="49" t="str">
        <x:v>https://dse2025.mahacet.org.in/dse25/admin/allotment/cap2/6796_4.pdf</x:v>
      </x:c>
      <x:c r="AH340" s="49" t="str">
        <x:v>https://fe2025.mahacet.org/StaticPages/frmInstituteSummary.aspx?InstituteCode=06796</x:v>
      </x:c>
      <x:c r="AI340" s="49"/>
      <x:c r="AJ340" s="49" t="str"/>
      <x:c r="AK340" s="69" t="n">
        <x:f>IF(W340&lt;&gt;"",50,IF(X340="101-150",45,IF(X340="151-200",40,IF(X340="201-300",35,0))))+IF(H340="Autonomous",20,0)+IF(OR(G340="Government",G340="Government-Aided",G340="University Department",G340="University",G340="University Autonomous"),15,0)+MIN(K340,10)+IF(AA340&lt;&gt;"",3,0)+IF(U340&lt;&gt;"",2,0)</x:f>
        <x:v>6</x:v>
      </x:c>
      <x:c r="AL340" s="49" t="str">
        <x:f>IF(AK340&gt;=70,"Official/high-evidence reference",IF(AK340&gt;=40,"Planning reference","Broader option"))</x:f>
        <x:v>Broader option</x:v>
      </x:c>
    </x:row>
    <x:row r="341">
      <x:c r="A341" s="63" t="n">
        <x:v>6797</x:v>
      </x:c>
      <x:c r="B341" s="49" t="str">
        <x:v>Dnyanshree Institute Engineering and Technology, Satara</x:v>
      </x:c>
      <x:c r="C341" s="49" t="str">
        <x:v>Maharashtra</x:v>
      </x:c>
      <x:c r="D341" s="49"/>
      <x:c r="E341" s="49" t="str">
        <x:v>Satara</x:v>
      </x:c>
      <x:c r="F341" s="49"/>
      <x:c r="G341" s="49" t="str">
        <x:v>Un-Aided</x:v>
      </x:c>
      <x:c r="H341" s="49" t="str">
        <x:v>Non-Autonomous / not stated</x:v>
      </x:c>
      <x:c r="I341" s="49" t="str">
        <x:v>Non-Minority / not stated</x:v>
      </x:c>
      <x:c r="J341" s="49"/>
      <x:c r="K341" s="49" t="n">
        <x:v>5</x:v>
      </x:c>
      <x:c r="L341" s="49" t="n">
        <x:v>86</x:v>
      </x:c>
      <x:c r="M341" s="49" t="n">
        <x:v>76</x:v>
      </x:c>
      <x:c r="N341" s="49" t="n">
        <x:v>10</x:v>
      </x:c>
      <x:c r="O341" s="49"/>
      <x:c r="P341" s="49"/>
      <x:c r="Q341" s="49" t="str">
        <x:v>Parsed from official 2025-26 PDF</x:v>
      </x:c>
      <x:c r="R341" s="49" t="str">
        <x:v>2024-25</x:v>
      </x:c>
      <x:c r="S341" s="64" t="n">
        <x:v>90265</x:v>
      </x:c>
      <x:c r="T341" s="64" t="n">
        <x:v>11735</x:v>
      </x:c>
      <x:c r="U341" s="64" t="n">
        <x:v>102000</x:v>
      </x:c>
      <x:c r="V341" s="49" t="str">
        <x:v>Normal FRA-approved annual tuition + development fee; not seat-type-specific</x:v>
      </x:c>
      <x:c r="W341" s="49"/>
      <x:c r="X341" s="49"/>
      <x:c r="Y341" s="68"/>
      <x:c r="Z341" s="49"/>
      <x:c r="AA341" s="49"/>
      <x:c r="AB341" s="49" t="str">
        <x:v>Not centrally verified</x:v>
      </x:c>
      <x:c r="AC341" s="49" t="str">
        <x:v>Not centrally verified</x:v>
      </x:c>
      <x:c r="AD341" s="49" t="str">
        <x:v>Not centrally verified</x:v>
      </x:c>
      <x:c r="AE341" s="49" t="str">
        <x:v>Not available in a standardized official source</x:v>
      </x:c>
      <x:c r="AF341" s="49" t="str">
        <x:v>Not included: no official standardized source; cutoff-derived proxy excluded</x:v>
      </x:c>
      <x:c r="AG341" s="49" t="str">
        <x:v>https://dse2025.mahacet.org.in/dse25/admin/allotment/cap2/6797_4.pdf</x:v>
      </x:c>
      <x:c r="AH341" s="49" t="str">
        <x:v>https://fe2025.mahacet.org/StaticPages/frmInstituteSummary.aspx?InstituteCode=06797</x:v>
      </x:c>
      <x:c r="AI341" s="49"/>
      <x:c r="AJ341" s="49" t="str"/>
      <x:c r="AK341" s="69" t="n">
        <x:f>IF(W341&lt;&gt;"",50,IF(X341="101-150",45,IF(X341="151-200",40,IF(X341="201-300",35,0))))+IF(H341="Autonomous",20,0)+IF(OR(G341="Government",G341="Government-Aided",G341="University Department",G341="University",G341="University Autonomous"),15,0)+MIN(K341,10)+IF(AA341&lt;&gt;"",3,0)+IF(U341&lt;&gt;"",2,0)</x:f>
        <x:v>7</x:v>
      </x:c>
      <x:c r="AL341" s="49" t="str">
        <x:f>IF(AK341&gt;=70,"Official/high-evidence reference",IF(AK341&gt;=40,"Planning reference","Broader option"))</x:f>
        <x:v>Broader option</x:v>
      </x:c>
    </x:row>
    <x:row r="342">
      <x:c r="A342" s="63" t="n">
        <x:v>6799</x:v>
      </x:c>
      <x:c r="B342" s="49" t="str">
        <x:v>Shivganga Charitable Trust, Sangli Vishveshwarya Technical Campus, Faculty of Diploma Engineering, Patgaon, Miraj</x:v>
      </x:c>
      <x:c r="C342" s="49" t="str">
        <x:v>Maharashtra</x:v>
      </x:c>
      <x:c r="D342" s="49"/>
      <x:c r="E342" s="49" t="str">
        <x:v>Sangli</x:v>
      </x:c>
      <x:c r="F342" s="49"/>
      <x:c r="G342" s="49" t="str">
        <x:v>Un-Aided</x:v>
      </x:c>
      <x:c r="H342" s="49" t="str">
        <x:v>Non-Autonomous / not stated</x:v>
      </x:c>
      <x:c r="I342" s="49" t="str">
        <x:v>Non-Minority / not stated</x:v>
      </x:c>
      <x:c r="J342" s="49"/>
      <x:c r="K342" s="49" t="n">
        <x:v>3</x:v>
      </x:c>
      <x:c r="L342" s="49" t="n">
        <x:v>182</x:v>
      </x:c>
      <x:c r="M342" s="49" t="n">
        <x:v>165</x:v>
      </x:c>
      <x:c r="N342" s="49" t="n">
        <x:v>17</x:v>
      </x:c>
      <x:c r="O342" s="49"/>
      <x:c r="P342" s="49"/>
      <x:c r="Q342" s="49" t="str">
        <x:v>Parsed from official 2025-26 PDF</x:v>
      </x:c>
      <x:c r="R342" s="49" t="str">
        <x:v>2024-25</x:v>
      </x:c>
      <x:c r="S342" s="64" t="n">
        <x:v>63636</x:v>
      </x:c>
      <x:c r="T342" s="64" t="n">
        <x:v>6364</x:v>
      </x:c>
      <x:c r="U342" s="64" t="n">
        <x:v>70000</x:v>
      </x:c>
      <x:c r="V342" s="49" t="str">
        <x:v>Normal FRA-approved annual tuition + development fee; not seat-type-specific</x:v>
      </x:c>
      <x:c r="W342" s="49"/>
      <x:c r="X342" s="49"/>
      <x:c r="Y342" s="68"/>
      <x:c r="Z342" s="49"/>
      <x:c r="AA342" s="49"/>
      <x:c r="AB342" s="49" t="str">
        <x:v>Not centrally verified</x:v>
      </x:c>
      <x:c r="AC342" s="49" t="str">
        <x:v>Not centrally verified</x:v>
      </x:c>
      <x:c r="AD342" s="49" t="str">
        <x:v>Not centrally verified</x:v>
      </x:c>
      <x:c r="AE342" s="49" t="str">
        <x:v>Not available in a standardized official source</x:v>
      </x:c>
      <x:c r="AF342" s="49" t="str">
        <x:v>Not included: no official standardized source; cutoff-derived proxy excluded</x:v>
      </x:c>
      <x:c r="AG342" s="49" t="str">
        <x:v>https://dse2025.mahacet.org.in/dse25/admin/allotment/cap2/6799_4.pdf</x:v>
      </x:c>
      <x:c r="AH342" s="49" t="str">
        <x:v>https://fe2025.mahacet.org/StaticPages/frmInstituteSummary.aspx?InstituteCode=06799</x:v>
      </x:c>
      <x:c r="AI342" s="49"/>
      <x:c r="AJ342" s="49" t="str"/>
      <x:c r="AK342" s="69" t="n">
        <x:f>IF(W342&lt;&gt;"",50,IF(X342="101-150",45,IF(X342="151-200",40,IF(X342="201-300",35,0))))+IF(H342="Autonomous",20,0)+IF(OR(G342="Government",G342="Government-Aided",G342="University Department",G342="University",G342="University Autonomous"),15,0)+MIN(K342,10)+IF(AA342&lt;&gt;"",3,0)+IF(U342&lt;&gt;"",2,0)</x:f>
        <x:v>5</x:v>
      </x:c>
      <x:c r="AL342" s="49" t="str">
        <x:f>IF(AK342&gt;=70,"Official/high-evidence reference",IF(AK342&gt;=40,"Planning reference","Broader option"))</x:f>
        <x:v>Broader option</x:v>
      </x:c>
    </x:row>
    <x:row r="343">
      <x:c r="A343" s="63" t="n">
        <x:v>6802</x:v>
      </x:c>
      <x:c r="B343" s="49" t="str">
        <x:v>Dr. D.Y.Patil Institute of Engineering, Management &amp; Reseach, Akurdi, Pune</x:v>
      </x:c>
      <x:c r="C343" s="49" t="str">
        <x:v>Maharashtra</x:v>
      </x:c>
      <x:c r="D343" s="49"/>
      <x:c r="E343" s="49" t="str">
        <x:v>Pune</x:v>
      </x:c>
      <x:c r="F343" s="49"/>
      <x:c r="G343" s="49" t="str">
        <x:v>Un-Aided</x:v>
      </x:c>
      <x:c r="H343" s="49" t="str">
        <x:v>Not verified</x:v>
      </x:c>
      <x:c r="I343" s="49" t="str">
        <x:v>Not verified</x:v>
      </x:c>
      <x:c r="J343" s="49"/>
      <x:c r="K343" s="49" t="n">
        <x:v>0</x:v>
      </x:c>
      <x:c r="L343" s="49"/>
      <x:c r="M343" s="49"/>
      <x:c r="N343" s="49"/>
      <x:c r="O343" s="49"/>
      <x:c r="P343" s="49"/>
      <x:c r="Q343" s="49" t="str">
        <x:v>Official PDF unavailable / not parsed</x:v>
      </x:c>
      <x:c r="R343" s="49" t="str">
        <x:v>2024-25</x:v>
      </x:c>
      <x:c r="S343" s="64" t="n">
        <x:v>89709</x:v>
      </x:c>
      <x:c r="T343" s="64" t="n">
        <x:v>12291</x:v>
      </x:c>
      <x:c r="U343" s="64" t="n">
        <x:v>102000</x:v>
      </x:c>
      <x:c r="V343" s="49" t="str">
        <x:v>Normal FRA-approved annual tuition + development fee; not seat-type-specific</x:v>
      </x:c>
      <x:c r="W343" s="49"/>
      <x:c r="X343" s="49"/>
      <x:c r="Y343" s="68"/>
      <x:c r="Z343" s="49"/>
      <x:c r="AA343" s="49"/>
      <x:c r="AB343" s="49" t="str">
        <x:v>Not centrally verified</x:v>
      </x:c>
      <x:c r="AC343" s="49" t="str">
        <x:v>Not centrally verified</x:v>
      </x:c>
      <x:c r="AD343" s="49" t="str">
        <x:v>Not centrally verified</x:v>
      </x:c>
      <x:c r="AE343" s="49" t="str">
        <x:v>Not available in a standardized official source</x:v>
      </x:c>
      <x:c r="AF343" s="49" t="str">
        <x:v>Not included: no official standardized source; cutoff-derived proxy excluded</x:v>
      </x:c>
      <x:c r="AG343" s="49"/>
      <x:c r="AH343" s="49" t="str">
        <x:v>https://fe2025.mahacet.org/StaticPages/frmInstituteList.aspx?did=1884</x:v>
      </x:c>
      <x:c r="AI343" s="49"/>
      <x:c r="AJ343" s="49" t="str">
        <x:v>PDF unavailable</x:v>
      </x:c>
      <x:c r="AK343" s="69" t="n">
        <x:f>IF(W343&lt;&gt;"",50,IF(X343="101-150",45,IF(X343="151-200",40,IF(X343="201-300",35,0))))+IF(H343="Autonomous",20,0)+IF(OR(G343="Government",G343="Government-Aided",G343="University Department",G343="University",G343="University Autonomous"),15,0)+MIN(K343,10)+IF(AA343&lt;&gt;"",3,0)+IF(U343&lt;&gt;"",2,0)</x:f>
        <x:v>2</x:v>
      </x:c>
      <x:c r="AL343" s="49" t="str">
        <x:f>IF(AK343&gt;=70,"Official/high-evidence reference",IF(AK343&gt;=40,"Planning reference","Broader option"))</x:f>
        <x:v>Broader option</x:v>
      </x:c>
    </x:row>
    <x:row r="344">
      <x:c r="A344" s="63" t="n">
        <x:v>6803</x:v>
      </x:c>
      <x:c r="B344" s="49" t="str">
        <x:v>Sant Gajanan Maharaj College of Engineering, Gadhinglaj</x:v>
      </x:c>
      <x:c r="C344" s="49" t="str">
        <x:v>Maharashtra</x:v>
      </x:c>
      <x:c r="D344" s="49"/>
      <x:c r="E344" s="49" t="str">
        <x:v>Kolhapur</x:v>
      </x:c>
      <x:c r="F344" s="49"/>
      <x:c r="G344" s="49" t="str">
        <x:v>Un-Aided</x:v>
      </x:c>
      <x:c r="H344" s="49" t="str">
        <x:v>Non-Autonomous / not stated</x:v>
      </x:c>
      <x:c r="I344" s="49" t="str">
        <x:v>Non-Minority / not stated</x:v>
      </x:c>
      <x:c r="J344" s="49"/>
      <x:c r="K344" s="49" t="n">
        <x:v>5</x:v>
      </x:c>
      <x:c r="L344" s="49" t="n">
        <x:v>115</x:v>
      </x:c>
      <x:c r="M344" s="49" t="n">
        <x:v>94</x:v>
      </x:c>
      <x:c r="N344" s="49" t="n">
        <x:v>21</x:v>
      </x:c>
      <x:c r="O344" s="49"/>
      <x:c r="P344" s="49"/>
      <x:c r="Q344" s="49" t="str">
        <x:v>Parsed from official 2025-26 PDF</x:v>
      </x:c>
      <x:c r="R344" s="49" t="str">
        <x:v>2024-25</x:v>
      </x:c>
      <x:c r="S344" s="64" t="n">
        <x:v>54770</x:v>
      </x:c>
      <x:c r="T344" s="64" t="n">
        <x:v>7230</x:v>
      </x:c>
      <x:c r="U344" s="64" t="n">
        <x:v>62000</x:v>
      </x:c>
      <x:c r="V344" s="49" t="str">
        <x:v>Normal FRA-approved annual tuition + development fee; not seat-type-specific</x:v>
      </x:c>
      <x:c r="W344" s="49"/>
      <x:c r="X344" s="49"/>
      <x:c r="Y344" s="68"/>
      <x:c r="Z344" s="49"/>
      <x:c r="AA344" s="49"/>
      <x:c r="AB344" s="49" t="str">
        <x:v>Not centrally verified</x:v>
      </x:c>
      <x:c r="AC344" s="49" t="str">
        <x:v>Not centrally verified</x:v>
      </x:c>
      <x:c r="AD344" s="49" t="str">
        <x:v>Not centrally verified</x:v>
      </x:c>
      <x:c r="AE344" s="49" t="str">
        <x:v>Not available in a standardized official source</x:v>
      </x:c>
      <x:c r="AF344" s="49" t="str">
        <x:v>Not included: no official standardized source; cutoff-derived proxy excluded</x:v>
      </x:c>
      <x:c r="AG344" s="49" t="str">
        <x:v>https://dse2025.mahacet.org.in/dse25/admin/allotment/cap2/6803_4.pdf</x:v>
      </x:c>
      <x:c r="AH344" s="49" t="str">
        <x:v>https://fe2025.mahacet.org/StaticPages/frmInstituteSummary.aspx?InstituteCode=06803</x:v>
      </x:c>
      <x:c r="AI344" s="49"/>
      <x:c r="AJ344" s="49" t="str"/>
      <x:c r="AK344" s="69" t="n">
        <x:f>IF(W344&lt;&gt;"",50,IF(X344="101-150",45,IF(X344="151-200",40,IF(X344="201-300",35,0))))+IF(H344="Autonomous",20,0)+IF(OR(G344="Government",G344="Government-Aided",G344="University Department",G344="University",G344="University Autonomous"),15,0)+MIN(K344,10)+IF(AA344&lt;&gt;"",3,0)+IF(U344&lt;&gt;"",2,0)</x:f>
        <x:v>7</x:v>
      </x:c>
      <x:c r="AL344" s="49" t="str">
        <x:f>IF(AK344&gt;=70,"Official/high-evidence reference",IF(AK344&gt;=40,"Planning reference","Broader option"))</x:f>
        <x:v>Broader option</x:v>
      </x:c>
    </x:row>
    <x:row r="345">
      <x:c r="A345" s="63" t="n">
        <x:v>6808</x:v>
      </x:c>
      <x:c r="B345" s="49" t="str">
        <x:v>Keystone School of Engineering, Pune</x:v>
      </x:c>
      <x:c r="C345" s="49" t="str">
        <x:v>Maharashtra</x:v>
      </x:c>
      <x:c r="D345" s="49"/>
      <x:c r="E345" s="49" t="str">
        <x:v>Pune</x:v>
      </x:c>
      <x:c r="F345" s="49"/>
      <x:c r="G345" s="49" t="str">
        <x:v>Un-Aided</x:v>
      </x:c>
      <x:c r="H345" s="49" t="str">
        <x:v>Non-Autonomous / not stated</x:v>
      </x:c>
      <x:c r="I345" s="49" t="str">
        <x:v>Non-Minority / not stated</x:v>
      </x:c>
      <x:c r="J345" s="49"/>
      <x:c r="K345" s="49" t="n">
        <x:v>4</x:v>
      </x:c>
      <x:c r="L345" s="49" t="n">
        <x:v>85</x:v>
      </x:c>
      <x:c r="M345" s="49" t="n">
        <x:v>69</x:v>
      </x:c>
      <x:c r="N345" s="49" t="n">
        <x:v>16</x:v>
      </x:c>
      <x:c r="O345" s="49"/>
      <x:c r="P345" s="49"/>
      <x:c r="Q345" s="49" t="str">
        <x:v>Parsed from official 2025-26 PDF</x:v>
      </x:c>
      <x:c r="R345" s="49" t="str">
        <x:v>2024-25</x:v>
      </x:c>
      <x:c r="S345" s="64" t="n">
        <x:v>84806</x:v>
      </x:c>
      <x:c r="T345" s="64" t="n">
        <x:v>11194</x:v>
      </x:c>
      <x:c r="U345" s="64" t="n">
        <x:v>96000</x:v>
      </x:c>
      <x:c r="V345" s="49" t="str">
        <x:v>Normal FRA-approved annual tuition + development fee; not seat-type-specific</x:v>
      </x:c>
      <x:c r="W345" s="49"/>
      <x:c r="X345" s="49"/>
      <x:c r="Y345" s="68"/>
      <x:c r="Z345" s="49"/>
      <x:c r="AA345" s="49"/>
      <x:c r="AB345" s="49" t="str">
        <x:v>Not centrally verified</x:v>
      </x:c>
      <x:c r="AC345" s="49" t="str">
        <x:v>Not centrally verified</x:v>
      </x:c>
      <x:c r="AD345" s="49" t="str">
        <x:v>Not centrally verified</x:v>
      </x:c>
      <x:c r="AE345" s="49" t="str">
        <x:v>Not available in a standardized official source</x:v>
      </x:c>
      <x:c r="AF345" s="49" t="str">
        <x:v>Not included: no official standardized source; cutoff-derived proxy excluded</x:v>
      </x:c>
      <x:c r="AG345" s="49" t="str">
        <x:v>https://dse2025.mahacet.org.in/dse25/admin/allotment/cap2/6808_4.pdf</x:v>
      </x:c>
      <x:c r="AH345" s="49" t="str">
        <x:v>https://fe2025.mahacet.org/StaticPages/frmInstituteSummary.aspx?InstituteCode=06808</x:v>
      </x:c>
      <x:c r="AI345" s="49"/>
      <x:c r="AJ345" s="49" t="str"/>
      <x:c r="AK345" s="69" t="n">
        <x:f>IF(W345&lt;&gt;"",50,IF(X345="101-150",45,IF(X345="151-200",40,IF(X345="201-300",35,0))))+IF(H345="Autonomous",20,0)+IF(OR(G345="Government",G345="Government-Aided",G345="University Department",G345="University",G345="University Autonomous"),15,0)+MIN(K345,10)+IF(AA345&lt;&gt;"",3,0)+IF(U345&lt;&gt;"",2,0)</x:f>
        <x:v>6</x:v>
      </x:c>
      <x:c r="AL345" s="49" t="str">
        <x:f>IF(AK345&gt;=70,"Official/high-evidence reference",IF(AK345&gt;=40,"Planning reference","Broader option"))</x:f>
        <x:v>Broader option</x:v>
      </x:c>
    </x:row>
    <x:row r="346">
      <x:c r="A346" s="63" t="n">
        <x:v>6811</x:v>
      </x:c>
      <x:c r="B346" s="49" t="str">
        <x:v>Sanjay Ghodawat Institute</x:v>
      </x:c>
      <x:c r="C346" s="49" t="str">
        <x:v>Maharashtra</x:v>
      </x:c>
      <x:c r="D346" s="49"/>
      <x:c r="E346" s="49"/>
      <x:c r="F346" s="49"/>
      <x:c r="G346" s="49" t="str">
        <x:v>Un-Aided</x:v>
      </x:c>
      <x:c r="H346" s="49" t="str">
        <x:v>Non-Autonomous / not stated</x:v>
      </x:c>
      <x:c r="I346" s="49" t="str">
        <x:v>Non-Minority / not stated</x:v>
      </x:c>
      <x:c r="J346" s="49"/>
      <x:c r="K346" s="49" t="n">
        <x:v>5</x:v>
      </x:c>
      <x:c r="L346" s="49" t="n">
        <x:v>145</x:v>
      </x:c>
      <x:c r="M346" s="49" t="n">
        <x:v>125</x:v>
      </x:c>
      <x:c r="N346" s="49" t="n">
        <x:v>20</x:v>
      </x:c>
      <x:c r="O346" s="49"/>
      <x:c r="P346" s="49"/>
      <x:c r="Q346" s="49" t="str">
        <x:v>Parsed from official 2025-26 PDF</x:v>
      </x:c>
      <x:c r="R346" s="49"/>
      <x:c r="S346" s="64"/>
      <x:c r="T346" s="64"/>
      <x:c r="U346" s="64"/>
      <x:c r="V346" s="49" t="str">
        <x:v>No verified FRA match</x:v>
      </x:c>
      <x:c r="W346" s="49"/>
      <x:c r="X346" s="49"/>
      <x:c r="Y346" s="68"/>
      <x:c r="Z346" s="49"/>
      <x:c r="AA346" s="49"/>
      <x:c r="AB346" s="49" t="str">
        <x:v>Not centrally verified</x:v>
      </x:c>
      <x:c r="AC346" s="49" t="str">
        <x:v>Not centrally verified</x:v>
      </x:c>
      <x:c r="AD346" s="49" t="str">
        <x:v>Not centrally verified</x:v>
      </x:c>
      <x:c r="AE346" s="49" t="str">
        <x:v>Not available in a standardized official source</x:v>
      </x:c>
      <x:c r="AF346" s="49" t="str">
        <x:v>Not included: no official standardized source; cutoff-derived proxy excluded</x:v>
      </x:c>
      <x:c r="AG346" s="49" t="str">
        <x:v>https://dse2025.mahacet.org.in/dse25/admin/allotment/cap2/6811_4.pdf</x:v>
      </x:c>
      <x:c r="AH346" s="49" t="str">
        <x:v>https://fe2025.mahacet.org/StaticPages/frmInstituteSummary.aspx?InstituteCode=06811</x:v>
      </x:c>
      <x:c r="AI346" s="49"/>
      <x:c r="AJ346" s="49" t="str"/>
      <x:c r="AK346" s="69" t="n">
        <x:f>IF(W346&lt;&gt;"",50,IF(X346="101-150",45,IF(X346="151-200",40,IF(X346="201-300",35,0))))+IF(H346="Autonomous",20,0)+IF(OR(G346="Government",G346="Government-Aided",G346="University Department",G346="University",G346="University Autonomous"),15,0)+MIN(K346,10)+IF(AA346&lt;&gt;"",3,0)+IF(U346&lt;&gt;"",2,0)</x:f>
        <x:v>5</x:v>
      </x:c>
      <x:c r="AL346" s="49" t="str">
        <x:f>IF(AK346&gt;=70,"Official/high-evidence reference",IF(AK346&gt;=40,"Planning reference","Broader option"))</x:f>
        <x:v>Broader option</x:v>
      </x:c>
    </x:row>
    <x:row r="347">
      <x:c r="A347" s="63" t="n">
        <x:v>6815</x:v>
      </x:c>
      <x:c r="B347" s="49" t="str">
        <x:v>Vidya Prasarini Sabha's College of Engineering &amp; Technology, Lonavala</x:v>
      </x:c>
      <x:c r="C347" s="49" t="str">
        <x:v>Maharashtra</x:v>
      </x:c>
      <x:c r="D347" s="49"/>
      <x:c r="E347" s="49" t="str">
        <x:v>Pune</x:v>
      </x:c>
      <x:c r="F347" s="49"/>
      <x:c r="G347" s="49" t="str">
        <x:v>Un-Aided</x:v>
      </x:c>
      <x:c r="H347" s="49" t="str">
        <x:v>Non-Autonomous / not stated</x:v>
      </x:c>
      <x:c r="I347" s="49" t="str">
        <x:v>Non-Minority / not stated</x:v>
      </x:c>
      <x:c r="J347" s="49"/>
      <x:c r="K347" s="49" t="n">
        <x:v>3</x:v>
      </x:c>
      <x:c r="L347" s="49" t="n">
        <x:v>67</x:v>
      </x:c>
      <x:c r="M347" s="49" t="n">
        <x:v>57</x:v>
      </x:c>
      <x:c r="N347" s="49" t="n">
        <x:v>10</x:v>
      </x:c>
      <x:c r="O347" s="49"/>
      <x:c r="P347" s="49"/>
      <x:c r="Q347" s="49" t="str">
        <x:v>Parsed from official 2025-26 PDF</x:v>
      </x:c>
      <x:c r="R347" s="49" t="str">
        <x:v>2024-25</x:v>
      </x:c>
      <x:c r="S347" s="64" t="n">
        <x:v>33185</x:v>
      </x:c>
      <x:c r="T347" s="64" t="n">
        <x:v>4315</x:v>
      </x:c>
      <x:c r="U347" s="64" t="n">
        <x:v>37500</x:v>
      </x:c>
      <x:c r="V347" s="49" t="str">
        <x:v>Normal FRA-approved annual tuition + development fee; not seat-type-specific</x:v>
      </x:c>
      <x:c r="W347" s="49"/>
      <x:c r="X347" s="49"/>
      <x:c r="Y347" s="68"/>
      <x:c r="Z347" s="49"/>
      <x:c r="AA347" s="49"/>
      <x:c r="AB347" s="49" t="str">
        <x:v>Not centrally verified</x:v>
      </x:c>
      <x:c r="AC347" s="49" t="str">
        <x:v>Not centrally verified</x:v>
      </x:c>
      <x:c r="AD347" s="49" t="str">
        <x:v>Not centrally verified</x:v>
      </x:c>
      <x:c r="AE347" s="49" t="str">
        <x:v>Not available in a standardized official source</x:v>
      </x:c>
      <x:c r="AF347" s="49" t="str">
        <x:v>Not included: no official standardized source; cutoff-derived proxy excluded</x:v>
      </x:c>
      <x:c r="AG347" s="49" t="str">
        <x:v>https://dse2025.mahacet.org.in/dse25/admin/allotment/cap2/6815_4.pdf</x:v>
      </x:c>
      <x:c r="AH347" s="49" t="str">
        <x:v>https://fe2025.mahacet.org/StaticPages/frmInstituteSummary.aspx?InstituteCode=06815</x:v>
      </x:c>
      <x:c r="AI347" s="49"/>
      <x:c r="AJ347" s="49" t="str"/>
      <x:c r="AK347" s="69" t="n">
        <x:f>IF(W347&lt;&gt;"",50,IF(X347="101-150",45,IF(X347="151-200",40,IF(X347="201-300",35,0))))+IF(H347="Autonomous",20,0)+IF(OR(G347="Government",G347="Government-Aided",G347="University Department",G347="University",G347="University Autonomous"),15,0)+MIN(K347,10)+IF(AA347&lt;&gt;"",3,0)+IF(U347&lt;&gt;"",2,0)</x:f>
        <x:v>5</x:v>
      </x:c>
      <x:c r="AL347" s="49" t="str">
        <x:f>IF(AK347&gt;=70,"Official/high-evidence reference",IF(AK347&gt;=40,"Planning reference","Broader option"))</x:f>
        <x:v>Broader option</x:v>
      </x:c>
    </x:row>
    <x:row r="348">
      <x:c r="A348" s="63" t="n">
        <x:v>6822</x:v>
      </x:c>
      <x:c r="B348" s="49" t="str">
        <x:v>Pimpri Chinchwad Education Trust's Pimpri Chinchwad College Of Engineering And Research, Ravet</x:v>
      </x:c>
      <x:c r="C348" s="49" t="str">
        <x:v>Maharashtra</x:v>
      </x:c>
      <x:c r="D348" s="49"/>
      <x:c r="E348" s="49" t="str">
        <x:v>Pune</x:v>
      </x:c>
      <x:c r="F348" s="49"/>
      <x:c r="G348" s="49" t="str">
        <x:v>Un-Aided</x:v>
      </x:c>
      <x:c r="H348" s="49" t="str">
        <x:v>Autonomous</x:v>
      </x:c>
      <x:c r="I348" s="49" t="str">
        <x:v>Non-Minority / not stated</x:v>
      </x:c>
      <x:c r="J348" s="49"/>
      <x:c r="K348" s="49" t="n">
        <x:v>5</x:v>
      </x:c>
      <x:c r="L348" s="49" t="n">
        <x:v>107</x:v>
      </x:c>
      <x:c r="M348" s="49" t="n">
        <x:v>82</x:v>
      </x:c>
      <x:c r="N348" s="49" t="n">
        <x:v>25</x:v>
      </x:c>
      <x:c r="O348" s="49"/>
      <x:c r="P348" s="49"/>
      <x:c r="Q348" s="49" t="str">
        <x:v>Parsed from official 2025-26 PDF</x:v>
      </x:c>
      <x:c r="R348" s="49" t="str">
        <x:v>2024-25</x:v>
      </x:c>
      <x:c r="S348" s="64" t="n">
        <x:v>113044</x:v>
      </x:c>
      <x:c r="T348" s="64" t="n">
        <x:v>16956</x:v>
      </x:c>
      <x:c r="U348" s="64" t="n">
        <x:v>130000</x:v>
      </x:c>
      <x:c r="V348" s="49" t="str">
        <x:v>Normal FRA-approved annual tuition + development fee; not seat-type-specific</x:v>
      </x:c>
      <x:c r="W348" s="49"/>
      <x:c r="X348" s="49"/>
      <x:c r="Y348" s="68"/>
      <x:c r="Z348" s="49"/>
      <x:c r="AA348" s="49"/>
      <x:c r="AB348" s="49" t="str">
        <x:v>Not centrally verified</x:v>
      </x:c>
      <x:c r="AC348" s="49" t="str">
        <x:v>Not centrally verified</x:v>
      </x:c>
      <x:c r="AD348" s="49" t="str">
        <x:v>Not centrally verified</x:v>
      </x:c>
      <x:c r="AE348" s="49" t="str">
        <x:v>Not available in a standardized official source</x:v>
      </x:c>
      <x:c r="AF348" s="49" t="str">
        <x:v>Not included: no official standardized source; cutoff-derived proxy excluded</x:v>
      </x:c>
      <x:c r="AG348" s="49" t="str">
        <x:v>https://dse2025.mahacet.org.in/dse25/admin/allotment/cap2/6822_4.pdf</x:v>
      </x:c>
      <x:c r="AH348" s="49" t="str">
        <x:v>https://fe2025.mahacet.org/StaticPages/frmInstituteSummary.aspx?InstituteCode=06822</x:v>
      </x:c>
      <x:c r="AI348" s="49"/>
      <x:c r="AJ348" s="49" t="str"/>
      <x:c r="AK348" s="69" t="n">
        <x:f>IF(W348&lt;&gt;"",50,IF(X348="101-150",45,IF(X348="151-200",40,IF(X348="201-300",35,0))))+IF(H348="Autonomous",20,0)+IF(OR(G348="Government",G348="Government-Aided",G348="University Department",G348="University",G348="University Autonomous"),15,0)+MIN(K348,10)+IF(AA348&lt;&gt;"",3,0)+IF(U348&lt;&gt;"",2,0)</x:f>
        <x:v>27</x:v>
      </x:c>
      <x:c r="AL348" s="49" t="str">
        <x:f>IF(AK348&gt;=70,"Official/high-evidence reference",IF(AK348&gt;=40,"Planning reference","Broader option"))</x:f>
        <x:v>Broader option</x:v>
      </x:c>
    </x:row>
    <x:row r="349">
      <x:c r="A349" s="63" t="n">
        <x:v>6834</x:v>
      </x:c>
      <x:c r="B349" s="49" t="str">
        <x:v>Dr.D.Y.Patil College Of Engineering &amp; Innovation,Talegaon</x:v>
      </x:c>
      <x:c r="C349" s="49" t="str">
        <x:v>Maharashtra</x:v>
      </x:c>
      <x:c r="D349" s="49"/>
      <x:c r="E349" s="49" t="str">
        <x:v>Pune</x:v>
      </x:c>
      <x:c r="F349" s="49"/>
      <x:c r="G349" s="49" t="str">
        <x:v>Un-Aided</x:v>
      </x:c>
      <x:c r="H349" s="49" t="str">
        <x:v>Autonomous</x:v>
      </x:c>
      <x:c r="I349" s="49" t="str">
        <x:v>Non-Minority / not stated</x:v>
      </x:c>
      <x:c r="J349" s="49"/>
      <x:c r="K349" s="49" t="n">
        <x:v>2</x:v>
      </x:c>
      <x:c r="L349" s="49" t="n">
        <x:v>93</x:v>
      </x:c>
      <x:c r="M349" s="49" t="n">
        <x:v>81</x:v>
      </x:c>
      <x:c r="N349" s="49" t="n">
        <x:v>12</x:v>
      </x:c>
      <x:c r="O349" s="49"/>
      <x:c r="P349" s="49"/>
      <x:c r="Q349" s="49" t="str">
        <x:v>Parsed from official 2025-26 PDF</x:v>
      </x:c>
      <x:c r="R349" s="49" t="str">
        <x:v>2024-25</x:v>
      </x:c>
      <x:c r="S349" s="64" t="n">
        <x:v>85663</x:v>
      </x:c>
      <x:c r="T349" s="64" t="n">
        <x:v>9337</x:v>
      </x:c>
      <x:c r="U349" s="64" t="n">
        <x:v>95000</x:v>
      </x:c>
      <x:c r="V349" s="49" t="str">
        <x:v>Normal FRA-approved annual tuition + development fee; not seat-type-specific</x:v>
      </x:c>
      <x:c r="W349" s="49"/>
      <x:c r="X349" s="49"/>
      <x:c r="Y349" s="68"/>
      <x:c r="Z349" s="49"/>
      <x:c r="AA349" s="49"/>
      <x:c r="AB349" s="49" t="str">
        <x:v>Not centrally verified</x:v>
      </x:c>
      <x:c r="AC349" s="49" t="str">
        <x:v>Not centrally verified</x:v>
      </x:c>
      <x:c r="AD349" s="49" t="str">
        <x:v>Not centrally verified</x:v>
      </x:c>
      <x:c r="AE349" s="49" t="str">
        <x:v>Not available in a standardized official source</x:v>
      </x:c>
      <x:c r="AF349" s="49" t="str">
        <x:v>Not included: no official standardized source; cutoff-derived proxy excluded</x:v>
      </x:c>
      <x:c r="AG349" s="49" t="str">
        <x:v>https://dse2025.mahacet.org.in/dse25/admin/allotment/cap2/6834_4.pdf</x:v>
      </x:c>
      <x:c r="AH349" s="49" t="str">
        <x:v>https://fe2025.mahacet.org/StaticPages/frmInstituteSummary.aspx?InstituteCode=06834</x:v>
      </x:c>
      <x:c r="AI349" s="49"/>
      <x:c r="AJ349" s="49" t="str"/>
      <x:c r="AK349" s="69" t="n">
        <x:f>IF(W349&lt;&gt;"",50,IF(X349="101-150",45,IF(X349="151-200",40,IF(X349="201-300",35,0))))+IF(H349="Autonomous",20,0)+IF(OR(G349="Government",G349="Government-Aided",G349="University Department",G349="University",G349="University Autonomous"),15,0)+MIN(K349,10)+IF(AA349&lt;&gt;"",3,0)+IF(U349&lt;&gt;"",2,0)</x:f>
        <x:v>24</x:v>
      </x:c>
      <x:c r="AL349" s="49" t="str">
        <x:f>IF(AK349&gt;=70,"Official/high-evidence reference",IF(AK349&gt;=40,"Planning reference","Broader option"))</x:f>
        <x:v>Broader option</x:v>
      </x:c>
    </x:row>
    <x:row r="350">
      <x:c r="A350" s="63" t="n">
        <x:v>6839</x:v>
      </x:c>
      <x:c r="B350" s="49" t="str">
        <x:v>Dr. D Y Patil Pratishthan's College of Engineering, Kolhapur</x:v>
      </x:c>
      <x:c r="C350" s="49" t="str">
        <x:v>Maharashtra</x:v>
      </x:c>
      <x:c r="D350" s="49"/>
      <x:c r="E350" s="49" t="str">
        <x:v>Kolhapur</x:v>
      </x:c>
      <x:c r="F350" s="49"/>
      <x:c r="G350" s="49" t="str">
        <x:v>Un-Aided</x:v>
      </x:c>
      <x:c r="H350" s="49" t="str">
        <x:v>Non-Autonomous / not stated</x:v>
      </x:c>
      <x:c r="I350" s="49" t="str">
        <x:v>Non-Minority / not stated</x:v>
      </x:c>
      <x:c r="J350" s="49"/>
      <x:c r="K350" s="49" t="n">
        <x:v>4</x:v>
      </x:c>
      <x:c r="L350" s="49" t="n">
        <x:v>87</x:v>
      </x:c>
      <x:c r="M350" s="49" t="n">
        <x:v>67</x:v>
      </x:c>
      <x:c r="N350" s="49" t="n">
        <x:v>20</x:v>
      </x:c>
      <x:c r="O350" s="49"/>
      <x:c r="P350" s="49"/>
      <x:c r="Q350" s="49" t="str">
        <x:v>Parsed from official 2025-26 PDF</x:v>
      </x:c>
      <x:c r="R350" s="49" t="str">
        <x:v>2024-25</x:v>
      </x:c>
      <x:c r="S350" s="64" t="n">
        <x:v>69745</x:v>
      </x:c>
      <x:c r="T350" s="64" t="n">
        <x:v>7255</x:v>
      </x:c>
      <x:c r="U350" s="64" t="n">
        <x:v>77000</x:v>
      </x:c>
      <x:c r="V350" s="49" t="str">
        <x:v>Normal FRA-approved annual tuition + development fee; not seat-type-specific</x:v>
      </x:c>
      <x:c r="W350" s="49"/>
      <x:c r="X350" s="49"/>
      <x:c r="Y350" s="68"/>
      <x:c r="Z350" s="49"/>
      <x:c r="AA350" s="49"/>
      <x:c r="AB350" s="49" t="str">
        <x:v>Not centrally verified</x:v>
      </x:c>
      <x:c r="AC350" s="49" t="str">
        <x:v>Not centrally verified</x:v>
      </x:c>
      <x:c r="AD350" s="49" t="str">
        <x:v>Not centrally verified</x:v>
      </x:c>
      <x:c r="AE350" s="49" t="str">
        <x:v>Not available in a standardized official source</x:v>
      </x:c>
      <x:c r="AF350" s="49" t="str">
        <x:v>Not included: no official standardized source; cutoff-derived proxy excluded</x:v>
      </x:c>
      <x:c r="AG350" s="49" t="str">
        <x:v>https://dse2025.mahacet.org.in/dse25/admin/allotment/cap2/6839_4.pdf</x:v>
      </x:c>
      <x:c r="AH350" s="49" t="str">
        <x:v>https://fe2025.mahacet.org/StaticPages/frmInstituteSummary.aspx?InstituteCode=06839</x:v>
      </x:c>
      <x:c r="AI350" s="49"/>
      <x:c r="AJ350" s="49" t="str"/>
      <x:c r="AK350" s="69" t="n">
        <x:f>IF(W350&lt;&gt;"",50,IF(X350="101-150",45,IF(X350="151-200",40,IF(X350="201-300",35,0))))+IF(H350="Autonomous",20,0)+IF(OR(G350="Government",G350="Government-Aided",G350="University Department",G350="University",G350="University Autonomous"),15,0)+MIN(K350,10)+IF(AA350&lt;&gt;"",3,0)+IF(U350&lt;&gt;"",2,0)</x:f>
        <x:v>6</x:v>
      </x:c>
      <x:c r="AL350" s="49" t="str">
        <x:f>IF(AK350&gt;=70,"Official/high-evidence reference",IF(AK350&gt;=40,"Planning reference","Broader option"))</x:f>
        <x:v>Broader option</x:v>
      </x:c>
    </x:row>
    <x:row r="351">
      <x:c r="A351" s="63" t="n">
        <x:v>6878</x:v>
      </x:c>
      <x:c r="B351" s="49" t="str">
        <x:v>Dr. A. D. Shinde College Of Engineering, Tal.Gadhinglaj, Kolhapur</x:v>
      </x:c>
      <x:c r="C351" s="49" t="str">
        <x:v>Maharashtra</x:v>
      </x:c>
      <x:c r="D351" s="49"/>
      <x:c r="E351" s="49" t="str">
        <x:v>Kolhapur</x:v>
      </x:c>
      <x:c r="F351" s="49"/>
      <x:c r="G351" s="49" t="str">
        <x:v>Un-Aided</x:v>
      </x:c>
      <x:c r="H351" s="49" t="str">
        <x:v>Non-Autonomous / not stated</x:v>
      </x:c>
      <x:c r="I351" s="49" t="str">
        <x:v>Non-Minority / not stated</x:v>
      </x:c>
      <x:c r="J351" s="49"/>
      <x:c r="K351" s="49" t="n">
        <x:v>7</x:v>
      </x:c>
      <x:c r="L351" s="49" t="n">
        <x:v>412</x:v>
      </x:c>
      <x:c r="M351" s="49" t="n">
        <x:v>369</x:v>
      </x:c>
      <x:c r="N351" s="49" t="n">
        <x:v>43</x:v>
      </x:c>
      <x:c r="O351" s="49"/>
      <x:c r="P351" s="49"/>
      <x:c r="Q351" s="49" t="str">
        <x:v>Parsed from official 2025-26 PDF</x:v>
      </x:c>
      <x:c r="R351" s="49" t="str">
        <x:v>2024-25</x:v>
      </x:c>
      <x:c r="S351" s="64" t="n">
        <x:v>58266</x:v>
      </x:c>
      <x:c r="T351" s="64" t="n">
        <x:v>6234</x:v>
      </x:c>
      <x:c r="U351" s="64" t="n">
        <x:v>64500</x:v>
      </x:c>
      <x:c r="V351" s="49" t="str">
        <x:v>Normal FRA-approved annual tuition + development fee; not seat-type-specific</x:v>
      </x:c>
      <x:c r="W351" s="49"/>
      <x:c r="X351" s="49"/>
      <x:c r="Y351" s="68"/>
      <x:c r="Z351" s="49"/>
      <x:c r="AA351" s="49"/>
      <x:c r="AB351" s="49" t="str">
        <x:v>Not centrally verified</x:v>
      </x:c>
      <x:c r="AC351" s="49" t="str">
        <x:v>Not centrally verified</x:v>
      </x:c>
      <x:c r="AD351" s="49" t="str">
        <x:v>Not centrally verified</x:v>
      </x:c>
      <x:c r="AE351" s="49" t="str">
        <x:v>Not available in a standardized official source</x:v>
      </x:c>
      <x:c r="AF351" s="49" t="str">
        <x:v>Not included: no official standardized source; cutoff-derived proxy excluded</x:v>
      </x:c>
      <x:c r="AG351" s="49" t="str">
        <x:v>https://dse2025.mahacet.org.in/dse25/admin/allotment/cap2/6878_4.pdf</x:v>
      </x:c>
      <x:c r="AH351" s="49" t="str">
        <x:v>https://fe2025.mahacet.org/StaticPages/frmInstituteSummary.aspx?InstituteCode=06878</x:v>
      </x:c>
      <x:c r="AI351" s="49"/>
      <x:c r="AJ351" s="49" t="str"/>
      <x:c r="AK351" s="69" t="n">
        <x:f>IF(W351&lt;&gt;"",50,IF(X351="101-150",45,IF(X351="151-200",40,IF(X351="201-300",35,0))))+IF(H351="Autonomous",20,0)+IF(OR(G351="Government",G351="Government-Aided",G351="University Department",G351="University",G351="University Autonomous"),15,0)+MIN(K351,10)+IF(AA351&lt;&gt;"",3,0)+IF(U351&lt;&gt;"",2,0)</x:f>
        <x:v>9</x:v>
      </x:c>
      <x:c r="AL351" s="49" t="str">
        <x:f>IF(AK351&gt;=70,"Official/high-evidence reference",IF(AK351&gt;=40,"Planning reference","Broader option"))</x:f>
        <x:v>Broader option</x:v>
      </x:c>
    </x:row>
    <x:row r="352">
      <x:c r="A352" s="63" t="n">
        <x:v>6901</x:v>
      </x:c>
      <x:c r="B352" s="49" t="str">
        <x:v>MAEER's MIT College of Railway Engineering and Research, Jamgaon, Barshi</x:v>
      </x:c>
      <x:c r="C352" s="49" t="str">
        <x:v>Maharashtra</x:v>
      </x:c>
      <x:c r="D352" s="49"/>
      <x:c r="E352" s="49" t="str">
        <x:v>Solapur</x:v>
      </x:c>
      <x:c r="F352" s="49"/>
      <x:c r="G352" s="49" t="str">
        <x:v>Un-Aided</x:v>
      </x:c>
      <x:c r="H352" s="49" t="str">
        <x:v>Non-Autonomous / not stated</x:v>
      </x:c>
      <x:c r="I352" s="49" t="str">
        <x:v>Non-Minority / not stated</x:v>
      </x:c>
      <x:c r="J352" s="49"/>
      <x:c r="K352" s="49" t="n">
        <x:v>5</x:v>
      </x:c>
      <x:c r="L352" s="49" t="n">
        <x:v>173</x:v>
      </x:c>
      <x:c r="M352" s="49" t="n">
        <x:v>159</x:v>
      </x:c>
      <x:c r="N352" s="49" t="n">
        <x:v>14</x:v>
      </x:c>
      <x:c r="O352" s="49"/>
      <x:c r="P352" s="49"/>
      <x:c r="Q352" s="49" t="str">
        <x:v>Parsed from official 2025-26 PDF</x:v>
      </x:c>
      <x:c r="R352" s="49" t="str">
        <x:v>2024-25</x:v>
      </x:c>
      <x:c r="S352" s="64" t="n">
        <x:v>72267</x:v>
      </x:c>
      <x:c r="T352" s="64" t="n">
        <x:v>7733</x:v>
      </x:c>
      <x:c r="U352" s="64" t="n">
        <x:v>80000</x:v>
      </x:c>
      <x:c r="V352" s="49" t="str">
        <x:v>Normal FRA-approved annual tuition + development fee; not seat-type-specific</x:v>
      </x:c>
      <x:c r="W352" s="49"/>
      <x:c r="X352" s="49"/>
      <x:c r="Y352" s="68"/>
      <x:c r="Z352" s="49"/>
      <x:c r="AA352" s="49"/>
      <x:c r="AB352" s="49" t="str">
        <x:v>Not centrally verified</x:v>
      </x:c>
      <x:c r="AC352" s="49" t="str">
        <x:v>Not centrally verified</x:v>
      </x:c>
      <x:c r="AD352" s="49" t="str">
        <x:v>Not centrally verified</x:v>
      </x:c>
      <x:c r="AE352" s="49" t="str">
        <x:v>Not available in a standardized official source</x:v>
      </x:c>
      <x:c r="AF352" s="49" t="str">
        <x:v>Not included: no official standardized source; cutoff-derived proxy excluded</x:v>
      </x:c>
      <x:c r="AG352" s="49" t="str">
        <x:v>https://dse2025.mahacet.org.in/dse25/admin/allotment/cap2/6901_4.pdf</x:v>
      </x:c>
      <x:c r="AH352" s="49" t="str">
        <x:v>https://fe2025.mahacet.org/StaticPages/frmInstituteSummary.aspx?InstituteCode=06901</x:v>
      </x:c>
      <x:c r="AI352" s="49"/>
      <x:c r="AJ352" s="49" t="str"/>
      <x:c r="AK352" s="69" t="n">
        <x:f>IF(W352&lt;&gt;"",50,IF(X352="101-150",45,IF(X352="151-200",40,IF(X352="201-300",35,0))))+IF(H352="Autonomous",20,0)+IF(OR(G352="Government",G352="Government-Aided",G352="University Department",G352="University",G352="University Autonomous"),15,0)+MIN(K352,10)+IF(AA352&lt;&gt;"",3,0)+IF(U352&lt;&gt;"",2,0)</x:f>
        <x:v>7</x:v>
      </x:c>
      <x:c r="AL352" s="49" t="str">
        <x:f>IF(AK352&gt;=70,"Official/high-evidence reference",IF(AK352&gt;=40,"Planning reference","Broader option"))</x:f>
        <x:v>Broader option</x:v>
      </x:c>
    </x:row>
    <x:row r="353">
      <x:c r="A353" s="63" t="n">
        <x:v>6938</x:v>
      </x:c>
      <x:c r="B353" s="49" t="str">
        <x:v>Shree Siddheshwar Womens College Of Engineering Solapur.</x:v>
      </x:c>
      <x:c r="C353" s="49" t="str">
        <x:v>Maharashtra</x:v>
      </x:c>
      <x:c r="D353" s="49"/>
      <x:c r="E353" s="49" t="str">
        <x:v>Solapur</x:v>
      </x:c>
      <x:c r="F353" s="49"/>
      <x:c r="G353" s="49" t="str">
        <x:v>Un-Aided</x:v>
      </x:c>
      <x:c r="H353" s="49" t="str">
        <x:v>Non-Autonomous / not stated</x:v>
      </x:c>
      <x:c r="I353" s="49" t="str">
        <x:v>Non-Minority / not stated</x:v>
      </x:c>
      <x:c r="J353" s="49"/>
      <x:c r="K353" s="49" t="n">
        <x:v>5</x:v>
      </x:c>
      <x:c r="L353" s="49" t="n">
        <x:v>84</x:v>
      </x:c>
      <x:c r="M353" s="49" t="n">
        <x:v>78</x:v>
      </x:c>
      <x:c r="N353" s="49" t="n">
        <x:v>6</x:v>
      </x:c>
      <x:c r="O353" s="49"/>
      <x:c r="P353" s="49"/>
      <x:c r="Q353" s="49" t="str">
        <x:v>Parsed from official 2025-26 PDF</x:v>
      </x:c>
      <x:c r="R353" s="49" t="str">
        <x:v>2024-25</x:v>
      </x:c>
      <x:c r="S353" s="64" t="n">
        <x:v>72137</x:v>
      </x:c>
      <x:c r="T353" s="64" t="n">
        <x:v>7863</x:v>
      </x:c>
      <x:c r="U353" s="64" t="n">
        <x:v>80000</x:v>
      </x:c>
      <x:c r="V353" s="49" t="str">
        <x:v>Normal FRA-approved annual tuition + development fee; not seat-type-specific</x:v>
      </x:c>
      <x:c r="W353" s="49"/>
      <x:c r="X353" s="49"/>
      <x:c r="Y353" s="68"/>
      <x:c r="Z353" s="49"/>
      <x:c r="AA353" s="49"/>
      <x:c r="AB353" s="49" t="str">
        <x:v>Not centrally verified</x:v>
      </x:c>
      <x:c r="AC353" s="49" t="str">
        <x:v>Not centrally verified</x:v>
      </x:c>
      <x:c r="AD353" s="49" t="str">
        <x:v>Not centrally verified</x:v>
      </x:c>
      <x:c r="AE353" s="49" t="str">
        <x:v>Not available in a standardized official source</x:v>
      </x:c>
      <x:c r="AF353" s="49" t="str">
        <x:v>Not included: no official standardized source; cutoff-derived proxy excluded</x:v>
      </x:c>
      <x:c r="AG353" s="49" t="str">
        <x:v>https://dse2025.mahacet.org.in/dse25/admin/allotment/cap2/6938_4.pdf</x:v>
      </x:c>
      <x:c r="AH353" s="49" t="str">
        <x:v>https://fe2025.mahacet.org/StaticPages/frmInstituteSummary.aspx?InstituteCode=06938</x:v>
      </x:c>
      <x:c r="AI353" s="49"/>
      <x:c r="AJ353" s="49" t="str"/>
      <x:c r="AK353" s="69" t="n">
        <x:f>IF(W353&lt;&gt;"",50,IF(X353="101-150",45,IF(X353="151-200",40,IF(X353="201-300",35,0))))+IF(H353="Autonomous",20,0)+IF(OR(G353="Government",G353="Government-Aided",G353="University Department",G353="University",G353="University Autonomous"),15,0)+MIN(K353,10)+IF(AA353&lt;&gt;"",3,0)+IF(U353&lt;&gt;"",2,0)</x:f>
        <x:v>7</x:v>
      </x:c>
      <x:c r="AL353" s="49" t="str">
        <x:f>IF(AK353&gt;=70,"Official/high-evidence reference",IF(AK353&gt;=40,"Planning reference","Broader option"))</x:f>
        <x:v>Broader option</x:v>
      </x:c>
    </x:row>
    <x:row r="354">
      <x:c r="A354" s="63" t="n">
        <x:v>6991</x:v>
      </x:c>
      <x:c r="B354" s="49" t="str">
        <x:v>Dr. D.Y. Patil Technical Campus, Varale, Talegaon, Pune</x:v>
      </x:c>
      <x:c r="C354" s="49" t="str">
        <x:v>Maharashtra</x:v>
      </x:c>
      <x:c r="D354" s="49"/>
      <x:c r="E354" s="49"/>
      <x:c r="F354" s="49"/>
      <x:c r="G354" s="49" t="str">
        <x:v>Un-Aided</x:v>
      </x:c>
      <x:c r="H354" s="49" t="str">
        <x:v>Non-Autonomous / not stated</x:v>
      </x:c>
      <x:c r="I354" s="49" t="str">
        <x:v>Non-Minority / not stated</x:v>
      </x:c>
      <x:c r="J354" s="49"/>
      <x:c r="K354" s="49" t="n">
        <x:v>4</x:v>
      </x:c>
      <x:c r="L354" s="49" t="n">
        <x:v>245</x:v>
      </x:c>
      <x:c r="M354" s="49" t="n">
        <x:v>219</x:v>
      </x:c>
      <x:c r="N354" s="49" t="n">
        <x:v>26</x:v>
      </x:c>
      <x:c r="O354" s="49"/>
      <x:c r="P354" s="49"/>
      <x:c r="Q354" s="49" t="str">
        <x:v>Parsed from official 2025-26 PDF</x:v>
      </x:c>
      <x:c r="R354" s="49"/>
      <x:c r="S354" s="64"/>
      <x:c r="T354" s="64"/>
      <x:c r="U354" s="64"/>
      <x:c r="V354" s="49" t="str">
        <x:v>No verified FRA match</x:v>
      </x:c>
      <x:c r="W354" s="49"/>
      <x:c r="X354" s="49"/>
      <x:c r="Y354" s="68"/>
      <x:c r="Z354" s="49"/>
      <x:c r="AA354" s="49"/>
      <x:c r="AB354" s="49" t="str">
        <x:v>Not centrally verified</x:v>
      </x:c>
      <x:c r="AC354" s="49" t="str">
        <x:v>Not centrally verified</x:v>
      </x:c>
      <x:c r="AD354" s="49" t="str">
        <x:v>Not centrally verified</x:v>
      </x:c>
      <x:c r="AE354" s="49" t="str">
        <x:v>Not available in a standardized official source</x:v>
      </x:c>
      <x:c r="AF354" s="49" t="str">
        <x:v>Not included: no official standardized source; cutoff-derived proxy excluded</x:v>
      </x:c>
      <x:c r="AG354" s="49" t="str">
        <x:v>https://dse2025.mahacet.org.in/dse25/admin/allotment/cap2/6991_4.pdf</x:v>
      </x:c>
      <x:c r="AH354" s="49" t="str">
        <x:v>https://fe2025.mahacet.org/StaticPages/frmInstituteSummary.aspx?InstituteCode=06991</x:v>
      </x:c>
      <x:c r="AI354" s="49"/>
      <x:c r="AJ354" s="49" t="str"/>
      <x:c r="AK354" s="69" t="n">
        <x:f>IF(W354&lt;&gt;"",50,IF(X354="101-150",45,IF(X354="151-200",40,IF(X354="201-300",35,0))))+IF(H354="Autonomous",20,0)+IF(OR(G354="Government",G354="Government-Aided",G354="University Department",G354="University",G354="University Autonomous"),15,0)+MIN(K354,10)+IF(AA354&lt;&gt;"",3,0)+IF(U354&lt;&gt;"",2,0)</x:f>
        <x:v>4</x:v>
      </x:c>
      <x:c r="AL354" s="49" t="str">
        <x:f>IF(AK354&gt;=70,"Official/high-evidence reference",IF(AK354&gt;=40,"Planning reference","Broader option"))</x:f>
        <x:v>Broader option</x:v>
      </x:c>
    </x:row>
  </x:sheetData>
  <x:conditionalFormatting sqref="AK2:AK35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2c145e4601643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51" hidden="0" customWidth="1"/>
    <x:col min="4" max="4" width="17" hidden="0" customWidth="1"/>
    <x:col min="5" max="5" width="48" hidden="0" customWidth="1"/>
    <x:col min="6" max="6" width="16" hidden="0" customWidth="1"/>
    <x:col min="7" max="7" width="11" hidden="0" customWidth="1"/>
    <x:col min="8" max="8" width="11" hidden="0" customWidth="1"/>
    <x:col min="9" max="9" width="14" hidden="0" customWidth="1"/>
    <x:col min="10" max="10" width="12" hidden="0" customWidth="1"/>
    <x:col min="11" max="11" width="32" hidden="0" customWidth="1"/>
    <x:col min="12" max="12" width="34" hidden="0" customWidth="1"/>
    <x:col min="13" max="13" width="48" hidden="0" customWidth="1"/>
  </x:cols>
  <x:sheetData>
    <x:row r="1" ht="32" customHeight="1">
      <x:c r="A1" s="61" t="str">
        <x:v>Academic Year</x:v>
      </x:c>
      <x:c r="B1" s="61" t="str">
        <x:v>Institute Code</x:v>
      </x:c>
      <x:c r="C1" s="61" t="str">
        <x:v>Institute Name</x:v>
      </x:c>
      <x:c r="D1" s="61" t="str">
        <x:v>Choice Code</x:v>
      </x:c>
      <x:c r="E1" s="61" t="str">
        <x:v>Branch</x:v>
      </x:c>
      <x:c r="F1" s="61" t="str">
        <x:v>Total DSE Seats</x:v>
      </x:c>
      <x:c r="G1" s="61" t="str">
        <x:v>MS Seats</x:v>
      </x:c>
      <x:c r="H1" s="61" t="str">
        <x:v>EWS Seats</x:v>
      </x:c>
      <x:c r="I1" s="61" t="str">
        <x:v>Minority Seats</x:v>
      </x:c>
      <x:c r="J1" s="61" t="str">
        <x:v>Other Seats</x:v>
      </x:c>
      <x:c r="K1" s="61" t="str">
        <x:v>Institute Status from PDF</x:v>
      </x:c>
      <x:c r="L1" s="61" t="str">
        <x:v>Seat Composition Text</x:v>
      </x:c>
      <x:c r="M1" s="61" t="str">
        <x:v>Official Source URL</x:v>
      </x:c>
    </x:row>
    <x:row r="2">
      <x:c r="A2" s="49" t="str">
        <x:v>2025-26</x:v>
      </x:c>
      <x:c r="B2" s="63" t="n">
        <x:v>1002</x:v>
      </x:c>
      <x:c r="C2" s="49" t="str">
        <x:v>Government College of Engineering, Amravati</x:v>
      </x:c>
      <x:c r="D2" s="72" t="n">
        <x:v>100219110</x:v>
      </x:c>
      <x:c r="E2" s="49" t="str">
        <x:v>Civil Engineering</x:v>
      </x:c>
      <x:c r="F2" s="73" t="n">
        <x:v>9</x:v>
      </x:c>
      <x:c r="G2" s="73" t="n">
        <x:v>7</x:v>
      </x:c>
      <x:c r="H2" s="73" t="n">
        <x:v>2</x:v>
      </x:c>
      <x:c r="I2" s="73"/>
      <x:c r="J2" s="73" t="n">
        <x:v>0</x:v>
      </x:c>
      <x:c r="K2" s="49" t="str">
        <x:v>Government Autonomous</x:v>
      </x:c>
      <x:c r="L2" s="49" t="str">
        <x:v>MS Seats : 7+ EWS : 2</x:v>
      </x:c>
      <x:c r="M2" s="49" t="str">
        <x:v>https://dse2025.mahacet.org.in/dse25/admin/allotment/cap2/1002_4.pdf</x:v>
      </x:c>
    </x:row>
    <x:row r="3">
      <x:c r="A3" s="49" t="str">
        <x:v>2025-26</x:v>
      </x:c>
      <x:c r="B3" s="63" t="n">
        <x:v>1002</x:v>
      </x:c>
      <x:c r="C3" s="49" t="str">
        <x:v>Government College of Engineering, Amravati</x:v>
      </x:c>
      <x:c r="D3" s="72" t="n">
        <x:v>100224210</x:v>
      </x:c>
      <x:c r="E3" s="49" t="str">
        <x:v>Computer Science and Engineering</x:v>
      </x:c>
      <x:c r="F3" s="73" t="n">
        <x:v>8</x:v>
      </x:c>
      <x:c r="G3" s="73" t="n">
        <x:v>7</x:v>
      </x:c>
      <x:c r="H3" s="73" t="n">
        <x:v>1</x:v>
      </x:c>
      <x:c r="I3" s="73"/>
      <x:c r="J3" s="73" t="n">
        <x:v>0</x:v>
      </x:c>
      <x:c r="K3" s="49" t="str">
        <x:v>Government Autonomous</x:v>
      </x:c>
      <x:c r="L3" s="49" t="str">
        <x:v>MS Seats : 7+ EWS : 1</x:v>
      </x:c>
      <x:c r="M3" s="49" t="str">
        <x:v>https://dse2025.mahacet.org.in/dse25/admin/allotment/cap2/1002_4.pdf</x:v>
      </x:c>
    </x:row>
    <x:row r="4">
      <x:c r="A4" s="49" t="str">
        <x:v>2025-26</x:v>
      </x:c>
      <x:c r="B4" s="63" t="n">
        <x:v>1002</x:v>
      </x:c>
      <x:c r="C4" s="49" t="str">
        <x:v>Government College of Engineering, Amravati</x:v>
      </x:c>
      <x:c r="D4" s="72" t="n">
        <x:v>100224610</x:v>
      </x:c>
      <x:c r="E4" s="49" t="str">
        <x:v>Information Technology</x:v>
      </x:c>
      <x:c r="F4" s="73" t="n">
        <x:v>9</x:v>
      </x:c>
      <x:c r="G4" s="73" t="n">
        <x:v>7</x:v>
      </x:c>
      <x:c r="H4" s="73" t="n">
        <x:v>2</x:v>
      </x:c>
      <x:c r="I4" s="73"/>
      <x:c r="J4" s="73" t="n">
        <x:v>0</x:v>
      </x:c>
      <x:c r="K4" s="49" t="str">
        <x:v>Government Autonomous</x:v>
      </x:c>
      <x:c r="L4" s="49" t="str">
        <x:v>MS Seats : 7+ EWS : 2</x:v>
      </x:c>
      <x:c r="M4" s="49" t="str">
        <x:v>https://dse2025.mahacet.org.in/dse25/admin/allotment/cap2/1002_4.pdf</x:v>
      </x:c>
    </x:row>
    <x:row r="5">
      <x:c r="A5" s="49" t="str">
        <x:v>2025-26</x:v>
      </x:c>
      <x:c r="B5" s="63" t="n">
        <x:v>1002</x:v>
      </x:c>
      <x:c r="C5" s="49" t="str">
        <x:v>Government College of Engineering, Amravati</x:v>
      </x:c>
      <x:c r="D5" s="72" t="n">
        <x:v>100229310</x:v>
      </x:c>
      <x:c r="E5" s="49" t="str">
        <x:v>Electrical Engineering</x:v>
      </x:c>
      <x:c r="F5" s="73" t="n">
        <x:v>9</x:v>
      </x:c>
      <x:c r="G5" s="73" t="n">
        <x:v>8</x:v>
      </x:c>
      <x:c r="H5" s="73" t="n">
        <x:v>1</x:v>
      </x:c>
      <x:c r="I5" s="73"/>
      <x:c r="J5" s="73" t="n">
        <x:v>0</x:v>
      </x:c>
      <x:c r="K5" s="49" t="str">
        <x:v>Government Autonomous</x:v>
      </x:c>
      <x:c r="L5" s="49" t="str">
        <x:v>MS Seats : 8+ EWS : 1</x:v>
      </x:c>
      <x:c r="M5" s="49" t="str">
        <x:v>https://dse2025.mahacet.org.in/dse25/admin/allotment/cap2/1002_4.pdf</x:v>
      </x:c>
    </x:row>
    <x:row r="6">
      <x:c r="A6" s="49" t="str">
        <x:v>2025-26</x:v>
      </x:c>
      <x:c r="B6" s="63" t="n">
        <x:v>1002</x:v>
      </x:c>
      <x:c r="C6" s="49" t="str">
        <x:v>Government College of Engineering, Amravati</x:v>
      </x:c>
      <x:c r="D6" s="72" t="n">
        <x:v>100237210</x:v>
      </x:c>
      <x:c r="E6" s="49" t="str">
        <x:v>Electronics and Telecommunication Engg</x:v>
      </x:c>
      <x:c r="F6" s="73" t="n">
        <x:v>8</x:v>
      </x:c>
      <x:c r="G6" s="73" t="n">
        <x:v>7</x:v>
      </x:c>
      <x:c r="H6" s="73" t="n">
        <x:v>1</x:v>
      </x:c>
      <x:c r="I6" s="73"/>
      <x:c r="J6" s="73" t="n">
        <x:v>0</x:v>
      </x:c>
      <x:c r="K6" s="49" t="str">
        <x:v>Government Autonomous</x:v>
      </x:c>
      <x:c r="L6" s="49" t="str">
        <x:v>MS Seats : 7+ EWS : 1</x:v>
      </x:c>
      <x:c r="M6" s="49" t="str">
        <x:v>https://dse2025.mahacet.org.in/dse25/admin/allotment/cap2/1002_4.pdf</x:v>
      </x:c>
    </x:row>
    <x:row r="7">
      <x:c r="A7" s="49" t="str">
        <x:v>2025-26</x:v>
      </x:c>
      <x:c r="B7" s="63" t="n">
        <x:v>1002</x:v>
      </x:c>
      <x:c r="C7" s="49" t="str">
        <x:v>Government College of Engineering, Amravati</x:v>
      </x:c>
      <x:c r="D7" s="72" t="n">
        <x:v>100246610</x:v>
      </x:c>
      <x:c r="E7" s="49" t="str">
        <x:v>Instrumentation Engineering</x:v>
      </x:c>
      <x:c r="F7" s="73" t="n">
        <x:v>5</x:v>
      </x:c>
      <x:c r="G7" s="73" t="n">
        <x:v>4</x:v>
      </x:c>
      <x:c r="H7" s="73" t="n">
        <x:v>1</x:v>
      </x:c>
      <x:c r="I7" s="73"/>
      <x:c r="J7" s="73" t="n">
        <x:v>0</x:v>
      </x:c>
      <x:c r="K7" s="49" t="str">
        <x:v>Government Autonomous</x:v>
      </x:c>
      <x:c r="L7" s="49" t="str">
        <x:v>MS Seats : 4+ EWS : 1</x:v>
      </x:c>
      <x:c r="M7" s="49" t="str">
        <x:v>https://dse2025.mahacet.org.in/dse25/admin/allotment/cap2/1002_4.pdf</x:v>
      </x:c>
    </x:row>
    <x:row r="8">
      <x:c r="A8" s="49" t="str">
        <x:v>2025-26</x:v>
      </x:c>
      <x:c r="B8" s="63" t="n">
        <x:v>1002</x:v>
      </x:c>
      <x:c r="C8" s="49" t="str">
        <x:v>Government College of Engineering, Amravati</x:v>
      </x:c>
      <x:c r="D8" s="72" t="n">
        <x:v>100261210</x:v>
      </x:c>
      <x:c r="E8" s="49" t="str">
        <x:v>Mechanical Engineering</x:v>
      </x:c>
      <x:c r="F8" s="73" t="n">
        <x:v>11</x:v>
      </x:c>
      <x:c r="G8" s="73" t="n">
        <x:v>8</x:v>
      </x:c>
      <x:c r="H8" s="73" t="n">
        <x:v>3</x:v>
      </x:c>
      <x:c r="I8" s="73"/>
      <x:c r="J8" s="73" t="n">
        <x:v>0</x:v>
      </x:c>
      <x:c r="K8" s="49" t="str">
        <x:v>Government Autonomous</x:v>
      </x:c>
      <x:c r="L8" s="49" t="str">
        <x:v>MS Seats : 8+ EWS : 3</x:v>
      </x:c>
      <x:c r="M8" s="49" t="str">
        <x:v>https://dse2025.mahacet.org.in/dse25/admin/allotment/cap2/1002_4.pdf</x:v>
      </x:c>
    </x:row>
    <x:row r="9">
      <x:c r="A9" s="49" t="str">
        <x:v>2025-26</x:v>
      </x:c>
      <x:c r="B9" s="63" t="n">
        <x:v>1005</x:v>
      </x:c>
      <x:c r="C9" s="49" t="str">
        <x:v>Sant Gadge Baba Amravati University,Amravati</x:v>
      </x:c>
      <x:c r="D9" s="72" t="n">
        <x:v>100550310</x:v>
      </x:c>
      <x:c r="E9" s="49" t="str">
        <x:v>Food Technology</x:v>
      </x:c>
      <x:c r="F9" s="73" t="n">
        <x:v>13</x:v>
      </x:c>
      <x:c r="G9" s="73" t="n">
        <x:v>12</x:v>
      </x:c>
      <x:c r="H9" s="73" t="n">
        <x:v>1</x:v>
      </x:c>
      <x:c r="I9" s="73"/>
      <x:c r="J9" s="73" t="n">
        <x:v>0</x:v>
      </x:c>
      <x:c r="K9" s="49" t="str">
        <x:v>University Department</x:v>
      </x:c>
      <x:c r="L9" s="49" t="str">
        <x:v>MS Seats : 12+ EWS : 1</x:v>
      </x:c>
      <x:c r="M9" s="49" t="str">
        <x:v>https://dse2025.mahacet.org.in/dse25/admin/allotment/cap2/1005_4.pdf</x:v>
      </x:c>
    </x:row>
    <x:row r="10">
      <x:c r="A10" s="49" t="str">
        <x:v>2025-26</x:v>
      </x:c>
      <x:c r="B10" s="63" t="n">
        <x:v>1005</x:v>
      </x:c>
      <x:c r="C10" s="49" t="str">
        <x:v>Sant Gadge Baba Amravati University,Amravati</x:v>
      </x:c>
      <x:c r="D10" s="72" t="n">
        <x:v>100551710</x:v>
      </x:c>
      <x:c r="E10" s="49" t="str">
        <x:v>Oil and Paints Technology</x:v>
      </x:c>
      <x:c r="F10" s="73" t="n">
        <x:v>7</x:v>
      </x:c>
      <x:c r="G10" s="73" t="n">
        <x:v>5</x:v>
      </x:c>
      <x:c r="H10" s="73" t="n">
        <x:v>2</x:v>
      </x:c>
      <x:c r="I10" s="73"/>
      <x:c r="J10" s="73" t="n">
        <x:v>0</x:v>
      </x:c>
      <x:c r="K10" s="49" t="str">
        <x:v>University Department</x:v>
      </x:c>
      <x:c r="L10" s="49" t="str">
        <x:v>MS Seats : 5+ EWS : 2</x:v>
      </x:c>
      <x:c r="M10" s="49" t="str">
        <x:v>https://dse2025.mahacet.org.in/dse25/admin/allotment/cap2/1005_4.pdf</x:v>
      </x:c>
    </x:row>
    <x:row r="11">
      <x:c r="A11" s="49" t="str">
        <x:v>2025-26</x:v>
      </x:c>
      <x:c r="B11" s="63" t="n">
        <x:v>1005</x:v>
      </x:c>
      <x:c r="C11" s="49" t="str">
        <x:v>Sant Gadge Baba Amravati University,Amravati</x:v>
      </x:c>
      <x:c r="D11" s="72" t="n">
        <x:v>100552410</x:v>
      </x:c>
      <x:c r="E11" s="49" t="str">
        <x:v>Paper and Pulp Technology</x:v>
      </x:c>
      <x:c r="F11" s="73" t="n">
        <x:v>19</x:v>
      </x:c>
      <x:c r="G11" s="73" t="n">
        <x:v>17</x:v>
      </x:c>
      <x:c r="H11" s="73" t="n">
        <x:v>2</x:v>
      </x:c>
      <x:c r="I11" s="73"/>
      <x:c r="J11" s="73" t="n">
        <x:v>0</x:v>
      </x:c>
      <x:c r="K11" s="49" t="str">
        <x:v>University Department</x:v>
      </x:c>
      <x:c r="L11" s="49" t="str">
        <x:v>MS Seats : 17+ EWS : 2</x:v>
      </x:c>
      <x:c r="M11" s="49" t="str">
        <x:v>https://dse2025.mahacet.org.in/dse25/admin/allotment/cap2/1005_4.pdf</x:v>
      </x:c>
    </x:row>
    <x:row r="12">
      <x:c r="A12" s="49" t="str">
        <x:v>2025-26</x:v>
      </x:c>
      <x:c r="B12" s="63" t="n">
        <x:v>1005</x:v>
      </x:c>
      <x:c r="C12" s="49" t="str">
        <x:v>Sant Gadge Baba Amravati University,Amravati</x:v>
      </x:c>
      <x:c r="D12" s="72" t="n">
        <x:v>100552710</x:v>
      </x:c>
      <x:c r="E12" s="49" t="str">
        <x:v>Petro Chemical Engineering</x:v>
      </x:c>
      <x:c r="F12" s="73" t="n">
        <x:v>7</x:v>
      </x:c>
      <x:c r="G12" s="73" t="n">
        <x:v>6</x:v>
      </x:c>
      <x:c r="H12" s="73" t="n">
        <x:v>1</x:v>
      </x:c>
      <x:c r="I12" s="73"/>
      <x:c r="J12" s="73" t="n">
        <x:v>0</x:v>
      </x:c>
      <x:c r="K12" s="49" t="str">
        <x:v>University Department</x:v>
      </x:c>
      <x:c r="L12" s="49" t="str">
        <x:v>MS Seats : 6+ EWS : 1</x:v>
      </x:c>
      <x:c r="M12" s="49" t="str">
        <x:v>https://dse2025.mahacet.org.in/dse25/admin/allotment/cap2/1005_4.pdf</x:v>
      </x:c>
    </x:row>
    <x:row r="13">
      <x:c r="A13" s="49" t="str">
        <x:v>2025-26</x:v>
      </x:c>
      <x:c r="B13" s="63" t="n">
        <x:v>1012</x:v>
      </x:c>
      <x:c r="C13" s="49" t="str">
        <x:v>Government College of Engineering,Yavatmal</x:v>
      </x:c>
      <x:c r="D13" s="72" t="n">
        <x:v>101219110</x:v>
      </x:c>
      <x:c r="E13" s="49" t="str">
        <x:v>Civil Engineering</x:v>
      </x:c>
      <x:c r="F13" s="73" t="n">
        <x:v>23</x:v>
      </x:c>
      <x:c r="G13" s="73" t="n">
        <x:v>18</x:v>
      </x:c>
      <x:c r="H13" s="73" t="n">
        <x:v>5</x:v>
      </x:c>
      <x:c r="I13" s="73"/>
      <x:c r="J13" s="73" t="n">
        <x:v>0</x:v>
      </x:c>
      <x:c r="K13" s="49" t="str">
        <x:v>Government</x:v>
      </x:c>
      <x:c r="L13" s="49" t="str">
        <x:v>MS Seats : 18+ EWS : 5</x:v>
      </x:c>
      <x:c r="M13" s="49" t="str">
        <x:v>https://dse2025.mahacet.org.in/dse25/admin/allotment/cap2/1012_4.pdf</x:v>
      </x:c>
    </x:row>
    <x:row r="14">
      <x:c r="A14" s="49" t="str">
        <x:v>2025-26</x:v>
      </x:c>
      <x:c r="B14" s="63" t="n">
        <x:v>1012</x:v>
      </x:c>
      <x:c r="C14" s="49" t="str">
        <x:v>Government College of Engineering,Yavatmal</x:v>
      </x:c>
      <x:c r="D14" s="72" t="n">
        <x:v>101224510</x:v>
      </x:c>
      <x:c r="E14" s="49" t="str">
        <x:v>Computer Engineering</x:v>
      </x:c>
      <x:c r="F14" s="73" t="n">
        <x:v>11</x:v>
      </x:c>
      <x:c r="G14" s="73" t="n">
        <x:v>8</x:v>
      </x:c>
      <x:c r="H14" s="73" t="n">
        <x:v>3</x:v>
      </x:c>
      <x:c r="I14" s="73"/>
      <x:c r="J14" s="73" t="n">
        <x:v>0</x:v>
      </x:c>
      <x:c r="K14" s="49" t="str">
        <x:v>Government</x:v>
      </x:c>
      <x:c r="L14" s="49" t="str">
        <x:v>MS Seats : 8+ EWS : 3</x:v>
      </x:c>
      <x:c r="M14" s="49" t="str">
        <x:v>https://dse2025.mahacet.org.in/dse25/admin/allotment/cap2/1012_4.pdf</x:v>
      </x:c>
    </x:row>
    <x:row r="15">
      <x:c r="A15" s="49" t="str">
        <x:v>2025-26</x:v>
      </x:c>
      <x:c r="B15" s="63" t="n">
        <x:v>1012</x:v>
      </x:c>
      <x:c r="C15" s="49" t="str">
        <x:v>Government College of Engineering,Yavatmal</x:v>
      </x:c>
      <x:c r="D15" s="72" t="n">
        <x:v>101229310</x:v>
      </x:c>
      <x:c r="E15" s="49" t="str">
        <x:v>Electrical Engineering</x:v>
      </x:c>
      <x:c r="F15" s="73" t="n">
        <x:v>21</x:v>
      </x:c>
      <x:c r="G15" s="73" t="n">
        <x:v>17</x:v>
      </x:c>
      <x:c r="H15" s="73" t="n">
        <x:v>4</x:v>
      </x:c>
      <x:c r="I15" s="73"/>
      <x:c r="J15" s="73" t="n">
        <x:v>0</x:v>
      </x:c>
      <x:c r="K15" s="49" t="str">
        <x:v>Government</x:v>
      </x:c>
      <x:c r="L15" s="49" t="str">
        <x:v>MS Seats : 17+ EWS : 4</x:v>
      </x:c>
      <x:c r="M15" s="49" t="str">
        <x:v>https://dse2025.mahacet.org.in/dse25/admin/allotment/cap2/1012_4.pdf</x:v>
      </x:c>
    </x:row>
    <x:row r="16">
      <x:c r="A16" s="49" t="str">
        <x:v>2025-26</x:v>
      </x:c>
      <x:c r="B16" s="63" t="n">
        <x:v>1012</x:v>
      </x:c>
      <x:c r="C16" s="49" t="str">
        <x:v>Government College of Engineering,Yavatmal</x:v>
      </x:c>
      <x:c r="D16" s="72" t="n">
        <x:v>101237210</x:v>
      </x:c>
      <x:c r="E16" s="49" t="str">
        <x:v>Electronics and Telecommunication Engg</x:v>
      </x:c>
      <x:c r="F16" s="73" t="n">
        <x:v>12</x:v>
      </x:c>
      <x:c r="G16" s="73" t="n">
        <x:v>9</x:v>
      </x:c>
      <x:c r="H16" s="73" t="n">
        <x:v>3</x:v>
      </x:c>
      <x:c r="I16" s="73"/>
      <x:c r="J16" s="73" t="n">
        <x:v>0</x:v>
      </x:c>
      <x:c r="K16" s="49" t="str">
        <x:v>Government</x:v>
      </x:c>
      <x:c r="L16" s="49" t="str">
        <x:v>MS Seats : 9+ EWS : 3</x:v>
      </x:c>
      <x:c r="M16" s="49" t="str">
        <x:v>https://dse2025.mahacet.org.in/dse25/admin/allotment/cap2/1012_4.pdf</x:v>
      </x:c>
    </x:row>
    <x:row r="17">
      <x:c r="A17" s="49" t="str">
        <x:v>2025-26</x:v>
      </x:c>
      <x:c r="B17" s="63" t="n">
        <x:v>1012</x:v>
      </x:c>
      <x:c r="C17" s="49" t="str">
        <x:v>Government College of Engineering,Yavatmal</x:v>
      </x:c>
      <x:c r="D17" s="72" t="n">
        <x:v>101261210</x:v>
      </x:c>
      <x:c r="E17" s="49" t="str">
        <x:v>Mechanical Engineering</x:v>
      </x:c>
      <x:c r="F17" s="73" t="n">
        <x:v>41</x:v>
      </x:c>
      <x:c r="G17" s="73" t="n">
        <x:v>35</x:v>
      </x:c>
      <x:c r="H17" s="73" t="n">
        <x:v>6</x:v>
      </x:c>
      <x:c r="I17" s="73"/>
      <x:c r="J17" s="73" t="n">
        <x:v>0</x:v>
      </x:c>
      <x:c r="K17" s="49" t="str">
        <x:v>Government</x:v>
      </x:c>
      <x:c r="L17" s="49" t="str">
        <x:v>MS Seats : 35+ EWS : 6</x:v>
      </x:c>
      <x:c r="M17" s="49" t="str">
        <x:v>https://dse2025.mahacet.org.in/dse25/admin/allotment/cap2/1012_4.pdf</x:v>
      </x:c>
    </x:row>
    <x:row r="18">
      <x:c r="A18" s="49" t="str">
        <x:v>2025-26</x:v>
      </x:c>
      <x:c r="B18" s="63" t="n">
        <x:v>1101</x:v>
      </x:c>
      <x:c r="C18" s="49" t="str">
        <x:v>Shri Sant Gajanan Maharaj College of Engineering,Shegaon</x:v>
      </x:c>
      <x:c r="D18" s="72" t="n">
        <x:v>110124210</x:v>
      </x:c>
      <x:c r="E18" s="49" t="str">
        <x:v>Computer Science and Engineering</x:v>
      </x:c>
      <x:c r="F18" s="73" t="n">
        <x:v>8</x:v>
      </x:c>
      <x:c r="G18" s="73" t="n">
        <x:v>7</x:v>
      </x:c>
      <x:c r="H18" s="73" t="n">
        <x:v>1</x:v>
      </x:c>
      <x:c r="I18" s="73"/>
      <x:c r="J18" s="73" t="n">
        <x:v>0</x:v>
      </x:c>
      <x:c r="K18" s="49" t="str">
        <x:v>Un-Aided</x:v>
      </x:c>
      <x:c r="L18" s="49" t="str">
        <x:v>MS Seats : 7+ EWS : 1</x:v>
      </x:c>
      <x:c r="M18" s="49" t="str">
        <x:v>https://dse2025.mahacet.org.in/dse25/admin/allotment/cap2/1101_4.pdf</x:v>
      </x:c>
    </x:row>
    <x:row r="19">
      <x:c r="A19" s="49" t="str">
        <x:v>2025-26</x:v>
      </x:c>
      <x:c r="B19" s="63" t="n">
        <x:v>1101</x:v>
      </x:c>
      <x:c r="C19" s="49" t="str">
        <x:v>Shri Sant Gajanan Maharaj College of Engineering,Shegaon</x:v>
      </x:c>
      <x:c r="D19" s="72" t="n">
        <x:v>110124610</x:v>
      </x:c>
      <x:c r="E19" s="49" t="str">
        <x:v>Information Technology</x:v>
      </x:c>
      <x:c r="F19" s="73" t="n">
        <x:v>9</x:v>
      </x:c>
      <x:c r="G19" s="73" t="n">
        <x:v>7</x:v>
      </x:c>
      <x:c r="H19" s="73" t="n">
        <x:v>2</x:v>
      </x:c>
      <x:c r="I19" s="73"/>
      <x:c r="J19" s="73" t="n">
        <x:v>0</x:v>
      </x:c>
      <x:c r="K19" s="49" t="str">
        <x:v>Un-Aided</x:v>
      </x:c>
      <x:c r="L19" s="49" t="str">
        <x:v>MS Seats : 7+ EWS : 2</x:v>
      </x:c>
      <x:c r="M19" s="49" t="str">
        <x:v>https://dse2025.mahacet.org.in/dse25/admin/allotment/cap2/1101_4.pdf</x:v>
      </x:c>
    </x:row>
    <x:row r="20">
      <x:c r="A20" s="49" t="str">
        <x:v>2025-26</x:v>
      </x:c>
      <x:c r="B20" s="63" t="n">
        <x:v>1101</x:v>
      </x:c>
      <x:c r="C20" s="49" t="str">
        <x:v>Shri Sant Gajanan Maharaj College of Engineering,Shegaon</x:v>
      </x:c>
      <x:c r="D20" s="72" t="n">
        <x:v>110135610</x:v>
      </x:c>
      <x:c r="E20" s="49" t="str">
        <x:v>Electrical Engg[Electronics and Power]</x:v>
      </x:c>
      <x:c r="F20" s="73" t="n">
        <x:v>13</x:v>
      </x:c>
      <x:c r="G20" s="73" t="n">
        <x:v>11</x:v>
      </x:c>
      <x:c r="H20" s="73" t="n">
        <x:v>2</x:v>
      </x:c>
      <x:c r="I20" s="73"/>
      <x:c r="J20" s="73" t="n">
        <x:v>0</x:v>
      </x:c>
      <x:c r="K20" s="49" t="str">
        <x:v>Un-Aided</x:v>
      </x:c>
      <x:c r="L20" s="49" t="str">
        <x:v>MS Seats : 11+ EWS : 2</x:v>
      </x:c>
      <x:c r="M20" s="49" t="str">
        <x:v>https://dse2025.mahacet.org.in/dse25/admin/allotment/cap2/1101_4.pdf</x:v>
      </x:c>
    </x:row>
    <x:row r="21">
      <x:c r="A21" s="49" t="str">
        <x:v>2025-26</x:v>
      </x:c>
      <x:c r="B21" s="63" t="n">
        <x:v>1101</x:v>
      </x:c>
      <x:c r="C21" s="49" t="str">
        <x:v>Shri Sant Gajanan Maharaj College of Engineering,Shegaon</x:v>
      </x:c>
      <x:c r="D21" s="72" t="n">
        <x:v>110137210</x:v>
      </x:c>
      <x:c r="E21" s="49" t="str">
        <x:v>Electronics and Telecommunication Engg</x:v>
      </x:c>
      <x:c r="F21" s="73" t="n">
        <x:v>18</x:v>
      </x:c>
      <x:c r="G21" s="73" t="n">
        <x:v>15</x:v>
      </x:c>
      <x:c r="H21" s="73" t="n">
        <x:v>3</x:v>
      </x:c>
      <x:c r="I21" s="73"/>
      <x:c r="J21" s="73" t="n">
        <x:v>0</x:v>
      </x:c>
      <x:c r="K21" s="49" t="str">
        <x:v>Un-Aided</x:v>
      </x:c>
      <x:c r="L21" s="49" t="str">
        <x:v>MS Seats : 15+ EWS : 3</x:v>
      </x:c>
      <x:c r="M21" s="49" t="str">
        <x:v>https://dse2025.mahacet.org.in/dse25/admin/allotment/cap2/1101_4.pdf</x:v>
      </x:c>
    </x:row>
    <x:row r="22">
      <x:c r="A22" s="49" t="str">
        <x:v>2025-26</x:v>
      </x:c>
      <x:c r="B22" s="63" t="n">
        <x:v>1101</x:v>
      </x:c>
      <x:c r="C22" s="49" t="str">
        <x:v>Shri Sant Gajanan Maharaj College of Engineering,Shegaon</x:v>
      </x:c>
      <x:c r="D22" s="72" t="n">
        <x:v>110161210</x:v>
      </x:c>
      <x:c r="E22" s="49" t="str">
        <x:v>Mechanical Engineering</x:v>
      </x:c>
      <x:c r="F22" s="73" t="n">
        <x:v>10</x:v>
      </x:c>
      <x:c r="G22" s="73" t="n">
        <x:v>9</x:v>
      </x:c>
      <x:c r="H22" s="73" t="n">
        <x:v>1</x:v>
      </x:c>
      <x:c r="I22" s="73"/>
      <x:c r="J22" s="73" t="n">
        <x:v>0</x:v>
      </x:c>
      <x:c r="K22" s="49" t="str">
        <x:v>Un-Aided</x:v>
      </x:c>
      <x:c r="L22" s="49" t="str">
        <x:v>MS Seats : 9+ EWS : 1</x:v>
      </x:c>
      <x:c r="M22" s="49" t="str">
        <x:v>https://dse2025.mahacet.org.in/dse25/admin/allotment/cap2/1101_4.pdf</x:v>
      </x:c>
    </x:row>
    <x:row r="23">
      <x:c r="A23" s="49" t="str">
        <x:v>2025-26</x:v>
      </x:c>
      <x:c r="B23" s="63" t="n">
        <x:v>1105</x:v>
      </x:c>
      <x:c r="C23" s="49" t="str">
        <x:v>Prof. Ram Meghe Institute of Technology &amp; Research, Amravati</x:v>
      </x:c>
      <x:c r="D23" s="72" t="n">
        <x:v>110519110</x:v>
      </x:c>
      <x:c r="E23" s="49" t="str">
        <x:v>Civil Engineering</x:v>
      </x:c>
      <x:c r="F23" s="73" t="n">
        <x:v>27</x:v>
      </x:c>
      <x:c r="G23" s="73" t="n">
        <x:v>16</x:v>
      </x:c>
      <x:c r="H23" s="73" t="n">
        <x:v>11</x:v>
      </x:c>
      <x:c r="I23" s="73"/>
      <x:c r="J23" s="73" t="n">
        <x:v>0</x:v>
      </x:c>
      <x:c r="K23" s="49" t="str">
        <x:v>Un-Aided Autonomous</x:v>
      </x:c>
      <x:c r="L23" s="49" t="str">
        <x:v>MS Seats : 16+ EWS : 11</x:v>
      </x:c>
      <x:c r="M23" s="49" t="str">
        <x:v>https://dse2025.mahacet.org.in/dse25/admin/allotment/cap2/1105_4.pdf</x:v>
      </x:c>
    </x:row>
    <x:row r="24">
      <x:c r="A24" s="49" t="str">
        <x:v>2025-26</x:v>
      </x:c>
      <x:c r="B24" s="63" t="n">
        <x:v>1105</x:v>
      </x:c>
      <x:c r="C24" s="49" t="str">
        <x:v>Prof. Ram Meghe Institute of Technology &amp; Research, Amravati</x:v>
      </x:c>
      <x:c r="D24" s="72" t="n">
        <x:v>110524210</x:v>
      </x:c>
      <x:c r="E24" s="49" t="str">
        <x:v>Computer Science and Engineering</x:v>
      </x:c>
      <x:c r="F24" s="73" t="n">
        <x:v>23</x:v>
      </x:c>
      <x:c r="G24" s="73" t="n">
        <x:v>21</x:v>
      </x:c>
      <x:c r="H24" s="73" t="n">
        <x:v>2</x:v>
      </x:c>
      <x:c r="I24" s="73"/>
      <x:c r="J24" s="73" t="n">
        <x:v>0</x:v>
      </x:c>
      <x:c r="K24" s="49" t="str">
        <x:v>Un-Aided Autonomous</x:v>
      </x:c>
      <x:c r="L24" s="49" t="str">
        <x:v>MS Seats : 21+ EWS : 2</x:v>
      </x:c>
      <x:c r="M24" s="49" t="str">
        <x:v>https://dse2025.mahacet.org.in/dse25/admin/allotment/cap2/1105_4.pdf</x:v>
      </x:c>
    </x:row>
    <x:row r="25">
      <x:c r="A25" s="49" t="str">
        <x:v>2025-26</x:v>
      </x:c>
      <x:c r="B25" s="63" t="n">
        <x:v>1105</x:v>
      </x:c>
      <x:c r="C25" s="49" t="str">
        <x:v>Prof. Ram Meghe Institute of Technology &amp; Research, Amravati</x:v>
      </x:c>
      <x:c r="D25" s="72" t="n">
        <x:v>110524610</x:v>
      </x:c>
      <x:c r="E25" s="49" t="str">
        <x:v>Information Technology</x:v>
      </x:c>
      <x:c r="F25" s="73" t="n">
        <x:v>15</x:v>
      </x:c>
      <x:c r="G25" s="73" t="n">
        <x:v>13</x:v>
      </x:c>
      <x:c r="H25" s="73" t="n">
        <x:v>2</x:v>
      </x:c>
      <x:c r="I25" s="73"/>
      <x:c r="J25" s="73" t="n">
        <x:v>0</x:v>
      </x:c>
      <x:c r="K25" s="49" t="str">
        <x:v>Un-Aided Autonomous</x:v>
      </x:c>
      <x:c r="L25" s="49" t="str">
        <x:v>MS Seats : 13+ EWS : 2</x:v>
      </x:c>
      <x:c r="M25" s="49" t="str">
        <x:v>https://dse2025.mahacet.org.in/dse25/admin/allotment/cap2/1105_4.pdf</x:v>
      </x:c>
    </x:row>
    <x:row r="26">
      <x:c r="A26" s="49" t="str">
        <x:v>2025-26</x:v>
      </x:c>
      <x:c r="B26" s="63" t="n">
        <x:v>1105</x:v>
      </x:c>
      <x:c r="C26" s="49" t="str">
        <x:v>Prof. Ram Meghe Institute of Technology &amp; Research, Amravati</x:v>
      </x:c>
      <x:c r="D26" s="72" t="n">
        <x:v>110526310</x:v>
      </x:c>
      <x:c r="E26" s="49" t="str">
        <x:v>Artificial Intelligence (AI) and Data Science</x:v>
      </x:c>
      <x:c r="F26" s="73" t="n">
        <x:v>16</x:v>
      </x:c>
      <x:c r="G26" s="73" t="n">
        <x:v>13</x:v>
      </x:c>
      <x:c r="H26" s="73" t="n">
        <x:v>3</x:v>
      </x:c>
      <x:c r="I26" s="73"/>
      <x:c r="J26" s="73" t="n">
        <x:v>0</x:v>
      </x:c>
      <x:c r="K26" s="49" t="str">
        <x:v>Un-Aided Autonomous</x:v>
      </x:c>
      <x:c r="L26" s="49" t="str">
        <x:v>MS Seats : 13+ EWS : 3</x:v>
      </x:c>
      <x:c r="M26" s="49" t="str">
        <x:v>https://dse2025.mahacet.org.in/dse25/admin/allotment/cap2/1105_4.pdf</x:v>
      </x:c>
    </x:row>
    <x:row r="27">
      <x:c r="A27" s="49" t="str">
        <x:v>2025-26</x:v>
      </x:c>
      <x:c r="B27" s="63" t="n">
        <x:v>1105</x:v>
      </x:c>
      <x:c r="C27" s="49" t="str">
        <x:v>Prof. Ram Meghe Institute of Technology &amp; Research, Amravati</x:v>
      </x:c>
      <x:c r="D27" s="72" t="n">
        <x:v>110526710</x:v>
      </x:c>
      <x:c r="E27" s="49" t="str">
        <x:v>Computer Science and Engineering (IoT)</x:v>
      </x:c>
      <x:c r="F27" s="73" t="n">
        <x:v>9</x:v>
      </x:c>
      <x:c r="G27" s="73" t="n">
        <x:v>7</x:v>
      </x:c>
      <x:c r="H27" s="73" t="n">
        <x:v>2</x:v>
      </x:c>
      <x:c r="I27" s="73"/>
      <x:c r="J27" s="73" t="n">
        <x:v>0</x:v>
      </x:c>
      <x:c r="K27" s="49" t="str">
        <x:v>Un-Aided Autonomous</x:v>
      </x:c>
      <x:c r="L27" s="49" t="str">
        <x:v>MS Seats : 7+ EWS : 2</x:v>
      </x:c>
      <x:c r="M27" s="49" t="str">
        <x:v>https://dse2025.mahacet.org.in/dse25/admin/allotment/cap2/1105_4.pdf</x:v>
      </x:c>
    </x:row>
    <x:row r="28">
      <x:c r="A28" s="49" t="str">
        <x:v>2025-26</x:v>
      </x:c>
      <x:c r="B28" s="63" t="n">
        <x:v>1105</x:v>
      </x:c>
      <x:c r="C28" s="49" t="str">
        <x:v>Prof. Ram Meghe Institute of Technology &amp; Research, Amravati</x:v>
      </x:c>
      <x:c r="D28" s="72" t="n">
        <x:v>110537210</x:v>
      </x:c>
      <x:c r="E28" s="49" t="str">
        <x:v>Electronics and Telecommunication Engg</x:v>
      </x:c>
      <x:c r="F28" s="73" t="n">
        <x:v>17</x:v>
      </x:c>
      <x:c r="G28" s="73" t="n">
        <x:v>15</x:v>
      </x:c>
      <x:c r="H28" s="73" t="n">
        <x:v>2</x:v>
      </x:c>
      <x:c r="I28" s="73"/>
      <x:c r="J28" s="73" t="n">
        <x:v>0</x:v>
      </x:c>
      <x:c r="K28" s="49" t="str">
        <x:v>Un-Aided Autonomous</x:v>
      </x:c>
      <x:c r="L28" s="49" t="str">
        <x:v>MS Seats : 15+ EWS : 2</x:v>
      </x:c>
      <x:c r="M28" s="49" t="str">
        <x:v>https://dse2025.mahacet.org.in/dse25/admin/allotment/cap2/1105_4.pdf</x:v>
      </x:c>
    </x:row>
    <x:row r="29">
      <x:c r="A29" s="49" t="str">
        <x:v>2025-26</x:v>
      </x:c>
      <x:c r="B29" s="63" t="n">
        <x:v>1105</x:v>
      </x:c>
      <x:c r="C29" s="49" t="str">
        <x:v>Prof. Ram Meghe Institute of Technology &amp; Research, Amravati</x:v>
      </x:c>
      <x:c r="D29" s="72" t="n">
        <x:v>110561210</x:v>
      </x:c>
      <x:c r="E29" s="49" t="str">
        <x:v>Mechanical Engineering</x:v>
      </x:c>
      <x:c r="F29" s="73" t="n">
        <x:v>30</x:v>
      </x:c>
      <x:c r="G29" s="73" t="n">
        <x:v>21</x:v>
      </x:c>
      <x:c r="H29" s="73" t="n">
        <x:v>9</x:v>
      </x:c>
      <x:c r="I29" s="73"/>
      <x:c r="J29" s="73" t="n">
        <x:v>0</x:v>
      </x:c>
      <x:c r="K29" s="49" t="str">
        <x:v>Un-Aided Autonomous</x:v>
      </x:c>
      <x:c r="L29" s="49" t="str">
        <x:v>MS Seats : 21+ EWS : 9</x:v>
      </x:c>
      <x:c r="M29" s="49" t="str">
        <x:v>https://dse2025.mahacet.org.in/dse25/admin/allotment/cap2/1105_4.pdf</x:v>
      </x:c>
    </x:row>
    <x:row r="30">
      <x:c r="A30" s="49" t="str">
        <x:v>2025-26</x:v>
      </x:c>
      <x:c r="B30" s="63" t="n">
        <x:v>1107</x:v>
      </x:c>
      <x:c r="C30" s="49" t="str">
        <x:v>P. R. Pote Patil College of Engineering &amp; Management, Amravati</x:v>
      </x:c>
      <x:c r="D30" s="72" t="n">
        <x:v>110719110</x:v>
      </x:c>
      <x:c r="E30" s="49" t="str">
        <x:v>Civil Engineering</x:v>
      </x:c>
      <x:c r="F30" s="73" t="n">
        <x:v>20</x:v>
      </x:c>
      <x:c r="G30" s="73" t="n">
        <x:v>16</x:v>
      </x:c>
      <x:c r="H30" s="73" t="n">
        <x:v>4</x:v>
      </x:c>
      <x:c r="I30" s="73"/>
      <x:c r="J30" s="73" t="n">
        <x:v>0</x:v>
      </x:c>
      <x:c r="K30" s="49" t="str">
        <x:v>Un-Aided Autonomous</x:v>
      </x:c>
      <x:c r="L30" s="49" t="str">
        <x:v>MS Seats : 16+ EWS : 4</x:v>
      </x:c>
      <x:c r="M30" s="49" t="str">
        <x:v>https://dse2025.mahacet.org.in/dse25/admin/allotment/cap2/1107_4.pdf</x:v>
      </x:c>
    </x:row>
    <x:row r="31">
      <x:c r="A31" s="49" t="str">
        <x:v>2025-26</x:v>
      </x:c>
      <x:c r="B31" s="63" t="n">
        <x:v>1107</x:v>
      </x:c>
      <x:c r="C31" s="49" t="str">
        <x:v>P. R. Pote Patil College of Engineering &amp; Management, Amravati</x:v>
      </x:c>
      <x:c r="D31" s="72" t="n">
        <x:v>110724210</x:v>
      </x:c>
      <x:c r="E31" s="49" t="str">
        <x:v>Computer Science and Engineering</x:v>
      </x:c>
      <x:c r="F31" s="73" t="n">
        <x:v>23</x:v>
      </x:c>
      <x:c r="G31" s="73" t="n">
        <x:v>21</x:v>
      </x:c>
      <x:c r="H31" s="73" t="n">
        <x:v>2</x:v>
      </x:c>
      <x:c r="I31" s="73"/>
      <x:c r="J31" s="73" t="n">
        <x:v>0</x:v>
      </x:c>
      <x:c r="K31" s="49" t="str">
        <x:v>Un-Aided Autonomous</x:v>
      </x:c>
      <x:c r="L31" s="49" t="str">
        <x:v>MS Seats : 21+ EWS : 2</x:v>
      </x:c>
      <x:c r="M31" s="49" t="str">
        <x:v>https://dse2025.mahacet.org.in/dse25/admin/allotment/cap2/1107_4.pdf</x:v>
      </x:c>
    </x:row>
    <x:row r="32">
      <x:c r="A32" s="49" t="str">
        <x:v>2025-26</x:v>
      </x:c>
      <x:c r="B32" s="63" t="n">
        <x:v>1107</x:v>
      </x:c>
      <x:c r="C32" s="49" t="str">
        <x:v>P. R. Pote Patil College of Engineering &amp; Management, Amravati</x:v>
      </x:c>
      <x:c r="D32" s="72" t="n">
        <x:v>110729310</x:v>
      </x:c>
      <x:c r="E32" s="49" t="str">
        <x:v>Electrical Engineering</x:v>
      </x:c>
      <x:c r="F32" s="73" t="n">
        <x:v>14</x:v>
      </x:c>
      <x:c r="G32" s="73" t="n">
        <x:v>12</x:v>
      </x:c>
      <x:c r="H32" s="73" t="n">
        <x:v>2</x:v>
      </x:c>
      <x:c r="I32" s="73"/>
      <x:c r="J32" s="73" t="n">
        <x:v>0</x:v>
      </x:c>
      <x:c r="K32" s="49" t="str">
        <x:v>Un-Aided Autonomous</x:v>
      </x:c>
      <x:c r="L32" s="49" t="str">
        <x:v>MS Seats : 12+ EWS : 2</x:v>
      </x:c>
      <x:c r="M32" s="49" t="str">
        <x:v>https://dse2025.mahacet.org.in/dse25/admin/allotment/cap2/1107_4.pdf</x:v>
      </x:c>
    </x:row>
    <x:row r="33">
      <x:c r="A33" s="49" t="str">
        <x:v>2025-26</x:v>
      </x:c>
      <x:c r="B33" s="63" t="n">
        <x:v>1107</x:v>
      </x:c>
      <x:c r="C33" s="49" t="str">
        <x:v>P. R. Pote Patil College of Engineering &amp; Management, Amravati</x:v>
      </x:c>
      <x:c r="D33" s="72" t="n">
        <x:v>110737210</x:v>
      </x:c>
      <x:c r="E33" s="49" t="str">
        <x:v>Electronics and Telecommunication Engg</x:v>
      </x:c>
      <x:c r="F33" s="73" t="n">
        <x:v>12</x:v>
      </x:c>
      <x:c r="G33" s="73" t="n">
        <x:v>11</x:v>
      </x:c>
      <x:c r="H33" s="73" t="n">
        <x:v>1</x:v>
      </x:c>
      <x:c r="I33" s="73"/>
      <x:c r="J33" s="73" t="n">
        <x:v>0</x:v>
      </x:c>
      <x:c r="K33" s="49" t="str">
        <x:v>Un-Aided Autonomous</x:v>
      </x:c>
      <x:c r="L33" s="49" t="str">
        <x:v>MS Seats : 11+ EWS : 1</x:v>
      </x:c>
      <x:c r="M33" s="49" t="str">
        <x:v>https://dse2025.mahacet.org.in/dse25/admin/allotment/cap2/1107_4.pdf</x:v>
      </x:c>
    </x:row>
    <x:row r="34">
      <x:c r="A34" s="49" t="str">
        <x:v>2025-26</x:v>
      </x:c>
      <x:c r="B34" s="63" t="n">
        <x:v>1107</x:v>
      </x:c>
      <x:c r="C34" s="49" t="str">
        <x:v>P. R. Pote Patil College of Engineering &amp; Management, Amravati</x:v>
      </x:c>
      <x:c r="D34" s="72" t="n">
        <x:v>110761210</x:v>
      </x:c>
      <x:c r="E34" s="49" t="str">
        <x:v>Mechanical Engineering</x:v>
      </x:c>
      <x:c r="F34" s="73" t="n">
        <x:v>24</x:v>
      </x:c>
      <x:c r="G34" s="73" t="n">
        <x:v>17</x:v>
      </x:c>
      <x:c r="H34" s="73" t="n">
        <x:v>7</x:v>
      </x:c>
      <x:c r="I34" s="73"/>
      <x:c r="J34" s="73" t="n">
        <x:v>0</x:v>
      </x:c>
      <x:c r="K34" s="49" t="str">
        <x:v>Un-Aided Autonomous</x:v>
      </x:c>
      <x:c r="L34" s="49" t="str">
        <x:v>MS Seats : 17+ EWS : 7</x:v>
      </x:c>
      <x:c r="M34" s="49" t="str">
        <x:v>https://dse2025.mahacet.org.in/dse25/admin/allotment/cap2/1107_4.pdf</x:v>
      </x:c>
    </x:row>
    <x:row r="35">
      <x:c r="A35" s="49" t="str">
        <x:v>2025-26</x:v>
      </x:c>
      <x:c r="B35" s="63" t="n">
        <x:v>1107</x:v>
      </x:c>
      <x:c r="C35" s="49" t="str">
        <x:v>P. R. Pote Patil College of Engineering &amp; Management, Amravati</x:v>
      </x:c>
      <x:c r="D35" s="72" t="n">
        <x:v>110791110</x:v>
      </x:c>
      <x:c r="E35" s="49" t="str">
        <x:v>Computer Science and Engineering(Artificial Intelligence and Machine Learning)</x:v>
      </x:c>
      <x:c r="F35" s="73" t="n">
        <x:v>25</x:v>
      </x:c>
      <x:c r="G35" s="73" t="n">
        <x:v>21</x:v>
      </x:c>
      <x:c r="H35" s="73" t="n">
        <x:v>4</x:v>
      </x:c>
      <x:c r="I35" s="73"/>
      <x:c r="J35" s="73" t="n">
        <x:v>0</x:v>
      </x:c>
      <x:c r="K35" s="49" t="str">
        <x:v>Un-Aided Autonomous</x:v>
      </x:c>
      <x:c r="L35" s="49" t="str">
        <x:v>MS Seats : 21+ EWS : 4</x:v>
      </x:c>
      <x:c r="M35" s="49" t="str">
        <x:v>https://dse2025.mahacet.org.in/dse25/admin/allotment/cap2/1107_4.pdf</x:v>
      </x:c>
    </x:row>
    <x:row r="36">
      <x:c r="A36" s="49" t="str">
        <x:v>2025-26</x:v>
      </x:c>
      <x:c r="B36" s="63" t="n">
        <x:v>1107</x:v>
      </x:c>
      <x:c r="C36" s="49" t="str">
        <x:v>P. R. Pote Patil College of Engineering &amp; Management, Amravati</x:v>
      </x:c>
      <x:c r="D36" s="72" t="n">
        <x:v>110799510</x:v>
      </x:c>
      <x:c r="E36" s="49" t="str">
        <x:v>Artificial Intelligence and Data Science</x:v>
      </x:c>
      <x:c r="F36" s="73" t="n">
        <x:v>23</x:v>
      </x:c>
      <x:c r="G36" s="73" t="n">
        <x:v>21</x:v>
      </x:c>
      <x:c r="H36" s="73" t="n">
        <x:v>2</x:v>
      </x:c>
      <x:c r="I36" s="73"/>
      <x:c r="J36" s="73" t="n">
        <x:v>0</x:v>
      </x:c>
      <x:c r="K36" s="49" t="str">
        <x:v>Un-Aided Autonomous</x:v>
      </x:c>
      <x:c r="L36" s="49" t="str">
        <x:v>MS Seats : 21+ EWS : 2</x:v>
      </x:c>
      <x:c r="M36" s="49" t="str">
        <x:v>https://dse2025.mahacet.org.in/dse25/admin/allotment/cap2/1107_4.pdf</x:v>
      </x:c>
    </x:row>
    <x:row r="37">
      <x:c r="A37" s="49" t="str">
        <x:v>2025-26</x:v>
      </x:c>
      <x:c r="B37" s="63" t="n">
        <x:v>1114</x:v>
      </x:c>
      <x:c r="C37" s="49" t="str">
        <x:v>Sipna Shikshan Prasarak Mandal College of Engineering &amp; Technology, Amravati</x:v>
      </x:c>
      <x:c r="D37" s="72" t="n">
        <x:v>111419110</x:v>
      </x:c>
      <x:c r="E37" s="49" t="str">
        <x:v>Civil Engineering</x:v>
      </x:c>
      <x:c r="F37" s="73" t="n">
        <x:v>15</x:v>
      </x:c>
      <x:c r="G37" s="73" t="n">
        <x:v>11</x:v>
      </x:c>
      <x:c r="H37" s="73" t="n">
        <x:v>4</x:v>
      </x:c>
      <x:c r="I37" s="73"/>
      <x:c r="J37" s="73" t="n">
        <x:v>0</x:v>
      </x:c>
      <x:c r="K37" s="49" t="str">
        <x:v>Un-Aided Autonomous</x:v>
      </x:c>
      <x:c r="L37" s="49" t="str">
        <x:v>MS Seats : 11+ EWS : 4</x:v>
      </x:c>
      <x:c r="M37" s="49" t="str">
        <x:v>https://dse2025.mahacet.org.in/dse25/admin/allotment/cap2/1114_4.pdf</x:v>
      </x:c>
    </x:row>
    <x:row r="38">
      <x:c r="A38" s="49" t="str">
        <x:v>2025-26</x:v>
      </x:c>
      <x:c r="B38" s="63" t="n">
        <x:v>1114</x:v>
      </x:c>
      <x:c r="C38" s="49" t="str">
        <x:v>Sipna Shikshan Prasarak Mandal College of Engineering &amp; Technology, Amravati</x:v>
      </x:c>
      <x:c r="D38" s="72" t="n">
        <x:v>111424210</x:v>
      </x:c>
      <x:c r="E38" s="49" t="str">
        <x:v>Computer Science and Engineering</x:v>
      </x:c>
      <x:c r="F38" s="73" t="n">
        <x:v>25</x:v>
      </x:c>
      <x:c r="G38" s="73" t="n">
        <x:v>23</x:v>
      </x:c>
      <x:c r="H38" s="73" t="n">
        <x:v>2</x:v>
      </x:c>
      <x:c r="I38" s="73"/>
      <x:c r="J38" s="73" t="n">
        <x:v>0</x:v>
      </x:c>
      <x:c r="K38" s="49" t="str">
        <x:v>Un-Aided Autonomous</x:v>
      </x:c>
      <x:c r="L38" s="49" t="str">
        <x:v>MS Seats : 23+ EWS : 2</x:v>
      </x:c>
      <x:c r="M38" s="49" t="str">
        <x:v>https://dse2025.mahacet.org.in/dse25/admin/allotment/cap2/1114_4.pdf</x:v>
      </x:c>
    </x:row>
    <x:row r="39">
      <x:c r="A39" s="49" t="str">
        <x:v>2025-26</x:v>
      </x:c>
      <x:c r="B39" s="63" t="n">
        <x:v>1114</x:v>
      </x:c>
      <x:c r="C39" s="49" t="str">
        <x:v>Sipna Shikshan Prasarak Mandal College of Engineering &amp; Technology, Amravati</x:v>
      </x:c>
      <x:c r="D39" s="72" t="n">
        <x:v>111424610</x:v>
      </x:c>
      <x:c r="E39" s="49" t="str">
        <x:v>Information Technology</x:v>
      </x:c>
      <x:c r="F39" s="73" t="n">
        <x:v>19</x:v>
      </x:c>
      <x:c r="G39" s="73" t="n">
        <x:v>16</x:v>
      </x:c>
      <x:c r="H39" s="73" t="n">
        <x:v>3</x:v>
      </x:c>
      <x:c r="I39" s="73"/>
      <x:c r="J39" s="73" t="n">
        <x:v>0</x:v>
      </x:c>
      <x:c r="K39" s="49" t="str">
        <x:v>Un-Aided Autonomous</x:v>
      </x:c>
      <x:c r="L39" s="49" t="str">
        <x:v>MS Seats : 16+ EWS : 3</x:v>
      </x:c>
      <x:c r="M39" s="49" t="str">
        <x:v>https://dse2025.mahacet.org.in/dse25/admin/allotment/cap2/1114_4.pdf</x:v>
      </x:c>
    </x:row>
    <x:row r="40">
      <x:c r="A40" s="49" t="str">
        <x:v>2025-26</x:v>
      </x:c>
      <x:c r="B40" s="63" t="n">
        <x:v>1114</x:v>
      </x:c>
      <x:c r="C40" s="49" t="str">
        <x:v>Sipna Shikshan Prasarak Mandal College of Engineering &amp; Technology, Amravati</x:v>
      </x:c>
      <x:c r="D40" s="72" t="n">
        <x:v>111426310</x:v>
      </x:c>
      <x:c r="E40" s="49" t="str">
        <x:v>Artificial Intelligence (AI) and Data Science</x:v>
      </x:c>
      <x:c r="F40" s="73" t="n">
        <x:v>10</x:v>
      </x:c>
      <x:c r="G40" s="73" t="n">
        <x:v>8</x:v>
      </x:c>
      <x:c r="H40" s="73" t="n">
        <x:v>2</x:v>
      </x:c>
      <x:c r="I40" s="73"/>
      <x:c r="J40" s="73" t="n">
        <x:v>0</x:v>
      </x:c>
      <x:c r="K40" s="49" t="str">
        <x:v>Un-Aided Autonomous</x:v>
      </x:c>
      <x:c r="L40" s="49" t="str">
        <x:v>MS Seats : 8+ EWS : 2</x:v>
      </x:c>
      <x:c r="M40" s="49" t="str">
        <x:v>https://dse2025.mahacet.org.in/dse25/admin/allotment/cap2/1114_4.pdf</x:v>
      </x:c>
    </x:row>
    <x:row r="41">
      <x:c r="A41" s="49" t="str">
        <x:v>2025-26</x:v>
      </x:c>
      <x:c r="B41" s="63" t="n">
        <x:v>1114</x:v>
      </x:c>
      <x:c r="C41" s="49" t="str">
        <x:v>Sipna Shikshan Prasarak Mandal College of Engineering &amp; Technology, Amravati</x:v>
      </x:c>
      <x:c r="D41" s="72" t="n">
        <x:v>111437210</x:v>
      </x:c>
      <x:c r="E41" s="49" t="str">
        <x:v>Electronics and Telecommunication Engg</x:v>
      </x:c>
      <x:c r="F41" s="73" t="n">
        <x:v>20</x:v>
      </x:c>
      <x:c r="G41" s="73" t="n">
        <x:v>16</x:v>
      </x:c>
      <x:c r="H41" s="73" t="n">
        <x:v>4</x:v>
      </x:c>
      <x:c r="I41" s="73"/>
      <x:c r="J41" s="73" t="n">
        <x:v>0</x:v>
      </x:c>
      <x:c r="K41" s="49" t="str">
        <x:v>Un-Aided Autonomous</x:v>
      </x:c>
      <x:c r="L41" s="49" t="str">
        <x:v>MS Seats : 16+ EWS : 4</x:v>
      </x:c>
      <x:c r="M41" s="49" t="str">
        <x:v>https://dse2025.mahacet.org.in/dse25/admin/allotment/cap2/1114_4.pdf</x:v>
      </x:c>
    </x:row>
    <x:row r="42">
      <x:c r="A42" s="49" t="str">
        <x:v>2025-26</x:v>
      </x:c>
      <x:c r="B42" s="63" t="n">
        <x:v>1114</x:v>
      </x:c>
      <x:c r="C42" s="49" t="str">
        <x:v>Sipna Shikshan Prasarak Mandal College of Engineering &amp; Technology, Amravati</x:v>
      </x:c>
      <x:c r="D42" s="72" t="n">
        <x:v>111461210</x:v>
      </x:c>
      <x:c r="E42" s="49" t="str">
        <x:v>Mechanical Engineering</x:v>
      </x:c>
      <x:c r="F42" s="73" t="n">
        <x:v>13</x:v>
      </x:c>
      <x:c r="G42" s="73" t="n">
        <x:v>8</x:v>
      </x:c>
      <x:c r="H42" s="73" t="n">
        <x:v>5</x:v>
      </x:c>
      <x:c r="I42" s="73"/>
      <x:c r="J42" s="73" t="n">
        <x:v>0</x:v>
      </x:c>
      <x:c r="K42" s="49" t="str">
        <x:v>Un-Aided Autonomous</x:v>
      </x:c>
      <x:c r="L42" s="49" t="str">
        <x:v>MS Seats : 8+ EWS : 5</x:v>
      </x:c>
      <x:c r="M42" s="49" t="str">
        <x:v>https://dse2025.mahacet.org.in/dse25/admin/allotment/cap2/1114_4.pdf</x:v>
      </x:c>
    </x:row>
    <x:row r="43">
      <x:c r="A43" s="49" t="str">
        <x:v>2025-26</x:v>
      </x:c>
      <x:c r="B43" s="63" t="n">
        <x:v>1116</x:v>
      </x:c>
      <x:c r="C43" s="49" t="str">
        <x:v>Shri Shivaji Education Society's College of Engineering and Technology, Akola</x:v>
      </x:c>
      <x:c r="D43" s="72" t="n">
        <x:v>111619110</x:v>
      </x:c>
      <x:c r="E43" s="49" t="str">
        <x:v>Civil Engineering</x:v>
      </x:c>
      <x:c r="F43" s="73" t="n">
        <x:v>14</x:v>
      </x:c>
      <x:c r="G43" s="73" t="n">
        <x:v>10</x:v>
      </x:c>
      <x:c r="H43" s="73" t="n">
        <x:v>4</x:v>
      </x:c>
      <x:c r="I43" s="73"/>
      <x:c r="J43" s="73" t="n">
        <x:v>0</x:v>
      </x:c>
      <x:c r="K43" s="49" t="str">
        <x:v>Un-Aided</x:v>
      </x:c>
      <x:c r="L43" s="49" t="str">
        <x:v>MS Seats : 10+ EWS : 4</x:v>
      </x:c>
      <x:c r="M43" s="49" t="str">
        <x:v>https://dse2025.mahacet.org.in/dse25/admin/allotment/cap2/1116_4.pdf</x:v>
      </x:c>
    </x:row>
    <x:row r="44">
      <x:c r="A44" s="49" t="str">
        <x:v>2025-26</x:v>
      </x:c>
      <x:c r="B44" s="63" t="n">
        <x:v>1116</x:v>
      </x:c>
      <x:c r="C44" s="49" t="str">
        <x:v>Shri Shivaji Education Society's College of Engineering and Technology, Akola</x:v>
      </x:c>
      <x:c r="D44" s="72" t="n">
        <x:v>111624210</x:v>
      </x:c>
      <x:c r="E44" s="49" t="str">
        <x:v>Computer Science and Engineering</x:v>
      </x:c>
      <x:c r="F44" s="73" t="n">
        <x:v>19</x:v>
      </x:c>
      <x:c r="G44" s="73" t="n">
        <x:v>15</x:v>
      </x:c>
      <x:c r="H44" s="73" t="n">
        <x:v>4</x:v>
      </x:c>
      <x:c r="I44" s="73"/>
      <x:c r="J44" s="73" t="n">
        <x:v>0</x:v>
      </x:c>
      <x:c r="K44" s="49" t="str">
        <x:v>Un-Aided</x:v>
      </x:c>
      <x:c r="L44" s="49" t="str">
        <x:v>MS Seats : 15+ EWS : 4</x:v>
      </x:c>
      <x:c r="M44" s="49" t="str">
        <x:v>https://dse2025.mahacet.org.in/dse25/admin/allotment/cap2/1116_4.pdf</x:v>
      </x:c>
    </x:row>
    <x:row r="45">
      <x:c r="A45" s="49" t="str">
        <x:v>2025-26</x:v>
      </x:c>
      <x:c r="B45" s="63" t="n">
        <x:v>1116</x:v>
      </x:c>
      <x:c r="C45" s="49" t="str">
        <x:v>Shri Shivaji Education Society's College of Engineering and Technology, Akola</x:v>
      </x:c>
      <x:c r="D45" s="72" t="n">
        <x:v>111624610</x:v>
      </x:c>
      <x:c r="E45" s="49" t="str">
        <x:v>Information Technology</x:v>
      </x:c>
      <x:c r="F45" s="73" t="n">
        <x:v>10</x:v>
      </x:c>
      <x:c r="G45" s="73" t="n">
        <x:v>9</x:v>
      </x:c>
      <x:c r="H45" s="73" t="n">
        <x:v>1</x:v>
      </x:c>
      <x:c r="I45" s="73"/>
      <x:c r="J45" s="73" t="n">
        <x:v>0</x:v>
      </x:c>
      <x:c r="K45" s="49" t="str">
        <x:v>Un-Aided</x:v>
      </x:c>
      <x:c r="L45" s="49" t="str">
        <x:v>MS Seats : 9+ EWS : 1</x:v>
      </x:c>
      <x:c r="M45" s="49" t="str">
        <x:v>https://dse2025.mahacet.org.in/dse25/admin/allotment/cap2/1116_4.pdf</x:v>
      </x:c>
    </x:row>
    <x:row r="46">
      <x:c r="A46" s="49" t="str">
        <x:v>2025-26</x:v>
      </x:c>
      <x:c r="B46" s="63" t="n">
        <x:v>1116</x:v>
      </x:c>
      <x:c r="C46" s="49" t="str">
        <x:v>Shri Shivaji Education Society's College of Engineering and Technology, Akola</x:v>
      </x:c>
      <x:c r="D46" s="72" t="n">
        <x:v>111650710</x:v>
      </x:c>
      <x:c r="E46" s="49" t="str">
        <x:v>Chemical Engineering</x:v>
      </x:c>
      <x:c r="F46" s="73" t="n">
        <x:v>12</x:v>
      </x:c>
      <x:c r="G46" s="73" t="n">
        <x:v>9</x:v>
      </x:c>
      <x:c r="H46" s="73" t="n">
        <x:v>3</x:v>
      </x:c>
      <x:c r="I46" s="73"/>
      <x:c r="J46" s="73" t="n">
        <x:v>0</x:v>
      </x:c>
      <x:c r="K46" s="49" t="str">
        <x:v>Un-Aided</x:v>
      </x:c>
      <x:c r="L46" s="49" t="str">
        <x:v>MS Seats : 9+ EWS : 3</x:v>
      </x:c>
      <x:c r="M46" s="49" t="str">
        <x:v>https://dse2025.mahacet.org.in/dse25/admin/allotment/cap2/1116_4.pdf</x:v>
      </x:c>
    </x:row>
    <x:row r="47">
      <x:c r="A47" s="49" t="str">
        <x:v>2025-26</x:v>
      </x:c>
      <x:c r="B47" s="63" t="n">
        <x:v>1116</x:v>
      </x:c>
      <x:c r="C47" s="49" t="str">
        <x:v>Shri Shivaji Education Society's College of Engineering and Technology, Akola</x:v>
      </x:c>
      <x:c r="D47" s="72" t="n">
        <x:v>111661210</x:v>
      </x:c>
      <x:c r="E47" s="49" t="str">
        <x:v>Mechanical Engineering</x:v>
      </x:c>
      <x:c r="F47" s="73" t="n">
        <x:v>16</x:v>
      </x:c>
      <x:c r="G47" s="73" t="n">
        <x:v>9</x:v>
      </x:c>
      <x:c r="H47" s="73" t="n">
        <x:v>7</x:v>
      </x:c>
      <x:c r="I47" s="73"/>
      <x:c r="J47" s="73" t="n">
        <x:v>0</x:v>
      </x:c>
      <x:c r="K47" s="49" t="str">
        <x:v>Un-Aided</x:v>
      </x:c>
      <x:c r="L47" s="49" t="str">
        <x:v>MS Seats : 9+ EWS : 7</x:v>
      </x:c>
      <x:c r="M47" s="49" t="str">
        <x:v>https://dse2025.mahacet.org.in/dse25/admin/allotment/cap2/1116_4.pdf</x:v>
      </x:c>
    </x:row>
    <x:row r="48">
      <x:c r="A48" s="49" t="str">
        <x:v>2025-26</x:v>
      </x:c>
      <x:c r="B48" s="63" t="n">
        <x:v>1117</x:v>
      </x:c>
      <x:c r="C48" s="49" t="str">
        <x:v>Janata Shikshan Prasarak Mandals Babasaheb Naik College Of Engineering, Pusad</x:v>
      </x:c>
      <x:c r="D48" s="72" t="n">
        <x:v>111719110</x:v>
      </x:c>
      <x:c r="E48" s="49" t="str">
        <x:v>Civil Engineering</x:v>
      </x:c>
      <x:c r="F48" s="73" t="n">
        <x:v>13</x:v>
      </x:c>
      <x:c r="G48" s="73" t="n">
        <x:v>9</x:v>
      </x:c>
      <x:c r="H48" s="73" t="n">
        <x:v>4</x:v>
      </x:c>
      <x:c r="I48" s="73"/>
      <x:c r="J48" s="73" t="n">
        <x:v>0</x:v>
      </x:c>
      <x:c r="K48" s="49" t="str">
        <x:v>Un-Aided</x:v>
      </x:c>
      <x:c r="L48" s="49" t="str">
        <x:v>MS Seats : 9+ EWS : 4</x:v>
      </x:c>
      <x:c r="M48" s="49" t="str">
        <x:v>https://dse2025.mahacet.org.in/dse25/admin/allotment/cap2/1117_4.pdf</x:v>
      </x:c>
    </x:row>
    <x:row r="49">
      <x:c r="A49" s="49" t="str">
        <x:v>2025-26</x:v>
      </x:c>
      <x:c r="B49" s="63" t="n">
        <x:v>1117</x:v>
      </x:c>
      <x:c r="C49" s="49" t="str">
        <x:v>Janata Shikshan Prasarak Mandals Babasaheb Naik College Of Engineering, Pusad</x:v>
      </x:c>
      <x:c r="D49" s="72" t="n">
        <x:v>111724210</x:v>
      </x:c>
      <x:c r="E49" s="49" t="str">
        <x:v>Computer Science and Engineering</x:v>
      </x:c>
      <x:c r="F49" s="73" t="n">
        <x:v>49</x:v>
      </x:c>
      <x:c r="G49" s="73" t="n">
        <x:v>43</x:v>
      </x:c>
      <x:c r="H49" s="73" t="n">
        <x:v>6</x:v>
      </x:c>
      <x:c r="I49" s="73"/>
      <x:c r="J49" s="73" t="n">
        <x:v>0</x:v>
      </x:c>
      <x:c r="K49" s="49" t="str">
        <x:v>Un-Aided</x:v>
      </x:c>
      <x:c r="L49" s="49" t="str">
        <x:v>MS Seats : 43+ EWS : 6</x:v>
      </x:c>
      <x:c r="M49" s="49" t="str">
        <x:v>https://dse2025.mahacet.org.in/dse25/admin/allotment/cap2/1117_4.pdf</x:v>
      </x:c>
    </x:row>
    <x:row r="50">
      <x:c r="A50" s="49" t="str">
        <x:v>2025-26</x:v>
      </x:c>
      <x:c r="B50" s="63" t="n">
        <x:v>1117</x:v>
      </x:c>
      <x:c r="C50" s="49" t="str">
        <x:v>Janata Shikshan Prasarak Mandals Babasaheb Naik College Of Engineering, Pusad</x:v>
      </x:c>
      <x:c r="D50" s="72" t="n">
        <x:v>111735610</x:v>
      </x:c>
      <x:c r="E50" s="49" t="str">
        <x:v>Electrical Engg[Electronics and Power]</x:v>
      </x:c>
      <x:c r="F50" s="73" t="n">
        <x:v>15</x:v>
      </x:c>
      <x:c r="G50" s="73" t="n">
        <x:v>8</x:v>
      </x:c>
      <x:c r="H50" s="73" t="n">
        <x:v>7</x:v>
      </x:c>
      <x:c r="I50" s="73"/>
      <x:c r="J50" s="73" t="n">
        <x:v>0</x:v>
      </x:c>
      <x:c r="K50" s="49" t="str">
        <x:v>Un-Aided</x:v>
      </x:c>
      <x:c r="L50" s="49" t="str">
        <x:v>MS Seats : 8+ EWS : 7</x:v>
      </x:c>
      <x:c r="M50" s="49" t="str">
        <x:v>https://dse2025.mahacet.org.in/dse25/admin/allotment/cap2/1117_4.pdf</x:v>
      </x:c>
    </x:row>
    <x:row r="51">
      <x:c r="A51" s="49" t="str">
        <x:v>2025-26</x:v>
      </x:c>
      <x:c r="B51" s="63" t="n">
        <x:v>1117</x:v>
      </x:c>
      <x:c r="C51" s="49" t="str">
        <x:v>Janata Shikshan Prasarak Mandals Babasaheb Naik College Of Engineering, Pusad</x:v>
      </x:c>
      <x:c r="D51" s="72" t="n">
        <x:v>111761210</x:v>
      </x:c>
      <x:c r="E51" s="49" t="str">
        <x:v>Mechanical Engineering</x:v>
      </x:c>
      <x:c r="F51" s="73" t="n">
        <x:v>19</x:v>
      </x:c>
      <x:c r="G51" s="73" t="n">
        <x:v>12</x:v>
      </x:c>
      <x:c r="H51" s="73" t="n">
        <x:v>7</x:v>
      </x:c>
      <x:c r="I51" s="73"/>
      <x:c r="J51" s="73" t="n">
        <x:v>0</x:v>
      </x:c>
      <x:c r="K51" s="49" t="str">
        <x:v>Un-Aided</x:v>
      </x:c>
      <x:c r="L51" s="49" t="str">
        <x:v>MS Seats : 12+ EWS : 7</x:v>
      </x:c>
      <x:c r="M51" s="49" t="str">
        <x:v>https://dse2025.mahacet.org.in/dse25/admin/allotment/cap2/1117_4.pdf</x:v>
      </x:c>
    </x:row>
    <x:row r="52">
      <x:c r="A52" s="49" t="str">
        <x:v>2025-26</x:v>
      </x:c>
      <x:c r="B52" s="63" t="n">
        <x:v>1117</x:v>
      </x:c>
      <x:c r="C52" s="49" t="str">
        <x:v>Janata Shikshan Prasarak Mandals Babasaheb Naik College Of Engineering, Pusad</x:v>
      </x:c>
      <x:c r="D52" s="72" t="n">
        <x:v>111799510</x:v>
      </x:c>
      <x:c r="E52" s="49" t="str">
        <x:v>Artificial Intelligence and Data Science</x:v>
      </x:c>
      <x:c r="F52" s="73" t="n">
        <x:v>18</x:v>
      </x:c>
      <x:c r="G52" s="73" t="n">
        <x:v>16</x:v>
      </x:c>
      <x:c r="H52" s="73" t="n">
        <x:v>2</x:v>
      </x:c>
      <x:c r="I52" s="73"/>
      <x:c r="J52" s="73" t="n">
        <x:v>0</x:v>
      </x:c>
      <x:c r="K52" s="49" t="str">
        <x:v>Un-Aided</x:v>
      </x:c>
      <x:c r="L52" s="49" t="str">
        <x:v>MS Seats : 16+ EWS : 2</x:v>
      </x:c>
      <x:c r="M52" s="49" t="str">
        <x:v>https://dse2025.mahacet.org.in/dse25/admin/allotment/cap2/1117_4.pdf</x:v>
      </x:c>
    </x:row>
    <x:row r="53">
      <x:c r="A53" s="49" t="str">
        <x:v>2025-26</x:v>
      </x:c>
      <x:c r="B53" s="63" t="n">
        <x:v>1119</x:v>
      </x:c>
      <x:c r="C53" s="49" t="str">
        <x:v>ANURADHA COLLEGE OF ENGINEERING &amp; TECHNOLOGY</x:v>
      </x:c>
      <x:c r="D53" s="72" t="n">
        <x:v>111924210</x:v>
      </x:c>
      <x:c r="E53" s="49" t="str">
        <x:v>Computer Science and Engineering</x:v>
      </x:c>
      <x:c r="F53" s="73" t="n">
        <x:v>13</x:v>
      </x:c>
      <x:c r="G53" s="73" t="n">
        <x:v>12</x:v>
      </x:c>
      <x:c r="H53" s="73" t="n">
        <x:v>1</x:v>
      </x:c>
      <x:c r="I53" s="73"/>
      <x:c r="J53" s="73" t="n">
        <x:v>0</x:v>
      </x:c>
      <x:c r="K53" s="49" t="str">
        <x:v>Un-Aided</x:v>
      </x:c>
      <x:c r="L53" s="49" t="str">
        <x:v>MS Seats : 12+ EWS : 1</x:v>
      </x:c>
      <x:c r="M53" s="49" t="str">
        <x:v>https://dse2025.mahacet.org.in/dse25/admin/allotment/cap2/1119_4.pdf</x:v>
      </x:c>
    </x:row>
    <x:row r="54">
      <x:c r="A54" s="49" t="str">
        <x:v>2025-26</x:v>
      </x:c>
      <x:c r="B54" s="63" t="n">
        <x:v>1119</x:v>
      </x:c>
      <x:c r="C54" s="49" t="str">
        <x:v>ANURADHA COLLEGE OF ENGINEERING &amp; TECHNOLOGY</x:v>
      </x:c>
      <x:c r="D54" s="72" t="n">
        <x:v>111924610</x:v>
      </x:c>
      <x:c r="E54" s="49" t="str">
        <x:v>Information Technology</x:v>
      </x:c>
      <x:c r="F54" s="73" t="n">
        <x:v>17</x:v>
      </x:c>
      <x:c r="G54" s="73" t="n">
        <x:v>16</x:v>
      </x:c>
      <x:c r="H54" s="73" t="n">
        <x:v>1</x:v>
      </x:c>
      <x:c r="I54" s="73"/>
      <x:c r="J54" s="73" t="n">
        <x:v>0</x:v>
      </x:c>
      <x:c r="K54" s="49" t="str">
        <x:v>Un-Aided</x:v>
      </x:c>
      <x:c r="L54" s="49" t="str">
        <x:v>MS Seats : 16+ EWS : 1</x:v>
      </x:c>
      <x:c r="M54" s="49" t="str">
        <x:v>https://dse2025.mahacet.org.in/dse25/admin/allotment/cap2/1119_4.pdf</x:v>
      </x:c>
    </x:row>
    <x:row r="55">
      <x:c r="A55" s="49" t="str">
        <x:v>2025-26</x:v>
      </x:c>
      <x:c r="B55" s="63" t="n">
        <x:v>1119</x:v>
      </x:c>
      <x:c r="C55" s="49" t="str">
        <x:v>ANURADHA COLLEGE OF ENGINEERING &amp; TECHNOLOGY</x:v>
      </x:c>
      <x:c r="D55" s="72" t="n">
        <x:v>111937210</x:v>
      </x:c>
      <x:c r="E55" s="49" t="str">
        <x:v>Electronics and Telecommunication Engg</x:v>
      </x:c>
      <x:c r="F55" s="73" t="n">
        <x:v>18</x:v>
      </x:c>
      <x:c r="G55" s="73" t="n">
        <x:v>12</x:v>
      </x:c>
      <x:c r="H55" s="73" t="n">
        <x:v>6</x:v>
      </x:c>
      <x:c r="I55" s="73"/>
      <x:c r="J55" s="73" t="n">
        <x:v>0</x:v>
      </x:c>
      <x:c r="K55" s="49" t="str">
        <x:v>Un-Aided</x:v>
      </x:c>
      <x:c r="L55" s="49" t="str">
        <x:v>MS Seats : 12+ EWS : 6</x:v>
      </x:c>
      <x:c r="M55" s="49" t="str">
        <x:v>https://dse2025.mahacet.org.in/dse25/admin/allotment/cap2/1119_4.pdf</x:v>
      </x:c>
    </x:row>
    <x:row r="56">
      <x:c r="A56" s="49" t="str">
        <x:v>2025-26</x:v>
      </x:c>
      <x:c r="B56" s="63" t="n">
        <x:v>1119</x:v>
      </x:c>
      <x:c r="C56" s="49" t="str">
        <x:v>ANURADHA COLLEGE OF ENGINEERING &amp; TECHNOLOGY</x:v>
      </x:c>
      <x:c r="D56" s="72" t="n">
        <x:v>111950710</x:v>
      </x:c>
      <x:c r="E56" s="49" t="str">
        <x:v>Chemical Engineering</x:v>
      </x:c>
      <x:c r="F56" s="73" t="n">
        <x:v>44</x:v>
      </x:c>
      <x:c r="G56" s="73" t="n">
        <x:v>38</x:v>
      </x:c>
      <x:c r="H56" s="73" t="n">
        <x:v>6</x:v>
      </x:c>
      <x:c r="I56" s="73"/>
      <x:c r="J56" s="73" t="n">
        <x:v>0</x:v>
      </x:c>
      <x:c r="K56" s="49" t="str">
        <x:v>Un-Aided</x:v>
      </x:c>
      <x:c r="L56" s="49" t="str">
        <x:v>MS Seats : 38+ EWS : 6</x:v>
      </x:c>
      <x:c r="M56" s="49" t="str">
        <x:v>https://dse2025.mahacet.org.in/dse25/admin/allotment/cap2/1119_4.pdf</x:v>
      </x:c>
    </x:row>
    <x:row r="57">
      <x:c r="A57" s="49" t="str">
        <x:v>2025-26</x:v>
      </x:c>
      <x:c r="B57" s="63" t="n">
        <x:v>1119</x:v>
      </x:c>
      <x:c r="C57" s="49" t="str">
        <x:v>ANURADHA COLLEGE OF ENGINEERING &amp; TECHNOLOGY</x:v>
      </x:c>
      <x:c r="D57" s="72" t="n">
        <x:v>111961210</x:v>
      </x:c>
      <x:c r="E57" s="49" t="str">
        <x:v>Mechanical Engineering</x:v>
      </x:c>
      <x:c r="F57" s="73" t="n">
        <x:v>29</x:v>
      </x:c>
      <x:c r="G57" s="73" t="n">
        <x:v>22</x:v>
      </x:c>
      <x:c r="H57" s="73" t="n">
        <x:v>7</x:v>
      </x:c>
      <x:c r="I57" s="73"/>
      <x:c r="J57" s="73" t="n">
        <x:v>0</x:v>
      </x:c>
      <x:c r="K57" s="49" t="str">
        <x:v>Un-Aided</x:v>
      </x:c>
      <x:c r="L57" s="49" t="str">
        <x:v>MS Seats : 22+ EWS : 7</x:v>
      </x:c>
      <x:c r="M57" s="49" t="str">
        <x:v>https://dse2025.mahacet.org.in/dse25/admin/allotment/cap2/1119_4.pdf</x:v>
      </x:c>
    </x:row>
    <x:row r="58">
      <x:c r="A58" s="49" t="str">
        <x:v>2025-26</x:v>
      </x:c>
      <x:c r="B58" s="63" t="n">
        <x:v>1120</x:v>
      </x:c>
      <x:c r="C58" s="49" t="str">
        <x:v>Jawaharlal Darda Institute of Engineering and Technology, Yavatmal</x:v>
      </x:c>
      <x:c r="D58" s="72" t="n">
        <x:v>112019110</x:v>
      </x:c>
      <x:c r="E58" s="49" t="str">
        <x:v>Civil Engineering</x:v>
      </x:c>
      <x:c r="F58" s="73" t="n">
        <x:v>9</x:v>
      </x:c>
      <x:c r="G58" s="73" t="n">
        <x:v>4</x:v>
      </x:c>
      <x:c r="H58" s="73"/>
      <x:c r="I58" s="73" t="n">
        <x:v>5</x:v>
      </x:c>
      <x:c r="J58" s="73" t="n">
        <x:v>0</x:v>
      </x:c>
      <x:c r="K58" s="49" t="str">
        <x:v>Un-Aided Linguistic Minority - Hindi</x:v>
      </x:c>
      <x:c r="L58" s="49" t="str">
        <x:v>MS Seats : 4 + Minority Seats : 5</x:v>
      </x:c>
      <x:c r="M58" s="49" t="str">
        <x:v>https://dse2025.mahacet.org.in/dse25/admin/allotment/cap2/1120_4.pdf</x:v>
      </x:c>
    </x:row>
    <x:row r="59">
      <x:c r="A59" s="49" t="str">
        <x:v>2025-26</x:v>
      </x:c>
      <x:c r="B59" s="63" t="n">
        <x:v>1120</x:v>
      </x:c>
      <x:c r="C59" s="49" t="str">
        <x:v>Jawaharlal Darda Institute of Engineering and Technology, Yavatmal</x:v>
      </x:c>
      <x:c r="D59" s="72" t="n">
        <x:v>112024210</x:v>
      </x:c>
      <x:c r="E59" s="49" t="str">
        <x:v>Computer Science and Engineering</x:v>
      </x:c>
      <x:c r="F59" s="73" t="n">
        <x:v>7</x:v>
      </x:c>
      <x:c r="G59" s="73" t="n">
        <x:v>3</x:v>
      </x:c>
      <x:c r="H59" s="73"/>
      <x:c r="I59" s="73" t="n">
        <x:v>4</x:v>
      </x:c>
      <x:c r="J59" s="73" t="n">
        <x:v>0</x:v>
      </x:c>
      <x:c r="K59" s="49" t="str">
        <x:v>Un-Aided Linguistic Minority - Hindi</x:v>
      </x:c>
      <x:c r="L59" s="49" t="str">
        <x:v>MS Seats : 3 + Minority Seats : 4</x:v>
      </x:c>
      <x:c r="M59" s="49" t="str">
        <x:v>https://dse2025.mahacet.org.in/dse25/admin/allotment/cap2/1120_4.pdf</x:v>
      </x:c>
    </x:row>
    <x:row r="60">
      <x:c r="A60" s="49" t="str">
        <x:v>2025-26</x:v>
      </x:c>
      <x:c r="B60" s="63" t="n">
        <x:v>1120</x:v>
      </x:c>
      <x:c r="C60" s="49" t="str">
        <x:v>Jawaharlal Darda Institute of Engineering and Technology, Yavatmal</x:v>
      </x:c>
      <x:c r="D60" s="72" t="n">
        <x:v>112029310</x:v>
      </x:c>
      <x:c r="E60" s="49" t="str">
        <x:v>Electrical Engineering</x:v>
      </x:c>
      <x:c r="F60" s="73" t="n">
        <x:v>10</x:v>
      </x:c>
      <x:c r="G60" s="73" t="n">
        <x:v>4</x:v>
      </x:c>
      <x:c r="H60" s="73"/>
      <x:c r="I60" s="73" t="n">
        <x:v>6</x:v>
      </x:c>
      <x:c r="J60" s="73" t="n">
        <x:v>0</x:v>
      </x:c>
      <x:c r="K60" s="49" t="str">
        <x:v>Un-Aided Linguistic Minority - Hindi</x:v>
      </x:c>
      <x:c r="L60" s="49" t="str">
        <x:v>MS Seats : 4 + Minority Seats : 6</x:v>
      </x:c>
      <x:c r="M60" s="49" t="str">
        <x:v>https://dse2025.mahacet.org.in/dse25/admin/allotment/cap2/1120_4.pdf</x:v>
      </x:c>
    </x:row>
    <x:row r="61">
      <x:c r="A61" s="49" t="str">
        <x:v>2025-26</x:v>
      </x:c>
      <x:c r="B61" s="63" t="n">
        <x:v>1120</x:v>
      </x:c>
      <x:c r="C61" s="49" t="str">
        <x:v>Jawaharlal Darda Institute of Engineering and Technology, Yavatmal</x:v>
      </x:c>
      <x:c r="D61" s="72" t="n">
        <x:v>112037210</x:v>
      </x:c>
      <x:c r="E61" s="49" t="str">
        <x:v>Electronics and Telecommunication Engg</x:v>
      </x:c>
      <x:c r="F61" s="73" t="n">
        <x:v>3</x:v>
      </x:c>
      <x:c r="G61" s="73" t="n">
        <x:v>1</x:v>
      </x:c>
      <x:c r="H61" s="73"/>
      <x:c r="I61" s="73" t="n">
        <x:v>2</x:v>
      </x:c>
      <x:c r="J61" s="73" t="n">
        <x:v>0</x:v>
      </x:c>
      <x:c r="K61" s="49" t="str">
        <x:v>Un-Aided Linguistic Minority - Hindi</x:v>
      </x:c>
      <x:c r="L61" s="49" t="str">
        <x:v>MS Seats : 1 + Minority Seats : 2</x:v>
      </x:c>
      <x:c r="M61" s="49" t="str">
        <x:v>https://dse2025.mahacet.org.in/dse25/admin/allotment/cap2/1120_4.pdf</x:v>
      </x:c>
    </x:row>
    <x:row r="62">
      <x:c r="A62" s="49" t="str">
        <x:v>2025-26</x:v>
      </x:c>
      <x:c r="B62" s="63" t="n">
        <x:v>1120</x:v>
      </x:c>
      <x:c r="C62" s="49" t="str">
        <x:v>Jawaharlal Darda Institute of Engineering and Technology, Yavatmal</x:v>
      </x:c>
      <x:c r="D62" s="72" t="n">
        <x:v>112050710</x:v>
      </x:c>
      <x:c r="E62" s="49" t="str">
        <x:v>Chemical Engineering</x:v>
      </x:c>
      <x:c r="F62" s="73" t="n">
        <x:v>7</x:v>
      </x:c>
      <x:c r="G62" s="73" t="n">
        <x:v>3</x:v>
      </x:c>
      <x:c r="H62" s="73"/>
      <x:c r="I62" s="73" t="n">
        <x:v>4</x:v>
      </x:c>
      <x:c r="J62" s="73" t="n">
        <x:v>0</x:v>
      </x:c>
      <x:c r="K62" s="49" t="str">
        <x:v>Un-Aided Linguistic Minority - Hindi</x:v>
      </x:c>
      <x:c r="L62" s="49" t="str">
        <x:v>MS Seats : 3 + Minority Seats : 4</x:v>
      </x:c>
      <x:c r="M62" s="49" t="str">
        <x:v>https://dse2025.mahacet.org.in/dse25/admin/allotment/cap2/1120_4.pdf</x:v>
      </x:c>
    </x:row>
    <x:row r="63">
      <x:c r="A63" s="49" t="str">
        <x:v>2025-26</x:v>
      </x:c>
      <x:c r="B63" s="63" t="n">
        <x:v>1120</x:v>
      </x:c>
      <x:c r="C63" s="49" t="str">
        <x:v>Jawaharlal Darda Institute of Engineering and Technology, Yavatmal</x:v>
      </x:c>
      <x:c r="D63" s="72" t="n">
        <x:v>112061210</x:v>
      </x:c>
      <x:c r="E63" s="49" t="str">
        <x:v>Mechanical Engineering</x:v>
      </x:c>
      <x:c r="F63" s="73" t="n">
        <x:v>11</x:v>
      </x:c>
      <x:c r="G63" s="73" t="n">
        <x:v>5</x:v>
      </x:c>
      <x:c r="H63" s="73"/>
      <x:c r="I63" s="73" t="n">
        <x:v>6</x:v>
      </x:c>
      <x:c r="J63" s="73" t="n">
        <x:v>0</x:v>
      </x:c>
      <x:c r="K63" s="49" t="str">
        <x:v>Un-Aided Linguistic Minority - Hindi</x:v>
      </x:c>
      <x:c r="L63" s="49" t="str">
        <x:v>MS Seats : 5 + Minority Seats : 6</x:v>
      </x:c>
      <x:c r="M63" s="49" t="str">
        <x:v>https://dse2025.mahacet.org.in/dse25/admin/allotment/cap2/1120_4.pdf</x:v>
      </x:c>
    </x:row>
    <x:row r="64">
      <x:c r="A64" s="49" t="str">
        <x:v>2025-26</x:v>
      </x:c>
      <x:c r="B64" s="63" t="n">
        <x:v>1120</x:v>
      </x:c>
      <x:c r="C64" s="49" t="str">
        <x:v>Jawaharlal Darda Institute of Engineering and Technology, Yavatmal</x:v>
      </x:c>
      <x:c r="D64" s="72" t="n">
        <x:v>112089310</x:v>
      </x:c>
      <x:c r="E64" s="49" t="str">
        <x:v>Textile Engineering / Technology</x:v>
      </x:c>
      <x:c r="F64" s="73" t="n">
        <x:v>5</x:v>
      </x:c>
      <x:c r="G64" s="73" t="n">
        <x:v>2</x:v>
      </x:c>
      <x:c r="H64" s="73"/>
      <x:c r="I64" s="73" t="n">
        <x:v>3</x:v>
      </x:c>
      <x:c r="J64" s="73" t="n">
        <x:v>0</x:v>
      </x:c>
      <x:c r="K64" s="49" t="str">
        <x:v>Un-Aided Linguistic Minority - Hindi</x:v>
      </x:c>
      <x:c r="L64" s="49" t="str">
        <x:v>MS Seats : 2 + Minority Seats : 3</x:v>
      </x:c>
      <x:c r="M64" s="49" t="str">
        <x:v>https://dse2025.mahacet.org.in/dse25/admin/allotment/cap2/1120_4.pdf</x:v>
      </x:c>
    </x:row>
    <x:row r="65">
      <x:c r="A65" s="49" t="str">
        <x:v>2025-26</x:v>
      </x:c>
      <x:c r="B65" s="63" t="n">
        <x:v>1121</x:v>
      </x:c>
      <x:c r="C65" s="49" t="str">
        <x:v>Shri Hanuman Vyayam Prasarak Mandals College of Engineering &amp; Technology, Amravati</x:v>
      </x:c>
      <x:c r="D65" s="72" t="n">
        <x:v>112124210</x:v>
      </x:c>
      <x:c r="E65" s="49" t="str">
        <x:v>Computer Science and Engineering</x:v>
      </x:c>
      <x:c r="F65" s="73" t="n">
        <x:v>8</x:v>
      </x:c>
      <x:c r="G65" s="73" t="n">
        <x:v>7</x:v>
      </x:c>
      <x:c r="H65" s="73" t="n">
        <x:v>1</x:v>
      </x:c>
      <x:c r="I65" s="73"/>
      <x:c r="J65" s="73" t="n">
        <x:v>0</x:v>
      </x:c>
      <x:c r="K65" s="49" t="str">
        <x:v>Un-Aided</x:v>
      </x:c>
      <x:c r="L65" s="49" t="str">
        <x:v>MS Seats : 7+ EWS : 1</x:v>
      </x:c>
      <x:c r="M65" s="49" t="str">
        <x:v>https://dse2025.mahacet.org.in/dse25/admin/allotment/cap2/1121_4.pdf</x:v>
      </x:c>
    </x:row>
    <x:row r="66">
      <x:c r="A66" s="49" t="str">
        <x:v>2025-26</x:v>
      </x:c>
      <x:c r="B66" s="63" t="n">
        <x:v>1121</x:v>
      </x:c>
      <x:c r="C66" s="49" t="str">
        <x:v>Shri Hanuman Vyayam Prasarak Mandals College of Engineering &amp; Technology, Amravati</x:v>
      </x:c>
      <x:c r="D66" s="72" t="n">
        <x:v>112124610</x:v>
      </x:c>
      <x:c r="E66" s="49" t="str">
        <x:v>Information Technology</x:v>
      </x:c>
      <x:c r="F66" s="73" t="n">
        <x:v>11</x:v>
      </x:c>
      <x:c r="G66" s="73" t="n">
        <x:v>9</x:v>
      </x:c>
      <x:c r="H66" s="73" t="n">
        <x:v>2</x:v>
      </x:c>
      <x:c r="I66" s="73"/>
      <x:c r="J66" s="73" t="n">
        <x:v>0</x:v>
      </x:c>
      <x:c r="K66" s="49" t="str">
        <x:v>Un-Aided</x:v>
      </x:c>
      <x:c r="L66" s="49" t="str">
        <x:v>MS Seats : 9+ EWS : 2</x:v>
      </x:c>
      <x:c r="M66" s="49" t="str">
        <x:v>https://dse2025.mahacet.org.in/dse25/admin/allotment/cap2/1121_4.pdf</x:v>
      </x:c>
    </x:row>
    <x:row r="67">
      <x:c r="A67" s="49" t="str">
        <x:v>2025-26</x:v>
      </x:c>
      <x:c r="B67" s="63" t="n">
        <x:v>1121</x:v>
      </x:c>
      <x:c r="C67" s="49" t="str">
        <x:v>Shri Hanuman Vyayam Prasarak Mandals College of Engineering &amp; Technology, Amravati</x:v>
      </x:c>
      <x:c r="D67" s="72" t="n">
        <x:v>112137210</x:v>
      </x:c>
      <x:c r="E67" s="49" t="str">
        <x:v>Electronics and Telecommunication Engg</x:v>
      </x:c>
      <x:c r="F67" s="73" t="n">
        <x:v>14</x:v>
      </x:c>
      <x:c r="G67" s="73" t="n">
        <x:v>7</x:v>
      </x:c>
      <x:c r="H67" s="73" t="n">
        <x:v>7</x:v>
      </x:c>
      <x:c r="I67" s="73"/>
      <x:c r="J67" s="73" t="n">
        <x:v>0</x:v>
      </x:c>
      <x:c r="K67" s="49" t="str">
        <x:v>Un-Aided</x:v>
      </x:c>
      <x:c r="L67" s="49" t="str">
        <x:v>MS Seats : 7+ EWS : 7</x:v>
      </x:c>
      <x:c r="M67" s="49" t="str">
        <x:v>https://dse2025.mahacet.org.in/dse25/admin/allotment/cap2/1121_4.pdf</x:v>
      </x:c>
    </x:row>
    <x:row r="68">
      <x:c r="A68" s="49" t="str">
        <x:v>2025-26</x:v>
      </x:c>
      <x:c r="B68" s="63" t="n">
        <x:v>1121</x:v>
      </x:c>
      <x:c r="C68" s="49" t="str">
        <x:v>Shri Hanuman Vyayam Prasarak Mandals College of Engineering &amp; Technology, Amravati</x:v>
      </x:c>
      <x:c r="D68" s="72" t="n">
        <x:v>112161210</x:v>
      </x:c>
      <x:c r="E68" s="49" t="str">
        <x:v>Mechanical Engineering</x:v>
      </x:c>
      <x:c r="F68" s="73" t="n">
        <x:v>14</x:v>
      </x:c>
      <x:c r="G68" s="73" t="n">
        <x:v>7</x:v>
      </x:c>
      <x:c r="H68" s="73" t="n">
        <x:v>7</x:v>
      </x:c>
      <x:c r="I68" s="73"/>
      <x:c r="J68" s="73" t="n">
        <x:v>0</x:v>
      </x:c>
      <x:c r="K68" s="49" t="str">
        <x:v>Un-Aided</x:v>
      </x:c>
      <x:c r="L68" s="49" t="str">
        <x:v>MS Seats : 7+ EWS : 7</x:v>
      </x:c>
      <x:c r="M68" s="49" t="str">
        <x:v>https://dse2025.mahacet.org.in/dse25/admin/allotment/cap2/1121_4.pdf</x:v>
      </x:c>
    </x:row>
    <x:row r="69">
      <x:c r="A69" s="49" t="str">
        <x:v>2025-26</x:v>
      </x:c>
      <x:c r="B69" s="63" t="n">
        <x:v>1123</x:v>
      </x:c>
      <x:c r="C69" s="49" t="str">
        <x:v>Dr.Rajendra Gode Institute of Technology &amp; Research, Amravati</x:v>
      </x:c>
      <x:c r="D69" s="72" t="n">
        <x:v>112319110</x:v>
      </x:c>
      <x:c r="E69" s="49" t="str">
        <x:v>Civil Engineering</x:v>
      </x:c>
      <x:c r="F69" s="73" t="n">
        <x:v>14</x:v>
      </x:c>
      <x:c r="G69" s="73" t="n">
        <x:v>8</x:v>
      </x:c>
      <x:c r="H69" s="73" t="n">
        <x:v>6</x:v>
      </x:c>
      <x:c r="I69" s="73"/>
      <x:c r="J69" s="73" t="n">
        <x:v>0</x:v>
      </x:c>
      <x:c r="K69" s="49" t="str">
        <x:v>Un-Aided</x:v>
      </x:c>
      <x:c r="L69" s="49" t="str">
        <x:v>MS Seats : 8+ EWS : 6</x:v>
      </x:c>
      <x:c r="M69" s="49" t="str">
        <x:v>https://dse2025.mahacet.org.in/dse25/admin/allotment/cap2/1123_4.pdf</x:v>
      </x:c>
    </x:row>
    <x:row r="70">
      <x:c r="A70" s="49" t="str">
        <x:v>2025-26</x:v>
      </x:c>
      <x:c r="B70" s="63" t="n">
        <x:v>1123</x:v>
      </x:c>
      <x:c r="C70" s="49" t="str">
        <x:v>Dr.Rajendra Gode Institute of Technology &amp; Research, Amravati</x:v>
      </x:c>
      <x:c r="D70" s="72" t="n">
        <x:v>112324210</x:v>
      </x:c>
      <x:c r="E70" s="49" t="str">
        <x:v>Computer Science and Engineering</x:v>
      </x:c>
      <x:c r="F70" s="73" t="n">
        <x:v>11</x:v>
      </x:c>
      <x:c r="G70" s="73" t="n">
        <x:v>7</x:v>
      </x:c>
      <x:c r="H70" s="73" t="n">
        <x:v>4</x:v>
      </x:c>
      <x:c r="I70" s="73"/>
      <x:c r="J70" s="73" t="n">
        <x:v>0</x:v>
      </x:c>
      <x:c r="K70" s="49" t="str">
        <x:v>Un-Aided</x:v>
      </x:c>
      <x:c r="L70" s="49" t="str">
        <x:v>MS Seats : 7+ EWS : 4</x:v>
      </x:c>
      <x:c r="M70" s="49" t="str">
        <x:v>https://dse2025.mahacet.org.in/dse25/admin/allotment/cap2/1123_4.pdf</x:v>
      </x:c>
    </x:row>
    <x:row r="71">
      <x:c r="A71" s="49" t="str">
        <x:v>2025-26</x:v>
      </x:c>
      <x:c r="B71" s="63" t="n">
        <x:v>1123</x:v>
      </x:c>
      <x:c r="C71" s="49" t="str">
        <x:v>Dr.Rajendra Gode Institute of Technology &amp; Research, Amravati</x:v>
      </x:c>
      <x:c r="D71" s="72" t="n">
        <x:v>112337210</x:v>
      </x:c>
      <x:c r="E71" s="49" t="str">
        <x:v>Electronics and Telecommunication Engg</x:v>
      </x:c>
      <x:c r="F71" s="73" t="n">
        <x:v>14</x:v>
      </x:c>
      <x:c r="G71" s="73" t="n">
        <x:v>7</x:v>
      </x:c>
      <x:c r="H71" s="73" t="n">
        <x:v>7</x:v>
      </x:c>
      <x:c r="I71" s="73"/>
      <x:c r="J71" s="73" t="n">
        <x:v>0</x:v>
      </x:c>
      <x:c r="K71" s="49" t="str">
        <x:v>Un-Aided</x:v>
      </x:c>
      <x:c r="L71" s="49" t="str">
        <x:v>MS Seats : 7+ EWS : 7</x:v>
      </x:c>
      <x:c r="M71" s="49" t="str">
        <x:v>https://dse2025.mahacet.org.in/dse25/admin/allotment/cap2/1123_4.pdf</x:v>
      </x:c>
    </x:row>
    <x:row r="72">
      <x:c r="A72" s="49" t="str">
        <x:v>2025-26</x:v>
      </x:c>
      <x:c r="B72" s="63" t="n">
        <x:v>1123</x:v>
      </x:c>
      <x:c r="C72" s="49" t="str">
        <x:v>Dr.Rajendra Gode Institute of Technology &amp; Research, Amravati</x:v>
      </x:c>
      <x:c r="D72" s="72" t="n">
        <x:v>112361210</x:v>
      </x:c>
      <x:c r="E72" s="49" t="str">
        <x:v>Mechanical Engineering</x:v>
      </x:c>
      <x:c r="F72" s="73" t="n">
        <x:v>15</x:v>
      </x:c>
      <x:c r="G72" s="73" t="n">
        <x:v>8</x:v>
      </x:c>
      <x:c r="H72" s="73" t="n">
        <x:v>7</x:v>
      </x:c>
      <x:c r="I72" s="73"/>
      <x:c r="J72" s="73" t="n">
        <x:v>0</x:v>
      </x:c>
      <x:c r="K72" s="49" t="str">
        <x:v>Un-Aided</x:v>
      </x:c>
      <x:c r="L72" s="49" t="str">
        <x:v>MS Seats : 8+ EWS : 7</x:v>
      </x:c>
      <x:c r="M72" s="49" t="str">
        <x:v>https://dse2025.mahacet.org.in/dse25/admin/allotment/cap2/1123_4.pdf</x:v>
      </x:c>
    </x:row>
    <x:row r="73">
      <x:c r="A73" s="49" t="str">
        <x:v>2025-26</x:v>
      </x:c>
      <x:c r="B73" s="63" t="n">
        <x:v>1125</x:v>
      </x:c>
      <x:c r="C73" s="49" t="str">
        <x:v>Dwarka Bahu Uddeshiya Gramin Vikas Foundation, Rajarshi Shahu College of Engineering, Buldhana</x:v>
      </x:c>
      <x:c r="D73" s="72" t="n">
        <x:v>112519110</x:v>
      </x:c>
      <x:c r="E73" s="49" t="str">
        <x:v>Civil Engineering</x:v>
      </x:c>
      <x:c r="F73" s="73" t="n">
        <x:v>36</x:v>
      </x:c>
      <x:c r="G73" s="73" t="n">
        <x:v>30</x:v>
      </x:c>
      <x:c r="H73" s="73" t="n">
        <x:v>6</x:v>
      </x:c>
      <x:c r="I73" s="73"/>
      <x:c r="J73" s="73" t="n">
        <x:v>0</x:v>
      </x:c>
      <x:c r="K73" s="49" t="str">
        <x:v>Un-Aided</x:v>
      </x:c>
      <x:c r="L73" s="49" t="str">
        <x:v>MS Seats : 30+ EWS : 6</x:v>
      </x:c>
      <x:c r="M73" s="49" t="str">
        <x:v>https://dse2025.mahacet.org.in/dse25/admin/allotment/cap2/1125_4.pdf</x:v>
      </x:c>
    </x:row>
    <x:row r="74">
      <x:c r="A74" s="49" t="str">
        <x:v>2025-26</x:v>
      </x:c>
      <x:c r="B74" s="63" t="n">
        <x:v>1125</x:v>
      </x:c>
      <x:c r="C74" s="49" t="str">
        <x:v>Dwarka Bahu Uddeshiya Gramin Vikas Foundation, Rajarshi Shahu College of Engineering, Buldhana</x:v>
      </x:c>
      <x:c r="D74" s="72" t="n">
        <x:v>112524210</x:v>
      </x:c>
      <x:c r="E74" s="49" t="str">
        <x:v>Computer Science and Engineering</x:v>
      </x:c>
      <x:c r="F74" s="73" t="n">
        <x:v>19</x:v>
      </x:c>
      <x:c r="G74" s="73" t="n">
        <x:v>13</x:v>
      </x:c>
      <x:c r="H74" s="73" t="n">
        <x:v>6</x:v>
      </x:c>
      <x:c r="I74" s="73"/>
      <x:c r="J74" s="73" t="n">
        <x:v>0</x:v>
      </x:c>
      <x:c r="K74" s="49" t="str">
        <x:v>Un-Aided</x:v>
      </x:c>
      <x:c r="L74" s="49" t="str">
        <x:v>MS Seats : 13+ EWS : 6</x:v>
      </x:c>
      <x:c r="M74" s="49" t="str">
        <x:v>https://dse2025.mahacet.org.in/dse25/admin/allotment/cap2/1125_4.pdf</x:v>
      </x:c>
    </x:row>
    <x:row r="75">
      <x:c r="A75" s="49" t="str">
        <x:v>2025-26</x:v>
      </x:c>
      <x:c r="B75" s="63" t="n">
        <x:v>1125</x:v>
      </x:c>
      <x:c r="C75" s="49" t="str">
        <x:v>Dwarka Bahu Uddeshiya Gramin Vikas Foundation, Rajarshi Shahu College of Engineering, Buldhana</x:v>
      </x:c>
      <x:c r="D75" s="72" t="n">
        <x:v>112526310</x:v>
      </x:c>
      <x:c r="E75" s="49" t="str">
        <x:v>Artificial Intelligence (AI) and Data Science</x:v>
      </x:c>
      <x:c r="F75" s="73" t="n">
        <x:v>24</x:v>
      </x:c>
      <x:c r="G75" s="73" t="n">
        <x:v>20</x:v>
      </x:c>
      <x:c r="H75" s="73" t="n">
        <x:v>4</x:v>
      </x:c>
      <x:c r="I75" s="73"/>
      <x:c r="J75" s="73" t="n">
        <x:v>0</x:v>
      </x:c>
      <x:c r="K75" s="49" t="str">
        <x:v>Un-Aided</x:v>
      </x:c>
      <x:c r="L75" s="49" t="str">
        <x:v>MS Seats : 20+ EWS : 4</x:v>
      </x:c>
      <x:c r="M75" s="49" t="str">
        <x:v>https://dse2025.mahacet.org.in/dse25/admin/allotment/cap2/1125_4.pdf</x:v>
      </x:c>
    </x:row>
    <x:row r="76">
      <x:c r="A76" s="49" t="str">
        <x:v>2025-26</x:v>
      </x:c>
      <x:c r="B76" s="63" t="n">
        <x:v>1125</x:v>
      </x:c>
      <x:c r="C76" s="49" t="str">
        <x:v>Dwarka Bahu Uddeshiya Gramin Vikas Foundation, Rajarshi Shahu College of Engineering, Buldhana</x:v>
      </x:c>
      <x:c r="D76" s="72" t="n">
        <x:v>112529310</x:v>
      </x:c>
      <x:c r="E76" s="49" t="str">
        <x:v>Electrical Engineering</x:v>
      </x:c>
      <x:c r="F76" s="73" t="n">
        <x:v>11</x:v>
      </x:c>
      <x:c r="G76" s="73" t="n">
        <x:v>8</x:v>
      </x:c>
      <x:c r="H76" s="73" t="n">
        <x:v>3</x:v>
      </x:c>
      <x:c r="I76" s="73"/>
      <x:c r="J76" s="73" t="n">
        <x:v>0</x:v>
      </x:c>
      <x:c r="K76" s="49" t="str">
        <x:v>Un-Aided</x:v>
      </x:c>
      <x:c r="L76" s="49" t="str">
        <x:v>MS Seats : 8+ EWS : 3</x:v>
      </x:c>
      <x:c r="M76" s="49" t="str">
        <x:v>https://dse2025.mahacet.org.in/dse25/admin/allotment/cap2/1125_4.pdf</x:v>
      </x:c>
    </x:row>
    <x:row r="77">
      <x:c r="A77" s="49" t="str">
        <x:v>2025-26</x:v>
      </x:c>
      <x:c r="B77" s="63" t="n">
        <x:v>1125</x:v>
      </x:c>
      <x:c r="C77" s="49" t="str">
        <x:v>Dwarka Bahu Uddeshiya Gramin Vikas Foundation, Rajarshi Shahu College of Engineering, Buldhana</x:v>
      </x:c>
      <x:c r="D77" s="72" t="n">
        <x:v>112561210</x:v>
      </x:c>
      <x:c r="E77" s="49" t="str">
        <x:v>Mechanical Engineering</x:v>
      </x:c>
      <x:c r="F77" s="73" t="n">
        <x:v>24</x:v>
      </x:c>
      <x:c r="G77" s="73" t="n">
        <x:v>21</x:v>
      </x:c>
      <x:c r="H77" s="73" t="n">
        <x:v>3</x:v>
      </x:c>
      <x:c r="I77" s="73"/>
      <x:c r="J77" s="73" t="n">
        <x:v>0</x:v>
      </x:c>
      <x:c r="K77" s="49" t="str">
        <x:v>Un-Aided</x:v>
      </x:c>
      <x:c r="L77" s="49" t="str">
        <x:v>MS Seats : 21+ EWS : 3</x:v>
      </x:c>
      <x:c r="M77" s="49" t="str">
        <x:v>https://dse2025.mahacet.org.in/dse25/admin/allotment/cap2/1125_4.pdf</x:v>
      </x:c>
    </x:row>
    <x:row r="78">
      <x:c r="A78" s="49" t="str">
        <x:v>2025-26</x:v>
      </x:c>
      <x:c r="B78" s="63" t="n">
        <x:v>1126</x:v>
      </x:c>
      <x:c r="C78" s="49" t="str">
        <x:v>Takshashila Institute of Engineering &amp; Technology, Darapur, Amravati</x:v>
      </x:c>
      <x:c r="D78" s="72" t="n">
        <x:v>112619110</x:v>
      </x:c>
      <x:c r="E78" s="49" t="str">
        <x:v>Civil Engineering</x:v>
      </x:c>
      <x:c r="F78" s="73" t="n">
        <x:v>29</x:v>
      </x:c>
      <x:c r="G78" s="73" t="n">
        <x:v>22</x:v>
      </x:c>
      <x:c r="H78" s="73" t="n">
        <x:v>7</x:v>
      </x:c>
      <x:c r="I78" s="73"/>
      <x:c r="J78" s="73" t="n">
        <x:v>0</x:v>
      </x:c>
      <x:c r="K78" s="49" t="str">
        <x:v>Un-Aided</x:v>
      </x:c>
      <x:c r="L78" s="49" t="str">
        <x:v>MS Seats : 22+ EWS : 7</x:v>
      </x:c>
      <x:c r="M78" s="49" t="str">
        <x:v>https://dse2025.mahacet.org.in/dse25/admin/allotment/cap2/1126_4.pdf</x:v>
      </x:c>
    </x:row>
    <x:row r="79">
      <x:c r="A79" s="49" t="str">
        <x:v>2025-26</x:v>
      </x:c>
      <x:c r="B79" s="63" t="n">
        <x:v>1126</x:v>
      </x:c>
      <x:c r="C79" s="49" t="str">
        <x:v>Takshashila Institute of Engineering &amp; Technology, Darapur, Amravati</x:v>
      </x:c>
      <x:c r="D79" s="72" t="n">
        <x:v>112624210</x:v>
      </x:c>
      <x:c r="E79" s="49" t="str">
        <x:v>Computer Science and Engineering</x:v>
      </x:c>
      <x:c r="F79" s="73" t="n">
        <x:v>16</x:v>
      </x:c>
      <x:c r="G79" s="73" t="n">
        <x:v>12</x:v>
      </x:c>
      <x:c r="H79" s="73" t="n">
        <x:v>4</x:v>
      </x:c>
      <x:c r="I79" s="73"/>
      <x:c r="J79" s="73" t="n">
        <x:v>0</x:v>
      </x:c>
      <x:c r="K79" s="49" t="str">
        <x:v>Un-Aided</x:v>
      </x:c>
      <x:c r="L79" s="49" t="str">
        <x:v>MS Seats : 12+ EWS : 4</x:v>
      </x:c>
      <x:c r="M79" s="49" t="str">
        <x:v>https://dse2025.mahacet.org.in/dse25/admin/allotment/cap2/1126_4.pdf</x:v>
      </x:c>
    </x:row>
    <x:row r="80">
      <x:c r="A80" s="49" t="str">
        <x:v>2025-26</x:v>
      </x:c>
      <x:c r="B80" s="63" t="n">
        <x:v>1126</x:v>
      </x:c>
      <x:c r="C80" s="49" t="str">
        <x:v>Takshashila Institute of Engineering &amp; Technology, Darapur, Amravati</x:v>
      </x:c>
      <x:c r="D80" s="72" t="n">
        <x:v>112629310</x:v>
      </x:c>
      <x:c r="E80" s="49" t="str">
        <x:v>Electrical Engineering</x:v>
      </x:c>
      <x:c r="F80" s="73" t="n">
        <x:v>31</x:v>
      </x:c>
      <x:c r="G80" s="73" t="n">
        <x:v>24</x:v>
      </x:c>
      <x:c r="H80" s="73" t="n">
        <x:v>7</x:v>
      </x:c>
      <x:c r="I80" s="73"/>
      <x:c r="J80" s="73" t="n">
        <x:v>0</x:v>
      </x:c>
      <x:c r="K80" s="49" t="str">
        <x:v>Un-Aided</x:v>
      </x:c>
      <x:c r="L80" s="49" t="str">
        <x:v>MS Seats : 24+ EWS : 7</x:v>
      </x:c>
      <x:c r="M80" s="49" t="str">
        <x:v>https://dse2025.mahacet.org.in/dse25/admin/allotment/cap2/1126_4.pdf</x:v>
      </x:c>
    </x:row>
    <x:row r="81">
      <x:c r="A81" s="49" t="str">
        <x:v>2025-26</x:v>
      </x:c>
      <x:c r="B81" s="63" t="n">
        <x:v>1126</x:v>
      </x:c>
      <x:c r="C81" s="49" t="str">
        <x:v>Takshashila Institute of Engineering &amp; Technology, Darapur, Amravati</x:v>
      </x:c>
      <x:c r="D81" s="72" t="n">
        <x:v>112637210</x:v>
      </x:c>
      <x:c r="E81" s="49" t="str">
        <x:v>Electronics and Telecommunication Engg</x:v>
      </x:c>
      <x:c r="F81" s="73" t="n">
        <x:v>5</x:v>
      </x:c>
      <x:c r="G81" s="73" t="n">
        <x:v>4</x:v>
      </x:c>
      <x:c r="H81" s="73" t="n">
        <x:v>1</x:v>
      </x:c>
      <x:c r="I81" s="73"/>
      <x:c r="J81" s="73" t="n">
        <x:v>0</x:v>
      </x:c>
      <x:c r="K81" s="49" t="str">
        <x:v>Un-Aided</x:v>
      </x:c>
      <x:c r="L81" s="49" t="str">
        <x:v>MS Seats : 4+ EWS : 1</x:v>
      </x:c>
      <x:c r="M81" s="49" t="str">
        <x:v>https://dse2025.mahacet.org.in/dse25/admin/allotment/cap2/1126_4.pdf</x:v>
      </x:c>
    </x:row>
    <x:row r="82">
      <x:c r="A82" s="49" t="str">
        <x:v>2025-26</x:v>
      </x:c>
      <x:c r="B82" s="63" t="n">
        <x:v>1126</x:v>
      </x:c>
      <x:c r="C82" s="49" t="str">
        <x:v>Takshashila Institute of Engineering &amp; Technology, Darapur, Amravati</x:v>
      </x:c>
      <x:c r="D82" s="72" t="n">
        <x:v>112661210</x:v>
      </x:c>
      <x:c r="E82" s="49" t="str">
        <x:v>Mechanical Engineering</x:v>
      </x:c>
      <x:c r="F82" s="73" t="n">
        <x:v>17</x:v>
      </x:c>
      <x:c r="G82" s="73" t="n">
        <x:v>15</x:v>
      </x:c>
      <x:c r="H82" s="73" t="n">
        <x:v>2</x:v>
      </x:c>
      <x:c r="I82" s="73"/>
      <x:c r="J82" s="73" t="n">
        <x:v>0</x:v>
      </x:c>
      <x:c r="K82" s="49" t="str">
        <x:v>Un-Aided</x:v>
      </x:c>
      <x:c r="L82" s="49" t="str">
        <x:v>MS Seats : 15+ EWS : 2</x:v>
      </x:c>
      <x:c r="M82" s="49" t="str">
        <x:v>https://dse2025.mahacet.org.in/dse25/admin/allotment/cap2/1126_4.pdf</x:v>
      </x:c>
    </x:row>
    <x:row r="83">
      <x:c r="A83" s="49" t="str">
        <x:v>2025-26</x:v>
      </x:c>
      <x:c r="B83" s="63" t="n">
        <x:v>1127</x:v>
      </x:c>
      <x:c r="C83" s="49" t="str">
        <x:v>Jagadambha Bahuuddeshiya Gramin Vikas Sanstha's Jagdambha College of Engineering and Technology, Yavatmal</x:v>
      </x:c>
      <x:c r="D83" s="72" t="n">
        <x:v>112719110</x:v>
      </x:c>
      <x:c r="E83" s="49" t="str">
        <x:v>Civil Engineering</x:v>
      </x:c>
      <x:c r="F83" s="73" t="n">
        <x:v>11</x:v>
      </x:c>
      <x:c r="G83" s="73" t="n">
        <x:v>10</x:v>
      </x:c>
      <x:c r="H83" s="73" t="n">
        <x:v>1</x:v>
      </x:c>
      <x:c r="I83" s="73"/>
      <x:c r="J83" s="73" t="n">
        <x:v>0</x:v>
      </x:c>
      <x:c r="K83" s="49" t="str">
        <x:v>Un-Aided Autonomous</x:v>
      </x:c>
      <x:c r="L83" s="49" t="str">
        <x:v>MS Seats : 10+ EWS : 1</x:v>
      </x:c>
      <x:c r="M83" s="49" t="str">
        <x:v>https://dse2025.mahacet.org.in/dse25/admin/allotment/cap2/1127_4.pdf</x:v>
      </x:c>
    </x:row>
    <x:row r="84">
      <x:c r="A84" s="49" t="str">
        <x:v>2025-26</x:v>
      </x:c>
      <x:c r="B84" s="63" t="n">
        <x:v>1127</x:v>
      </x:c>
      <x:c r="C84" s="49" t="str">
        <x:v>Jagadambha Bahuuddeshiya Gramin Vikas Sanstha's Jagdambha College of Engineering and Technology, Yavatmal</x:v>
      </x:c>
      <x:c r="D84" s="72" t="n">
        <x:v>112724510</x:v>
      </x:c>
      <x:c r="E84" s="49" t="str">
        <x:v>Computer Engineering</x:v>
      </x:c>
      <x:c r="F84" s="73" t="n">
        <x:v>18</x:v>
      </x:c>
      <x:c r="G84" s="73" t="n">
        <x:v>14</x:v>
      </x:c>
      <x:c r="H84" s="73" t="n">
        <x:v>4</x:v>
      </x:c>
      <x:c r="I84" s="73"/>
      <x:c r="J84" s="73" t="n">
        <x:v>0</x:v>
      </x:c>
      <x:c r="K84" s="49" t="str">
        <x:v>Un-Aided Autonomous</x:v>
      </x:c>
      <x:c r="L84" s="49" t="str">
        <x:v>MS Seats : 14+ EWS : 4</x:v>
      </x:c>
      <x:c r="M84" s="49" t="str">
        <x:v>https://dse2025.mahacet.org.in/dse25/admin/allotment/cap2/1127_4.pdf</x:v>
      </x:c>
    </x:row>
    <x:row r="85">
      <x:c r="A85" s="49" t="str">
        <x:v>2025-26</x:v>
      </x:c>
      <x:c r="B85" s="63" t="n">
        <x:v>1127</x:v>
      </x:c>
      <x:c r="C85" s="49" t="str">
        <x:v>Jagadambha Bahuuddeshiya Gramin Vikas Sanstha's Jagdambha College of Engineering and Technology, Yavatmal</x:v>
      </x:c>
      <x:c r="D85" s="72" t="n">
        <x:v>112729310</x:v>
      </x:c>
      <x:c r="E85" s="49" t="str">
        <x:v>Electrical Engineering</x:v>
      </x:c>
      <x:c r="F85" s="73" t="n">
        <x:v>19</x:v>
      </x:c>
      <x:c r="G85" s="73" t="n">
        <x:v>12</x:v>
      </x:c>
      <x:c r="H85" s="73" t="n">
        <x:v>7</x:v>
      </x:c>
      <x:c r="I85" s="73"/>
      <x:c r="J85" s="73" t="n">
        <x:v>0</x:v>
      </x:c>
      <x:c r="K85" s="49" t="str">
        <x:v>Un-Aided Autonomous</x:v>
      </x:c>
      <x:c r="L85" s="49" t="str">
        <x:v>MS Seats : 12+ EWS : 7</x:v>
      </x:c>
      <x:c r="M85" s="49" t="str">
        <x:v>https://dse2025.mahacet.org.in/dse25/admin/allotment/cap2/1127_4.pdf</x:v>
      </x:c>
    </x:row>
    <x:row r="86">
      <x:c r="A86" s="49" t="str">
        <x:v>2025-26</x:v>
      </x:c>
      <x:c r="B86" s="63" t="n">
        <x:v>1127</x:v>
      </x:c>
      <x:c r="C86" s="49" t="str">
        <x:v>Jagadambha Bahuuddeshiya Gramin Vikas Sanstha's Jagdambha College of Engineering and Technology, Yavatmal</x:v>
      </x:c>
      <x:c r="D86" s="72" t="n">
        <x:v>112737210</x:v>
      </x:c>
      <x:c r="E86" s="49" t="str">
        <x:v>Electronics and Telecommunication Engg</x:v>
      </x:c>
      <x:c r="F86" s="73" t="n">
        <x:v>12</x:v>
      </x:c>
      <x:c r="G86" s="73" t="n">
        <x:v>7</x:v>
      </x:c>
      <x:c r="H86" s="73" t="n">
        <x:v>5</x:v>
      </x:c>
      <x:c r="I86" s="73"/>
      <x:c r="J86" s="73" t="n">
        <x:v>0</x:v>
      </x:c>
      <x:c r="K86" s="49" t="str">
        <x:v>Un-Aided Autonomous</x:v>
      </x:c>
      <x:c r="L86" s="49" t="str">
        <x:v>MS Seats : 7+ EWS : 5</x:v>
      </x:c>
      <x:c r="M86" s="49" t="str">
        <x:v>https://dse2025.mahacet.org.in/dse25/admin/allotment/cap2/1127_4.pdf</x:v>
      </x:c>
    </x:row>
    <x:row r="87">
      <x:c r="A87" s="49" t="str">
        <x:v>2025-26</x:v>
      </x:c>
      <x:c r="B87" s="63" t="n">
        <x:v>1127</x:v>
      </x:c>
      <x:c r="C87" s="49" t="str">
        <x:v>Jagadambha Bahuuddeshiya Gramin Vikas Sanstha's Jagdambha College of Engineering and Technology, Yavatmal</x:v>
      </x:c>
      <x:c r="D87" s="72" t="n">
        <x:v>112761210</x:v>
      </x:c>
      <x:c r="E87" s="49" t="str">
        <x:v>Mechanical Engineering</x:v>
      </x:c>
      <x:c r="F87" s="73" t="n">
        <x:v>19</x:v>
      </x:c>
      <x:c r="G87" s="73" t="n">
        <x:v>12</x:v>
      </x:c>
      <x:c r="H87" s="73" t="n">
        <x:v>7</x:v>
      </x:c>
      <x:c r="I87" s="73"/>
      <x:c r="J87" s="73" t="n">
        <x:v>0</x:v>
      </x:c>
      <x:c r="K87" s="49" t="str">
        <x:v>Un-Aided Autonomous</x:v>
      </x:c>
      <x:c r="L87" s="49" t="str">
        <x:v>MS Seats : 12+ EWS : 7</x:v>
      </x:c>
      <x:c r="M87" s="49" t="str">
        <x:v>https://dse2025.mahacet.org.in/dse25/admin/allotment/cap2/1127_4.pdf</x:v>
      </x:c>
    </x:row>
    <x:row r="88">
      <x:c r="A88" s="49" t="str">
        <x:v>2025-26</x:v>
      </x:c>
      <x:c r="B88" s="63" t="n">
        <x:v>1128</x:v>
      </x:c>
      <x:c r="C88" s="49" t="str">
        <x:v>Prof Ram Meghe College of Engineering and Management, Badnera</x:v>
      </x:c>
      <x:c r="D88" s="72" t="n">
        <x:v>112819110</x:v>
      </x:c>
      <x:c r="E88" s="49" t="str">
        <x:v>Civil Engineering</x:v>
      </x:c>
      <x:c r="F88" s="73" t="n">
        <x:v>13</x:v>
      </x:c>
      <x:c r="G88" s="73" t="n">
        <x:v>7</x:v>
      </x:c>
      <x:c r="H88" s="73" t="n">
        <x:v>6</x:v>
      </x:c>
      <x:c r="I88" s="73"/>
      <x:c r="J88" s="73" t="n">
        <x:v>0</x:v>
      </x:c>
      <x:c r="K88" s="49" t="str">
        <x:v>Un-Aided</x:v>
      </x:c>
      <x:c r="L88" s="49" t="str">
        <x:v>MS Seats : 7+ EWS : 6</x:v>
      </x:c>
      <x:c r="M88" s="49" t="str">
        <x:v>https://dse2025.mahacet.org.in/dse25/admin/allotment/cap2/1128_4.pdf</x:v>
      </x:c>
    </x:row>
    <x:row r="89">
      <x:c r="A89" s="49" t="str">
        <x:v>2025-26</x:v>
      </x:c>
      <x:c r="B89" s="63" t="n">
        <x:v>1128</x:v>
      </x:c>
      <x:c r="C89" s="49" t="str">
        <x:v>Prof Ram Meghe College of Engineering and Management, Badnera</x:v>
      </x:c>
      <x:c r="D89" s="72" t="n">
        <x:v>112824210</x:v>
      </x:c>
      <x:c r="E89" s="49" t="str">
        <x:v>Computer Science and Engineering</x:v>
      </x:c>
      <x:c r="F89" s="73" t="n">
        <x:v>17</x:v>
      </x:c>
      <x:c r="G89" s="73" t="n">
        <x:v>14</x:v>
      </x:c>
      <x:c r="H89" s="73" t="n">
        <x:v>3</x:v>
      </x:c>
      <x:c r="I89" s="73"/>
      <x:c r="J89" s="73" t="n">
        <x:v>0</x:v>
      </x:c>
      <x:c r="K89" s="49" t="str">
        <x:v>Un-Aided</x:v>
      </x:c>
      <x:c r="L89" s="49" t="str">
        <x:v>MS Seats : 14+ EWS : 3</x:v>
      </x:c>
      <x:c r="M89" s="49" t="str">
        <x:v>https://dse2025.mahacet.org.in/dse25/admin/allotment/cap2/1128_4.pdf</x:v>
      </x:c>
    </x:row>
    <x:row r="90">
      <x:c r="A90" s="49" t="str">
        <x:v>2025-26</x:v>
      </x:c>
      <x:c r="B90" s="63" t="n">
        <x:v>1128</x:v>
      </x:c>
      <x:c r="C90" s="49" t="str">
        <x:v>Prof Ram Meghe College of Engineering and Management, Badnera</x:v>
      </x:c>
      <x:c r="D90" s="72" t="n">
        <x:v>112824610</x:v>
      </x:c>
      <x:c r="E90" s="49" t="str">
        <x:v>Information Technology</x:v>
      </x:c>
      <x:c r="F90" s="73" t="n">
        <x:v>18</x:v>
      </x:c>
      <x:c r="G90" s="73" t="n">
        <x:v>14</x:v>
      </x:c>
      <x:c r="H90" s="73" t="n">
        <x:v>4</x:v>
      </x:c>
      <x:c r="I90" s="73"/>
      <x:c r="J90" s="73" t="n">
        <x:v>0</x:v>
      </x:c>
      <x:c r="K90" s="49" t="str">
        <x:v>Un-Aided</x:v>
      </x:c>
      <x:c r="L90" s="49" t="str">
        <x:v>MS Seats : 14+ EWS : 4</x:v>
      </x:c>
      <x:c r="M90" s="49" t="str">
        <x:v>https://dse2025.mahacet.org.in/dse25/admin/allotment/cap2/1128_4.pdf</x:v>
      </x:c>
    </x:row>
    <x:row r="91">
      <x:c r="A91" s="49" t="str">
        <x:v>2025-26</x:v>
      </x:c>
      <x:c r="B91" s="63" t="n">
        <x:v>1128</x:v>
      </x:c>
      <x:c r="C91" s="49" t="str">
        <x:v>Prof Ram Meghe College of Engineering and Management, Badnera</x:v>
      </x:c>
      <x:c r="D91" s="72" t="n">
        <x:v>112829310</x:v>
      </x:c>
      <x:c r="E91" s="49" t="str">
        <x:v>Electrical Engineering</x:v>
      </x:c>
      <x:c r="F91" s="73" t="n">
        <x:v>13</x:v>
      </x:c>
      <x:c r="G91" s="73" t="n">
        <x:v>7</x:v>
      </x:c>
      <x:c r="H91" s="73" t="n">
        <x:v>6</x:v>
      </x:c>
      <x:c r="I91" s="73"/>
      <x:c r="J91" s="73" t="n">
        <x:v>0</x:v>
      </x:c>
      <x:c r="K91" s="49" t="str">
        <x:v>Un-Aided</x:v>
      </x:c>
      <x:c r="L91" s="49" t="str">
        <x:v>MS Seats : 7+ EWS : 6</x:v>
      </x:c>
      <x:c r="M91" s="49" t="str">
        <x:v>https://dse2025.mahacet.org.in/dse25/admin/allotment/cap2/1128_4.pdf</x:v>
      </x:c>
    </x:row>
    <x:row r="92">
      <x:c r="A92" s="49" t="str">
        <x:v>2025-26</x:v>
      </x:c>
      <x:c r="B92" s="63" t="n">
        <x:v>1128</x:v>
      </x:c>
      <x:c r="C92" s="49" t="str">
        <x:v>Prof Ram Meghe College of Engineering and Management, Badnera</x:v>
      </x:c>
      <x:c r="D92" s="72" t="n">
        <x:v>112837210</x:v>
      </x:c>
      <x:c r="E92" s="49" t="str">
        <x:v>Electronics and Telecommunication Engg</x:v>
      </x:c>
      <x:c r="F92" s="73" t="n">
        <x:v>8</x:v>
      </x:c>
      <x:c r="G92" s="73" t="n">
        <x:v>7</x:v>
      </x:c>
      <x:c r="H92" s="73" t="n">
        <x:v>1</x:v>
      </x:c>
      <x:c r="I92" s="73"/>
      <x:c r="J92" s="73" t="n">
        <x:v>0</x:v>
      </x:c>
      <x:c r="K92" s="49" t="str">
        <x:v>Un-Aided</x:v>
      </x:c>
      <x:c r="L92" s="49" t="str">
        <x:v>MS Seats : 7+ EWS : 1</x:v>
      </x:c>
      <x:c r="M92" s="49" t="str">
        <x:v>https://dse2025.mahacet.org.in/dse25/admin/allotment/cap2/1128_4.pdf</x:v>
      </x:c>
    </x:row>
    <x:row r="93">
      <x:c r="A93" s="49" t="str">
        <x:v>2025-26</x:v>
      </x:c>
      <x:c r="B93" s="63" t="n">
        <x:v>1128</x:v>
      </x:c>
      <x:c r="C93" s="49" t="str">
        <x:v>Prof Ram Meghe College of Engineering and Management, Badnera</x:v>
      </x:c>
      <x:c r="D93" s="72" t="n">
        <x:v>112891210</x:v>
      </x:c>
      <x:c r="E93" s="49" t="str">
        <x:v>Computer Science and Engineering(Data Science)</x:v>
      </x:c>
      <x:c r="F93" s="73" t="n">
        <x:v>9</x:v>
      </x:c>
      <x:c r="G93" s="73" t="n">
        <x:v>8</x:v>
      </x:c>
      <x:c r="H93" s="73" t="n">
        <x:v>1</x:v>
      </x:c>
      <x:c r="I93" s="73"/>
      <x:c r="J93" s="73" t="n">
        <x:v>0</x:v>
      </x:c>
      <x:c r="K93" s="49" t="str">
        <x:v>Un-Aided</x:v>
      </x:c>
      <x:c r="L93" s="49" t="str">
        <x:v>MS Seats : 8+ EWS : 1</x:v>
      </x:c>
      <x:c r="M93" s="49" t="str">
        <x:v>https://dse2025.mahacet.org.in/dse25/admin/allotment/cap2/1128_4.pdf</x:v>
      </x:c>
    </x:row>
    <x:row r="94">
      <x:c r="A94" s="49" t="str">
        <x:v>2025-26</x:v>
      </x:c>
      <x:c r="B94" s="63" t="n">
        <x:v>1130</x:v>
      </x:c>
      <x:c r="C94" s="49" t="str">
        <x:v>Vision Buldhana Educational &amp; Welfare Society's Pankaj Laddhad Institute of Technology &amp; Management Studies, Yelgaon</x:v>
      </x:c>
      <x:c r="D94" s="72" t="n">
        <x:v>113019110</x:v>
      </x:c>
      <x:c r="E94" s="49" t="str">
        <x:v>Civil Engineering</x:v>
      </x:c>
      <x:c r="F94" s="73" t="n">
        <x:v>11</x:v>
      </x:c>
      <x:c r="G94" s="73" t="n">
        <x:v>8</x:v>
      </x:c>
      <x:c r="H94" s="73" t="n">
        <x:v>3</x:v>
      </x:c>
      <x:c r="I94" s="73"/>
      <x:c r="J94" s="73" t="n">
        <x:v>0</x:v>
      </x:c>
      <x:c r="K94" s="49" t="str">
        <x:v>Un-Aided</x:v>
      </x:c>
      <x:c r="L94" s="49" t="str">
        <x:v>MS Seats : 8+ EWS : 3</x:v>
      </x:c>
      <x:c r="M94" s="49" t="str">
        <x:v>https://dse2025.mahacet.org.in/dse25/admin/allotment/cap2/1130_4.pdf</x:v>
      </x:c>
    </x:row>
    <x:row r="95">
      <x:c r="A95" s="49" t="str">
        <x:v>2025-26</x:v>
      </x:c>
      <x:c r="B95" s="63" t="n">
        <x:v>1130</x:v>
      </x:c>
      <x:c r="C95" s="49" t="str">
        <x:v>Vision Buldhana Educational &amp; Welfare Society's Pankaj Laddhad Institute of Technology &amp; Management Studies, Yelgaon</x:v>
      </x:c>
      <x:c r="D95" s="72" t="n">
        <x:v>113024210</x:v>
      </x:c>
      <x:c r="E95" s="49" t="str">
        <x:v>Computer Science and Engineering</x:v>
      </x:c>
      <x:c r="F95" s="73" t="n">
        <x:v>9</x:v>
      </x:c>
      <x:c r="G95" s="73" t="n">
        <x:v>7</x:v>
      </x:c>
      <x:c r="H95" s="73" t="n">
        <x:v>2</x:v>
      </x:c>
      <x:c r="I95" s="73"/>
      <x:c r="J95" s="73" t="n">
        <x:v>0</x:v>
      </x:c>
      <x:c r="K95" s="49" t="str">
        <x:v>Un-Aided</x:v>
      </x:c>
      <x:c r="L95" s="49" t="str">
        <x:v>MS Seats : 7+ EWS : 2</x:v>
      </x:c>
      <x:c r="M95" s="49" t="str">
        <x:v>https://dse2025.mahacet.org.in/dse25/admin/allotment/cap2/1130_4.pdf</x:v>
      </x:c>
    </x:row>
    <x:row r="96">
      <x:c r="A96" s="49" t="str">
        <x:v>2025-26</x:v>
      </x:c>
      <x:c r="B96" s="63" t="n">
        <x:v>1130</x:v>
      </x:c>
      <x:c r="C96" s="49" t="str">
        <x:v>Vision Buldhana Educational &amp; Welfare Society's Pankaj Laddhad Institute of Technology &amp; Management Studies, Yelgaon</x:v>
      </x:c>
      <x:c r="D96" s="72" t="n">
        <x:v>113035610</x:v>
      </x:c>
      <x:c r="E96" s="49" t="str">
        <x:v>Electrical Engg[Electronics and Power]</x:v>
      </x:c>
      <x:c r="F96" s="73" t="n">
        <x:v>26</x:v>
      </x:c>
      <x:c r="G96" s="73" t="n">
        <x:v>23</x:v>
      </x:c>
      <x:c r="H96" s="73" t="n">
        <x:v>3</x:v>
      </x:c>
      <x:c r="I96" s="73"/>
      <x:c r="J96" s="73" t="n">
        <x:v>0</x:v>
      </x:c>
      <x:c r="K96" s="49" t="str">
        <x:v>Un-Aided</x:v>
      </x:c>
      <x:c r="L96" s="49" t="str">
        <x:v>MS Seats : 23+ EWS : 3</x:v>
      </x:c>
      <x:c r="M96" s="49" t="str">
        <x:v>https://dse2025.mahacet.org.in/dse25/admin/allotment/cap2/1130_4.pdf</x:v>
      </x:c>
    </x:row>
    <x:row r="97">
      <x:c r="A97" s="49" t="str">
        <x:v>2025-26</x:v>
      </x:c>
      <x:c r="B97" s="63" t="n">
        <x:v>1130</x:v>
      </x:c>
      <x:c r="C97" s="49" t="str">
        <x:v>Vision Buldhana Educational &amp; Welfare Society's Pankaj Laddhad Institute of Technology &amp; Management Studies, Yelgaon</x:v>
      </x:c>
      <x:c r="D97" s="72" t="n">
        <x:v>113037210</x:v>
      </x:c>
      <x:c r="E97" s="49" t="str">
        <x:v>Electronics and Telecommunication Engg</x:v>
      </x:c>
      <x:c r="F97" s="73" t="n">
        <x:v>9</x:v>
      </x:c>
      <x:c r="G97" s="73" t="n">
        <x:v>6</x:v>
      </x:c>
      <x:c r="H97" s="73" t="n">
        <x:v>3</x:v>
      </x:c>
      <x:c r="I97" s="73"/>
      <x:c r="J97" s="73" t="n">
        <x:v>0</x:v>
      </x:c>
      <x:c r="K97" s="49" t="str">
        <x:v>Un-Aided</x:v>
      </x:c>
      <x:c r="L97" s="49" t="str">
        <x:v>MS Seats : 6+ EWS : 3</x:v>
      </x:c>
      <x:c r="M97" s="49" t="str">
        <x:v>https://dse2025.mahacet.org.in/dse25/admin/allotment/cap2/1130_4.pdf</x:v>
      </x:c>
    </x:row>
    <x:row r="98">
      <x:c r="A98" s="49" t="str">
        <x:v>2025-26</x:v>
      </x:c>
      <x:c r="B98" s="63" t="n">
        <x:v>1130</x:v>
      </x:c>
      <x:c r="C98" s="49" t="str">
        <x:v>Vision Buldhana Educational &amp; Welfare Society's Pankaj Laddhad Institute of Technology &amp; Management Studies, Yelgaon</x:v>
      </x:c>
      <x:c r="D98" s="72" t="n">
        <x:v>113061210</x:v>
      </x:c>
      <x:c r="E98" s="49" t="str">
        <x:v>Mechanical Engineering</x:v>
      </x:c>
      <x:c r="F98" s="73" t="n">
        <x:v>30</x:v>
      </x:c>
      <x:c r="G98" s="73" t="n">
        <x:v>27</x:v>
      </x:c>
      <x:c r="H98" s="73" t="n">
        <x:v>3</x:v>
      </x:c>
      <x:c r="I98" s="73"/>
      <x:c r="J98" s="73" t="n">
        <x:v>0</x:v>
      </x:c>
      <x:c r="K98" s="49" t="str">
        <x:v>Un-Aided</x:v>
      </x:c>
      <x:c r="L98" s="49" t="str">
        <x:v>MS Seats : 27+ EWS : 3</x:v>
      </x:c>
      <x:c r="M98" s="49" t="str">
        <x:v>https://dse2025.mahacet.org.in/dse25/admin/allotment/cap2/1130_4.pdf</x:v>
      </x:c>
    </x:row>
    <x:row r="99">
      <x:c r="A99" s="49" t="str">
        <x:v>2025-26</x:v>
      </x:c>
      <x:c r="B99" s="63" t="n">
        <x:v>1180</x:v>
      </x:c>
      <x:c r="C99" s="49" t="str">
        <x:v>Sanmati Engineering College, Sawargaon Barde, Washim</x:v>
      </x:c>
      <x:c r="D99" s="72" t="n">
        <x:v>118019110</x:v>
      </x:c>
      <x:c r="E99" s="49" t="str">
        <x:v>Civil Engineering</x:v>
      </x:c>
      <x:c r="F99" s="73" t="n">
        <x:v>70</x:v>
      </x:c>
      <x:c r="G99" s="73" t="n">
        <x:v>63</x:v>
      </x:c>
      <x:c r="H99" s="73" t="n">
        <x:v>7</x:v>
      </x:c>
      <x:c r="I99" s="73"/>
      <x:c r="J99" s="73" t="n">
        <x:v>0</x:v>
      </x:c>
      <x:c r="K99" s="49" t="str">
        <x:v>Un-Aided</x:v>
      </x:c>
      <x:c r="L99" s="49" t="str">
        <x:v>MS Seats : 63+ EWS : 7</x:v>
      </x:c>
      <x:c r="M99" s="49" t="str">
        <x:v>https://dse2025.mahacet.org.in/dse25/admin/allotment/cap2/1180_4.pdf</x:v>
      </x:c>
    </x:row>
    <x:row r="100">
      <x:c r="A100" s="49" t="str">
        <x:v>2025-26</x:v>
      </x:c>
      <x:c r="B100" s="63" t="n">
        <x:v>1180</x:v>
      </x:c>
      <x:c r="C100" s="49" t="str">
        <x:v>Sanmati Engineering College, Sawargaon Barde, Washim</x:v>
      </x:c>
      <x:c r="D100" s="72" t="n">
        <x:v>118024210</x:v>
      </x:c>
      <x:c r="E100" s="49" t="str">
        <x:v>Computer Science and Engineering</x:v>
      </x:c>
      <x:c r="F100" s="73" t="n">
        <x:v>28</x:v>
      </x:c>
      <x:c r="G100" s="73" t="n">
        <x:v>24</x:v>
      </x:c>
      <x:c r="H100" s="73" t="n">
        <x:v>4</x:v>
      </x:c>
      <x:c r="I100" s="73"/>
      <x:c r="J100" s="73" t="n">
        <x:v>0</x:v>
      </x:c>
      <x:c r="K100" s="49" t="str">
        <x:v>Un-Aided</x:v>
      </x:c>
      <x:c r="L100" s="49" t="str">
        <x:v>MS Seats : 24+ EWS : 4</x:v>
      </x:c>
      <x:c r="M100" s="49" t="str">
        <x:v>https://dse2025.mahacet.org.in/dse25/admin/allotment/cap2/1180_4.pdf</x:v>
      </x:c>
    </x:row>
    <x:row r="101">
      <x:c r="A101" s="49" t="str">
        <x:v>2025-26</x:v>
      </x:c>
      <x:c r="B101" s="63" t="n">
        <x:v>1180</x:v>
      </x:c>
      <x:c r="C101" s="49" t="str">
        <x:v>Sanmati Engineering College, Sawargaon Barde, Washim</x:v>
      </x:c>
      <x:c r="D101" s="72" t="n">
        <x:v>118026310</x:v>
      </x:c>
      <x:c r="E101" s="49" t="str">
        <x:v>Artificial Intelligence (AI) and Data Science</x:v>
      </x:c>
      <x:c r="F101" s="73" t="n">
        <x:v>42</x:v>
      </x:c>
      <x:c r="G101" s="73" t="n">
        <x:v>35</x:v>
      </x:c>
      <x:c r="H101" s="73" t="n">
        <x:v>7</x:v>
      </x:c>
      <x:c r="I101" s="73"/>
      <x:c r="J101" s="73" t="n">
        <x:v>0</x:v>
      </x:c>
      <x:c r="K101" s="49" t="str">
        <x:v>Un-Aided</x:v>
      </x:c>
      <x:c r="L101" s="49" t="str">
        <x:v>MS Seats : 35+ EWS : 7</x:v>
      </x:c>
      <x:c r="M101" s="49" t="str">
        <x:v>https://dse2025.mahacet.org.in/dse25/admin/allotment/cap2/1180_4.pdf</x:v>
      </x:c>
    </x:row>
    <x:row r="102">
      <x:c r="A102" s="49" t="str">
        <x:v>2025-26</x:v>
      </x:c>
      <x:c r="B102" s="63" t="n">
        <x:v>1180</x:v>
      </x:c>
      <x:c r="C102" s="49" t="str">
        <x:v>Sanmati Engineering College, Sawargaon Barde, Washim</x:v>
      </x:c>
      <x:c r="D102" s="72" t="n">
        <x:v>118029310</x:v>
      </x:c>
      <x:c r="E102" s="49" t="str">
        <x:v>Electrical Engineering</x:v>
      </x:c>
      <x:c r="F102" s="73" t="n">
        <x:v>65</x:v>
      </x:c>
      <x:c r="G102" s="73" t="n">
        <x:v>58</x:v>
      </x:c>
      <x:c r="H102" s="73" t="n">
        <x:v>7</x:v>
      </x:c>
      <x:c r="I102" s="73"/>
      <x:c r="J102" s="73" t="n">
        <x:v>0</x:v>
      </x:c>
      <x:c r="K102" s="49" t="str">
        <x:v>Un-Aided</x:v>
      </x:c>
      <x:c r="L102" s="49" t="str">
        <x:v>MS Seats : 58+ EWS : 7</x:v>
      </x:c>
      <x:c r="M102" s="49" t="str">
        <x:v>https://dse2025.mahacet.org.in/dse25/admin/allotment/cap2/1180_4.pdf</x:v>
      </x:c>
    </x:row>
    <x:row r="103">
      <x:c r="A103" s="49" t="str">
        <x:v>2025-26</x:v>
      </x:c>
      <x:c r="B103" s="63" t="n">
        <x:v>1180</x:v>
      </x:c>
      <x:c r="C103" s="49" t="str">
        <x:v>Sanmati Engineering College, Sawargaon Barde, Washim</x:v>
      </x:c>
      <x:c r="D103" s="72" t="n">
        <x:v>118061210</x:v>
      </x:c>
      <x:c r="E103" s="49" t="str">
        <x:v>Mechanical Engineering</x:v>
      </x:c>
      <x:c r="F103" s="73" t="n">
        <x:v>71</x:v>
      </x:c>
      <x:c r="G103" s="73" t="n">
        <x:v>64</x:v>
      </x:c>
      <x:c r="H103" s="73" t="n">
        <x:v>7</x:v>
      </x:c>
      <x:c r="I103" s="73"/>
      <x:c r="J103" s="73" t="n">
        <x:v>0</x:v>
      </x:c>
      <x:c r="K103" s="49" t="str">
        <x:v>Un-Aided</x:v>
      </x:c>
      <x:c r="L103" s="49" t="str">
        <x:v>MS Seats : 64+ EWS : 7</x:v>
      </x:c>
      <x:c r="M103" s="49" t="str">
        <x:v>https://dse2025.mahacet.org.in/dse25/admin/allotment/cap2/1180_4.pdf</x:v>
      </x:c>
    </x:row>
    <x:row r="104">
      <x:c r="A104" s="49" t="str">
        <x:v>2025-26</x:v>
      </x:c>
      <x:c r="B104" s="63" t="n">
        <x:v>1182</x:v>
      </x:c>
      <x:c r="C104" s="49" t="str">
        <x:v>Padmashri Dr. V.B. Kolte College of Engineering, Malkapur, Buldhana</x:v>
      </x:c>
      <x:c r="D104" s="72" t="n">
        <x:v>118219110</x:v>
      </x:c>
      <x:c r="E104" s="49" t="str">
        <x:v>Civil Engineering</x:v>
      </x:c>
      <x:c r="F104" s="73" t="n">
        <x:v>23</x:v>
      </x:c>
      <x:c r="G104" s="73" t="n">
        <x:v>17</x:v>
      </x:c>
      <x:c r="H104" s="73" t="n">
        <x:v>6</x:v>
      </x:c>
      <x:c r="I104" s="73"/>
      <x:c r="J104" s="73" t="n">
        <x:v>0</x:v>
      </x:c>
      <x:c r="K104" s="49" t="str">
        <x:v>Un-Aided</x:v>
      </x:c>
      <x:c r="L104" s="49" t="str">
        <x:v>MS Seats : 17+ EWS : 6</x:v>
      </x:c>
      <x:c r="M104" s="49" t="str">
        <x:v>https://dse2025.mahacet.org.in/dse25/admin/allotment/cap2/1182_4.pdf</x:v>
      </x:c>
    </x:row>
    <x:row r="105">
      <x:c r="A105" s="49" t="str">
        <x:v>2025-26</x:v>
      </x:c>
      <x:c r="B105" s="63" t="n">
        <x:v>1182</x:v>
      </x:c>
      <x:c r="C105" s="49" t="str">
        <x:v>Padmashri Dr. V.B. Kolte College of Engineering, Malkapur, Buldhana</x:v>
      </x:c>
      <x:c r="D105" s="72" t="n">
        <x:v>118224210</x:v>
      </x:c>
      <x:c r="E105" s="49" t="str">
        <x:v>Computer Science and Engineering</x:v>
      </x:c>
      <x:c r="F105" s="73" t="n">
        <x:v>12</x:v>
      </x:c>
      <x:c r="G105" s="73" t="n">
        <x:v>10</x:v>
      </x:c>
      <x:c r="H105" s="73" t="n">
        <x:v>2</x:v>
      </x:c>
      <x:c r="I105" s="73"/>
      <x:c r="J105" s="73" t="n">
        <x:v>0</x:v>
      </x:c>
      <x:c r="K105" s="49" t="str">
        <x:v>Un-Aided</x:v>
      </x:c>
      <x:c r="L105" s="49" t="str">
        <x:v>MS Seats : 10+ EWS : 2</x:v>
      </x:c>
      <x:c r="M105" s="49" t="str">
        <x:v>https://dse2025.mahacet.org.in/dse25/admin/allotment/cap2/1182_4.pdf</x:v>
      </x:c>
    </x:row>
    <x:row r="106">
      <x:c r="A106" s="49" t="str">
        <x:v>2025-26</x:v>
      </x:c>
      <x:c r="B106" s="63" t="n">
        <x:v>1182</x:v>
      </x:c>
      <x:c r="C106" s="49" t="str">
        <x:v>Padmashri Dr. V.B. Kolte College of Engineering, Malkapur, Buldhana</x:v>
      </x:c>
      <x:c r="D106" s="72" t="n">
        <x:v>118229310</x:v>
      </x:c>
      <x:c r="E106" s="49" t="str">
        <x:v>Electrical Engineering</x:v>
      </x:c>
      <x:c r="F106" s="73" t="n">
        <x:v>15</x:v>
      </x:c>
      <x:c r="G106" s="73" t="n">
        <x:v>10</x:v>
      </x:c>
      <x:c r="H106" s="73" t="n">
        <x:v>5</x:v>
      </x:c>
      <x:c r="I106" s="73"/>
      <x:c r="J106" s="73" t="n">
        <x:v>0</x:v>
      </x:c>
      <x:c r="K106" s="49" t="str">
        <x:v>Un-Aided</x:v>
      </x:c>
      <x:c r="L106" s="49" t="str">
        <x:v>MS Seats : 10+ EWS : 5</x:v>
      </x:c>
      <x:c r="M106" s="49" t="str">
        <x:v>https://dse2025.mahacet.org.in/dse25/admin/allotment/cap2/1182_4.pdf</x:v>
      </x:c>
    </x:row>
    <x:row r="107">
      <x:c r="A107" s="49" t="str">
        <x:v>2025-26</x:v>
      </x:c>
      <x:c r="B107" s="63" t="n">
        <x:v>1182</x:v>
      </x:c>
      <x:c r="C107" s="49" t="str">
        <x:v>Padmashri Dr. V.B. Kolte College of Engineering, Malkapur, Buldhana</x:v>
      </x:c>
      <x:c r="D107" s="72" t="n">
        <x:v>118261210</x:v>
      </x:c>
      <x:c r="E107" s="49" t="str">
        <x:v>Mechanical Engineering</x:v>
      </x:c>
      <x:c r="F107" s="73" t="n">
        <x:v>20</x:v>
      </x:c>
      <x:c r="G107" s="73" t="n">
        <x:v>13</x:v>
      </x:c>
      <x:c r="H107" s="73" t="n">
        <x:v>7</x:v>
      </x:c>
      <x:c r="I107" s="73"/>
      <x:c r="J107" s="73" t="n">
        <x:v>0</x:v>
      </x:c>
      <x:c r="K107" s="49" t="str">
        <x:v>Un-Aided</x:v>
      </x:c>
      <x:c r="L107" s="49" t="str">
        <x:v>MS Seats : 13+ EWS : 7</x:v>
      </x:c>
      <x:c r="M107" s="49" t="str">
        <x:v>https://dse2025.mahacet.org.in/dse25/admin/allotment/cap2/1182_4.pdf</x:v>
      </x:c>
    </x:row>
    <x:row r="108">
      <x:c r="A108" s="49" t="str">
        <x:v>2025-26</x:v>
      </x:c>
      <x:c r="B108" s="63" t="n">
        <x:v>1265</x:v>
      </x:c>
      <x:c r="C108" s="49" t="str">
        <x:v>Mauli Group of Institutions, College of Engineering and Technology, Shegaon.</x:v>
      </x:c>
      <x:c r="D108" s="72" t="n">
        <x:v>126519110</x:v>
      </x:c>
      <x:c r="E108" s="49" t="str">
        <x:v>Civil Engineering</x:v>
      </x:c>
      <x:c r="F108" s="73" t="n">
        <x:v>16</x:v>
      </x:c>
      <x:c r="G108" s="73" t="n">
        <x:v>9</x:v>
      </x:c>
      <x:c r="H108" s="73" t="n">
        <x:v>7</x:v>
      </x:c>
      <x:c r="I108" s="73"/>
      <x:c r="J108" s="73" t="n">
        <x:v>0</x:v>
      </x:c>
      <x:c r="K108" s="49" t="str">
        <x:v>Un-Aided</x:v>
      </x:c>
      <x:c r="L108" s="49" t="str">
        <x:v>MS Seats : 9+ EWS : 7</x:v>
      </x:c>
      <x:c r="M108" s="49" t="str">
        <x:v>https://dse2025.mahacet.org.in/dse25/admin/allotment/cap2/1265_4.pdf</x:v>
      </x:c>
    </x:row>
    <x:row r="109">
      <x:c r="A109" s="49" t="str">
        <x:v>2025-26</x:v>
      </x:c>
      <x:c r="B109" s="63" t="n">
        <x:v>1265</x:v>
      </x:c>
      <x:c r="C109" s="49" t="str">
        <x:v>Mauli Group of Institutions, College of Engineering and Technology, Shegaon.</x:v>
      </x:c>
      <x:c r="D109" s="72" t="n">
        <x:v>126524210</x:v>
      </x:c>
      <x:c r="E109" s="49" t="str">
        <x:v>Computer Science and Engineering</x:v>
      </x:c>
      <x:c r="F109" s="73" t="n">
        <x:v>12</x:v>
      </x:c>
      <x:c r="G109" s="73" t="n">
        <x:v>11</x:v>
      </x:c>
      <x:c r="H109" s="73" t="n">
        <x:v>1</x:v>
      </x:c>
      <x:c r="I109" s="73"/>
      <x:c r="J109" s="73" t="n">
        <x:v>0</x:v>
      </x:c>
      <x:c r="K109" s="49" t="str">
        <x:v>Un-Aided</x:v>
      </x:c>
      <x:c r="L109" s="49" t="str">
        <x:v>MS Seats : 11+ EWS : 1</x:v>
      </x:c>
      <x:c r="M109" s="49" t="str">
        <x:v>https://dse2025.mahacet.org.in/dse25/admin/allotment/cap2/1265_4.pdf</x:v>
      </x:c>
    </x:row>
    <x:row r="110">
      <x:c r="A110" s="49" t="str">
        <x:v>2025-26</x:v>
      </x:c>
      <x:c r="B110" s="63" t="n">
        <x:v>1265</x:v>
      </x:c>
      <x:c r="C110" s="49" t="str">
        <x:v>Mauli Group of Institutions, College of Engineering and Technology, Shegaon.</x:v>
      </x:c>
      <x:c r="D110" s="72" t="n">
        <x:v>126524610</x:v>
      </x:c>
      <x:c r="E110" s="49" t="str">
        <x:v>Information Technology</x:v>
      </x:c>
      <x:c r="F110" s="73" t="n">
        <x:v>13</x:v>
      </x:c>
      <x:c r="G110" s="73" t="n">
        <x:v>12</x:v>
      </x:c>
      <x:c r="H110" s="73" t="n">
        <x:v>1</x:v>
      </x:c>
      <x:c r="I110" s="73"/>
      <x:c r="J110" s="73" t="n">
        <x:v>0</x:v>
      </x:c>
      <x:c r="K110" s="49" t="str">
        <x:v>Un-Aided</x:v>
      </x:c>
      <x:c r="L110" s="49" t="str">
        <x:v>MS Seats : 12+ EWS : 1</x:v>
      </x:c>
      <x:c r="M110" s="49" t="str">
        <x:v>https://dse2025.mahacet.org.in/dse25/admin/allotment/cap2/1265_4.pdf</x:v>
      </x:c>
    </x:row>
    <x:row r="111">
      <x:c r="A111" s="49" t="str">
        <x:v>2025-26</x:v>
      </x:c>
      <x:c r="B111" s="63" t="n">
        <x:v>1265</x:v>
      </x:c>
      <x:c r="C111" s="49" t="str">
        <x:v>Mauli Group of Institutions, College of Engineering and Technology, Shegaon.</x:v>
      </x:c>
      <x:c r="D111" s="72" t="n">
        <x:v>126535610</x:v>
      </x:c>
      <x:c r="E111" s="49" t="str">
        <x:v>Electrical Engg[Electronics and Power]</x:v>
      </x:c>
      <x:c r="F111" s="73" t="n">
        <x:v>12</x:v>
      </x:c>
      <x:c r="G111" s="73" t="n">
        <x:v>10</x:v>
      </x:c>
      <x:c r="H111" s="73" t="n">
        <x:v>2</x:v>
      </x:c>
      <x:c r="I111" s="73"/>
      <x:c r="J111" s="73" t="n">
        <x:v>0</x:v>
      </x:c>
      <x:c r="K111" s="49" t="str">
        <x:v>Un-Aided</x:v>
      </x:c>
      <x:c r="L111" s="49" t="str">
        <x:v>MS Seats : 10+ EWS : 2</x:v>
      </x:c>
      <x:c r="M111" s="49" t="str">
        <x:v>https://dse2025.mahacet.org.in/dse25/admin/allotment/cap2/1265_4.pdf</x:v>
      </x:c>
    </x:row>
    <x:row r="112">
      <x:c r="A112" s="49" t="str">
        <x:v>2025-26</x:v>
      </x:c>
      <x:c r="B112" s="63" t="n">
        <x:v>1265</x:v>
      </x:c>
      <x:c r="C112" s="49" t="str">
        <x:v>Mauli Group of Institutions, College of Engineering and Technology, Shegaon.</x:v>
      </x:c>
      <x:c r="D112" s="72" t="n">
        <x:v>126537210</x:v>
      </x:c>
      <x:c r="E112" s="49" t="str">
        <x:v>Electronics and Telecommunication Engg</x:v>
      </x:c>
      <x:c r="F112" s="73" t="n">
        <x:v>13</x:v>
      </x:c>
      <x:c r="G112" s="73" t="n">
        <x:v>12</x:v>
      </x:c>
      <x:c r="H112" s="73" t="n">
        <x:v>1</x:v>
      </x:c>
      <x:c r="I112" s="73"/>
      <x:c r="J112" s="73" t="n">
        <x:v>0</x:v>
      </x:c>
      <x:c r="K112" s="49" t="str">
        <x:v>Un-Aided</x:v>
      </x:c>
      <x:c r="L112" s="49" t="str">
        <x:v>MS Seats : 12+ EWS : 1</x:v>
      </x:c>
      <x:c r="M112" s="49" t="str">
        <x:v>https://dse2025.mahacet.org.in/dse25/admin/allotment/cap2/1265_4.pdf</x:v>
      </x:c>
    </x:row>
    <x:row r="113">
      <x:c r="A113" s="49" t="str">
        <x:v>2025-26</x:v>
      </x:c>
      <x:c r="B113" s="63" t="n">
        <x:v>1265</x:v>
      </x:c>
      <x:c r="C113" s="49" t="str">
        <x:v>Mauli Group of Institutions, College of Engineering and Technology, Shegaon.</x:v>
      </x:c>
      <x:c r="D113" s="72" t="n">
        <x:v>126561210</x:v>
      </x:c>
      <x:c r="E113" s="49" t="str">
        <x:v>Mechanical Engineering</x:v>
      </x:c>
      <x:c r="F113" s="73" t="n">
        <x:v>16</x:v>
      </x:c>
      <x:c r="G113" s="73" t="n">
        <x:v>10</x:v>
      </x:c>
      <x:c r="H113" s="73" t="n">
        <x:v>6</x:v>
      </x:c>
      <x:c r="I113" s="73"/>
      <x:c r="J113" s="73" t="n">
        <x:v>0</x:v>
      </x:c>
      <x:c r="K113" s="49" t="str">
        <x:v>Un-Aided</x:v>
      </x:c>
      <x:c r="L113" s="49" t="str">
        <x:v>MS Seats : 10+ EWS : 6</x:v>
      </x:c>
      <x:c r="M113" s="49" t="str">
        <x:v>https://dse2025.mahacet.org.in/dse25/admin/allotment/cap2/1265_4.pdf</x:v>
      </x:c>
    </x:row>
    <x:row r="114">
      <x:c r="A114" s="49" t="str">
        <x:v>2025-26</x:v>
      </x:c>
      <x:c r="B114" s="63" t="n">
        <x:v>1268</x:v>
      </x:c>
      <x:c r="C114" s="49" t="str">
        <x:v>Siddhivinayak Technical Campus, School of Engineering &amp; Research Technology, Shirasgon, Nile</x:v>
      </x:c>
      <x:c r="D114" s="72" t="n">
        <x:v>126819110</x:v>
      </x:c>
      <x:c r="E114" s="49" t="str">
        <x:v>Civil Engineering</x:v>
      </x:c>
      <x:c r="F114" s="73" t="n">
        <x:v>25</x:v>
      </x:c>
      <x:c r="G114" s="73" t="n">
        <x:v>22</x:v>
      </x:c>
      <x:c r="H114" s="73" t="n">
        <x:v>3</x:v>
      </x:c>
      <x:c r="I114" s="73"/>
      <x:c r="J114" s="73" t="n">
        <x:v>0</x:v>
      </x:c>
      <x:c r="K114" s="49" t="str">
        <x:v>Un-Aided</x:v>
      </x:c>
      <x:c r="L114" s="49" t="str">
        <x:v>MS Seats : 22+ EWS : 3</x:v>
      </x:c>
      <x:c r="M114" s="49" t="str">
        <x:v>https://dse2025.mahacet.org.in/dse25/admin/allotment/cap2/1268_4.pdf</x:v>
      </x:c>
    </x:row>
    <x:row r="115">
      <x:c r="A115" s="49" t="str">
        <x:v>2025-26</x:v>
      </x:c>
      <x:c r="B115" s="63" t="n">
        <x:v>1268</x:v>
      </x:c>
      <x:c r="C115" s="49" t="str">
        <x:v>Siddhivinayak Technical Campus, School of Engineering &amp; Research Technology, Shirasgon, Nile</x:v>
      </x:c>
      <x:c r="D115" s="72" t="n">
        <x:v>126824210</x:v>
      </x:c>
      <x:c r="E115" s="49" t="str">
        <x:v>Computer Science and Engineering</x:v>
      </x:c>
      <x:c r="F115" s="73" t="n">
        <x:v>10</x:v>
      </x:c>
      <x:c r="G115" s="73" t="n">
        <x:v>9</x:v>
      </x:c>
      <x:c r="H115" s="73" t="n">
        <x:v>1</x:v>
      </x:c>
      <x:c r="I115" s="73"/>
      <x:c r="J115" s="73" t="n">
        <x:v>0</x:v>
      </x:c>
      <x:c r="K115" s="49" t="str">
        <x:v>Un-Aided</x:v>
      </x:c>
      <x:c r="L115" s="49" t="str">
        <x:v>MS Seats : 9+ EWS : 1</x:v>
      </x:c>
      <x:c r="M115" s="49" t="str">
        <x:v>https://dse2025.mahacet.org.in/dse25/admin/allotment/cap2/1268_4.pdf</x:v>
      </x:c>
    </x:row>
    <x:row r="116">
      <x:c r="A116" s="49" t="str">
        <x:v>2025-26</x:v>
      </x:c>
      <x:c r="B116" s="63" t="n">
        <x:v>1268</x:v>
      </x:c>
      <x:c r="C116" s="49" t="str">
        <x:v>Siddhivinayak Technical Campus, School of Engineering &amp; Research Technology, Shirasgon, Nile</x:v>
      </x:c>
      <x:c r="D116" s="72" t="n">
        <x:v>126835610</x:v>
      </x:c>
      <x:c r="E116" s="49" t="str">
        <x:v>Electrical Engg[Electronics and Power]</x:v>
      </x:c>
      <x:c r="F116" s="73" t="n">
        <x:v>18</x:v>
      </x:c>
      <x:c r="G116" s="73" t="n">
        <x:v>15</x:v>
      </x:c>
      <x:c r="H116" s="73" t="n">
        <x:v>3</x:v>
      </x:c>
      <x:c r="I116" s="73"/>
      <x:c r="J116" s="73" t="n">
        <x:v>0</x:v>
      </x:c>
      <x:c r="K116" s="49" t="str">
        <x:v>Un-Aided</x:v>
      </x:c>
      <x:c r="L116" s="49" t="str">
        <x:v>MS Seats : 15+ EWS : 3</x:v>
      </x:c>
      <x:c r="M116" s="49" t="str">
        <x:v>https://dse2025.mahacet.org.in/dse25/admin/allotment/cap2/1268_4.pdf</x:v>
      </x:c>
    </x:row>
    <x:row r="117">
      <x:c r="A117" s="49" t="str">
        <x:v>2025-26</x:v>
      </x:c>
      <x:c r="B117" s="63" t="n">
        <x:v>1268</x:v>
      </x:c>
      <x:c r="C117" s="49" t="str">
        <x:v>Siddhivinayak Technical Campus, School of Engineering &amp; Research Technology, Shirasgon, Nile</x:v>
      </x:c>
      <x:c r="D117" s="72" t="n">
        <x:v>126837210</x:v>
      </x:c>
      <x:c r="E117" s="49" t="str">
        <x:v>Electronics and Telecommunication Engg</x:v>
      </x:c>
      <x:c r="F117" s="73" t="n">
        <x:v>14</x:v>
      </x:c>
      <x:c r="G117" s="73" t="n">
        <x:v>10</x:v>
      </x:c>
      <x:c r="H117" s="73" t="n">
        <x:v>4</x:v>
      </x:c>
      <x:c r="I117" s="73"/>
      <x:c r="J117" s="73" t="n">
        <x:v>0</x:v>
      </x:c>
      <x:c r="K117" s="49" t="str">
        <x:v>Un-Aided</x:v>
      </x:c>
      <x:c r="L117" s="49" t="str">
        <x:v>MS Seats : 10+ EWS : 4</x:v>
      </x:c>
      <x:c r="M117" s="49" t="str">
        <x:v>https://dse2025.mahacet.org.in/dse25/admin/allotment/cap2/1268_4.pdf</x:v>
      </x:c>
    </x:row>
    <x:row r="118">
      <x:c r="A118" s="49" t="str">
        <x:v>2025-26</x:v>
      </x:c>
      <x:c r="B118" s="63" t="n">
        <x:v>1268</x:v>
      </x:c>
      <x:c r="C118" s="49" t="str">
        <x:v>Siddhivinayak Technical Campus, School of Engineering &amp; Research Technology, Shirasgon, Nile</x:v>
      </x:c>
      <x:c r="D118" s="72" t="n">
        <x:v>126861210</x:v>
      </x:c>
      <x:c r="E118" s="49" t="str">
        <x:v>Mechanical Engineering</x:v>
      </x:c>
      <x:c r="F118" s="73" t="n">
        <x:v>31</x:v>
      </x:c>
      <x:c r="G118" s="73" t="n">
        <x:v>28</x:v>
      </x:c>
      <x:c r="H118" s="73" t="n">
        <x:v>3</x:v>
      </x:c>
      <x:c r="I118" s="73"/>
      <x:c r="J118" s="73" t="n">
        <x:v>0</x:v>
      </x:c>
      <x:c r="K118" s="49" t="str">
        <x:v>Un-Aided</x:v>
      </x:c>
      <x:c r="L118" s="49" t="str">
        <x:v>MS Seats : 28+ EWS : 3</x:v>
      </x:c>
      <x:c r="M118" s="49" t="str">
        <x:v>https://dse2025.mahacet.org.in/dse25/admin/allotment/cap2/1268_4.pdf</x:v>
      </x:c>
    </x:row>
    <x:row r="119">
      <x:c r="A119" s="49" t="str">
        <x:v>2025-26</x:v>
      </x:c>
      <x:c r="B119" s="63" t="n">
        <x:v>1268</x:v>
      </x:c>
      <x:c r="C119" s="49" t="str">
        <x:v>Siddhivinayak Technical Campus, School of Engineering &amp; Research Technology, Shirasgon, Nile</x:v>
      </x:c>
      <x:c r="D119" s="72" t="n">
        <x:v>126899510</x:v>
      </x:c>
      <x:c r="E119" s="49" t="str">
        <x:v>Artificial Intelligence and Data Science</x:v>
      </x:c>
      <x:c r="F119" s="73" t="n">
        <x:v>15</x:v>
      </x:c>
      <x:c r="G119" s="73" t="n">
        <x:v>12</x:v>
      </x:c>
      <x:c r="H119" s="73" t="n">
        <x:v>3</x:v>
      </x:c>
      <x:c r="I119" s="73"/>
      <x:c r="J119" s="73" t="n">
        <x:v>0</x:v>
      </x:c>
      <x:c r="K119" s="49" t="str">
        <x:v>Un-Aided</x:v>
      </x:c>
      <x:c r="L119" s="49" t="str">
        <x:v>MS Seats : 12+ EWS : 3</x:v>
      </x:c>
      <x:c r="M119" s="49" t="str">
        <x:v>https://dse2025.mahacet.org.in/dse25/admin/allotment/cap2/1268_4.pdf</x:v>
      </x:c>
    </x:row>
    <x:row r="120">
      <x:c r="A120" s="49" t="str">
        <x:v>2025-26</x:v>
      </x:c>
      <x:c r="B120" s="63" t="n">
        <x:v>1276</x:v>
      </x:c>
      <x:c r="C120" s="49" t="str">
        <x:v>Manav School of Engineering &amp; Technology, Gut No. 1035 Nagpur Surat Highway, NH No. 6 Tal.Vyala, Balapur, Akola, 444302</x:v>
      </x:c>
      <x:c r="D120" s="72" t="n">
        <x:v>127619110</x:v>
      </x:c>
      <x:c r="E120" s="49" t="str">
        <x:v>Civil Engineering</x:v>
      </x:c>
      <x:c r="F120" s="73" t="n">
        <x:v>32</x:v>
      </x:c>
      <x:c r="G120" s="73" t="n">
        <x:v>28</x:v>
      </x:c>
      <x:c r="H120" s="73" t="n">
        <x:v>4</x:v>
      </x:c>
      <x:c r="I120" s="73"/>
      <x:c r="J120" s="73" t="n">
        <x:v>0</x:v>
      </x:c>
      <x:c r="K120" s="49" t="str">
        <x:v>Un-Aided</x:v>
      </x:c>
      <x:c r="L120" s="49" t="str">
        <x:v>MS Seats : 28+ EWS : 4</x:v>
      </x:c>
      <x:c r="M120" s="49" t="str">
        <x:v>https://dse2025.mahacet.org.in/dse25/admin/allotment/cap2/1276_4.pdf</x:v>
      </x:c>
    </x:row>
    <x:row r="121">
      <x:c r="A121" s="49" t="str">
        <x:v>2025-26</x:v>
      </x:c>
      <x:c r="B121" s="63" t="n">
        <x:v>1276</x:v>
      </x:c>
      <x:c r="C121" s="49" t="str">
        <x:v>Manav School of Engineering &amp; Technology, Gut No. 1035 Nagpur Surat Highway, NH No. 6 Tal.Vyala, Balapur, Akola, 444302</x:v>
      </x:c>
      <x:c r="D121" s="72" t="n">
        <x:v>127624510</x:v>
      </x:c>
      <x:c r="E121" s="49" t="str">
        <x:v>Computer Engineering</x:v>
      </x:c>
      <x:c r="F121" s="73" t="n">
        <x:v>6</x:v>
      </x:c>
      <x:c r="G121" s="73" t="n">
        <x:v>6</x:v>
      </x:c>
      <x:c r="H121" s="73" t="n">
        <x:v>0</x:v>
      </x:c>
      <x:c r="I121" s="73"/>
      <x:c r="J121" s="73" t="n">
        <x:v>0</x:v>
      </x:c>
      <x:c r="K121" s="49" t="str">
        <x:v>Un-Aided</x:v>
      </x:c>
      <x:c r="L121" s="49" t="str">
        <x:v>MS Seats : 6+ EWS : 0</x:v>
      </x:c>
      <x:c r="M121" s="49" t="str">
        <x:v>https://dse2025.mahacet.org.in/dse25/admin/allotment/cap2/1276_4.pdf</x:v>
      </x:c>
    </x:row>
    <x:row r="122">
      <x:c r="A122" s="49" t="str">
        <x:v>2025-26</x:v>
      </x:c>
      <x:c r="B122" s="63" t="n">
        <x:v>1276</x:v>
      </x:c>
      <x:c r="C122" s="49" t="str">
        <x:v>Manav School of Engineering &amp; Technology, Gut No. 1035 Nagpur Surat Highway, NH No. 6 Tal.Vyala, Balapur, Akola, 444302</x:v>
      </x:c>
      <x:c r="D122" s="72" t="n">
        <x:v>127629310</x:v>
      </x:c>
      <x:c r="E122" s="49" t="str">
        <x:v>Electrical Engineering</x:v>
      </x:c>
      <x:c r="F122" s="73" t="n">
        <x:v>28</x:v>
      </x:c>
      <x:c r="G122" s="73" t="n">
        <x:v>25</x:v>
      </x:c>
      <x:c r="H122" s="73" t="n">
        <x:v>3</x:v>
      </x:c>
      <x:c r="I122" s="73"/>
      <x:c r="J122" s="73" t="n">
        <x:v>0</x:v>
      </x:c>
      <x:c r="K122" s="49" t="str">
        <x:v>Un-Aided</x:v>
      </x:c>
      <x:c r="L122" s="49" t="str">
        <x:v>MS Seats : 25+ EWS : 3</x:v>
      </x:c>
      <x:c r="M122" s="49" t="str">
        <x:v>https://dse2025.mahacet.org.in/dse25/admin/allotment/cap2/1276_4.pdf</x:v>
      </x:c>
    </x:row>
    <x:row r="123">
      <x:c r="A123" s="49" t="str">
        <x:v>2025-26</x:v>
      </x:c>
      <x:c r="B123" s="63" t="n">
        <x:v>1276</x:v>
      </x:c>
      <x:c r="C123" s="49" t="str">
        <x:v>Manav School of Engineering &amp; Technology, Gut No. 1035 Nagpur Surat Highway, NH No. 6 Tal.Vyala, Balapur, Akola, 444302</x:v>
      </x:c>
      <x:c r="D123" s="72" t="n">
        <x:v>127661210</x:v>
      </x:c>
      <x:c r="E123" s="49" t="str">
        <x:v>Mechanical Engineering</x:v>
      </x:c>
      <x:c r="F123" s="73" t="n">
        <x:v>33</x:v>
      </x:c>
      <x:c r="G123" s="73" t="n">
        <x:v>30</x:v>
      </x:c>
      <x:c r="H123" s="73" t="n">
        <x:v>3</x:v>
      </x:c>
      <x:c r="I123" s="73"/>
      <x:c r="J123" s="73" t="n">
        <x:v>0</x:v>
      </x:c>
      <x:c r="K123" s="49" t="str">
        <x:v>Un-Aided</x:v>
      </x:c>
      <x:c r="L123" s="49" t="str">
        <x:v>MS Seats : 30+ EWS : 3</x:v>
      </x:c>
      <x:c r="M123" s="49" t="str">
        <x:v>https://dse2025.mahacet.org.in/dse25/admin/allotment/cap2/1276_4.pdf</x:v>
      </x:c>
    </x:row>
    <x:row r="124">
      <x:c r="A124" s="49" t="str">
        <x:v>2025-26</x:v>
      </x:c>
      <x:c r="B124" s="63" t="n">
        <x:v>2008</x:v>
      </x:c>
      <x:c r="C124" s="49" t="str">
        <x:v>Government College of Engineering, Chhatrapati Sambhajinagar</x:v>
      </x:c>
      <x:c r="D124" s="72" t="n">
        <x:v>200819110</x:v>
      </x:c>
      <x:c r="E124" s="49" t="str">
        <x:v>Civil Engineering</x:v>
      </x:c>
      <x:c r="F124" s="73" t="n">
        <x:v>10</x:v>
      </x:c>
      <x:c r="G124" s="73" t="n">
        <x:v>8</x:v>
      </x:c>
      <x:c r="H124" s="73" t="n">
        <x:v>2</x:v>
      </x:c>
      <x:c r="I124" s="73"/>
      <x:c r="J124" s="73" t="n">
        <x:v>0</x:v>
      </x:c>
      <x:c r="K124" s="49" t="str">
        <x:v>Government Autonomous</x:v>
      </x:c>
      <x:c r="L124" s="49" t="str">
        <x:v>MS Seats : 8+ EWS : 2</x:v>
      </x:c>
      <x:c r="M124" s="49" t="str">
        <x:v>https://dse2025.mahacet.org.in/dse25/admin/allotment/cap2/2008_4.pdf</x:v>
      </x:c>
    </x:row>
    <x:row r="125">
      <x:c r="A125" s="49" t="str">
        <x:v>2025-26</x:v>
      </x:c>
      <x:c r="B125" s="63" t="n">
        <x:v>2008</x:v>
      </x:c>
      <x:c r="C125" s="49" t="str">
        <x:v>Government College of Engineering, Chhatrapati Sambhajinagar</x:v>
      </x:c>
      <x:c r="D125" s="72" t="n">
        <x:v>200824210</x:v>
      </x:c>
      <x:c r="E125" s="49" t="str">
        <x:v>Computer Science and Engineering</x:v>
      </x:c>
      <x:c r="F125" s="73" t="n">
        <x:v>8</x:v>
      </x:c>
      <x:c r="G125" s="73" t="n">
        <x:v>7</x:v>
      </x:c>
      <x:c r="H125" s="73" t="n">
        <x:v>1</x:v>
      </x:c>
      <x:c r="I125" s="73"/>
      <x:c r="J125" s="73" t="n">
        <x:v>0</x:v>
      </x:c>
      <x:c r="K125" s="49" t="str">
        <x:v>Government Autonomous</x:v>
      </x:c>
      <x:c r="L125" s="49" t="str">
        <x:v>MS Seats : 7+ EWS : 1</x:v>
      </x:c>
      <x:c r="M125" s="49" t="str">
        <x:v>https://dse2025.mahacet.org.in/dse25/admin/allotment/cap2/2008_4.pdf</x:v>
      </x:c>
    </x:row>
    <x:row r="126">
      <x:c r="A126" s="49" t="str">
        <x:v>2025-26</x:v>
      </x:c>
      <x:c r="B126" s="63" t="n">
        <x:v>2008</x:v>
      </x:c>
      <x:c r="C126" s="49" t="str">
        <x:v>Government College of Engineering, Chhatrapati Sambhajinagar</x:v>
      </x:c>
      <x:c r="D126" s="72" t="n">
        <x:v>200824610</x:v>
      </x:c>
      <x:c r="E126" s="49" t="str">
        <x:v>Information Technology</x:v>
      </x:c>
      <x:c r="F126" s="73" t="n">
        <x:v>9</x:v>
      </x:c>
      <x:c r="G126" s="73" t="n">
        <x:v>7</x:v>
      </x:c>
      <x:c r="H126" s="73" t="n">
        <x:v>2</x:v>
      </x:c>
      <x:c r="I126" s="73"/>
      <x:c r="J126" s="73" t="n">
        <x:v>0</x:v>
      </x:c>
      <x:c r="K126" s="49" t="str">
        <x:v>Government Autonomous</x:v>
      </x:c>
      <x:c r="L126" s="49" t="str">
        <x:v>MS Seats : 7+ EWS : 2</x:v>
      </x:c>
      <x:c r="M126" s="49" t="str">
        <x:v>https://dse2025.mahacet.org.in/dse25/admin/allotment/cap2/2008_4.pdf</x:v>
      </x:c>
    </x:row>
    <x:row r="127">
      <x:c r="A127" s="49" t="str">
        <x:v>2025-26</x:v>
      </x:c>
      <x:c r="B127" s="63" t="n">
        <x:v>2008</x:v>
      </x:c>
      <x:c r="C127" s="49" t="str">
        <x:v>Government College of Engineering, Chhatrapati Sambhajinagar</x:v>
      </x:c>
      <x:c r="D127" s="72" t="n">
        <x:v>200829310</x:v>
      </x:c>
      <x:c r="E127" s="49" t="str">
        <x:v>Electrical Engineering</x:v>
      </x:c>
      <x:c r="F127" s="73" t="n">
        <x:v>10</x:v>
      </x:c>
      <x:c r="G127" s="73" t="n">
        <x:v>8</x:v>
      </x:c>
      <x:c r="H127" s="73" t="n">
        <x:v>2</x:v>
      </x:c>
      <x:c r="I127" s="73"/>
      <x:c r="J127" s="73" t="n">
        <x:v>0</x:v>
      </x:c>
      <x:c r="K127" s="49" t="str">
        <x:v>Government Autonomous</x:v>
      </x:c>
      <x:c r="L127" s="49" t="str">
        <x:v>MS Seats : 8+ EWS : 2</x:v>
      </x:c>
      <x:c r="M127" s="49" t="str">
        <x:v>https://dse2025.mahacet.org.in/dse25/admin/allotment/cap2/2008_4.pdf</x:v>
      </x:c>
    </x:row>
    <x:row r="128">
      <x:c r="A128" s="49" t="str">
        <x:v>2025-26</x:v>
      </x:c>
      <x:c r="B128" s="63" t="n">
        <x:v>2008</x:v>
      </x:c>
      <x:c r="C128" s="49" t="str">
        <x:v>Government College of Engineering, Chhatrapati Sambhajinagar</x:v>
      </x:c>
      <x:c r="D128" s="72" t="n">
        <x:v>200837210</x:v>
      </x:c>
      <x:c r="E128" s="49" t="str">
        <x:v>Electronics and Telecommunication Engg</x:v>
      </x:c>
      <x:c r="F128" s="73" t="n">
        <x:v>9</x:v>
      </x:c>
      <x:c r="G128" s="73" t="n">
        <x:v>8</x:v>
      </x:c>
      <x:c r="H128" s="73" t="n">
        <x:v>1</x:v>
      </x:c>
      <x:c r="I128" s="73"/>
      <x:c r="J128" s="73" t="n">
        <x:v>0</x:v>
      </x:c>
      <x:c r="K128" s="49" t="str">
        <x:v>Government Autonomous</x:v>
      </x:c>
      <x:c r="L128" s="49" t="str">
        <x:v>MS Seats : 8+ EWS : 1</x:v>
      </x:c>
      <x:c r="M128" s="49" t="str">
        <x:v>https://dse2025.mahacet.org.in/dse25/admin/allotment/cap2/2008_4.pdf</x:v>
      </x:c>
    </x:row>
    <x:row r="129">
      <x:c r="A129" s="49" t="str">
        <x:v>2025-26</x:v>
      </x:c>
      <x:c r="B129" s="63" t="n">
        <x:v>2008</x:v>
      </x:c>
      <x:c r="C129" s="49" t="str">
        <x:v>Government College of Engineering, Chhatrapati Sambhajinagar</x:v>
      </x:c>
      <x:c r="D129" s="72" t="n">
        <x:v>200861210</x:v>
      </x:c>
      <x:c r="E129" s="49" t="str">
        <x:v>Mechanical Engineering</x:v>
      </x:c>
      <x:c r="F129" s="73" t="n">
        <x:v>12</x:v>
      </x:c>
      <x:c r="G129" s="73" t="n">
        <x:v>11</x:v>
      </x:c>
      <x:c r="H129" s="73" t="n">
        <x:v>1</x:v>
      </x:c>
      <x:c r="I129" s="73"/>
      <x:c r="J129" s="73" t="n">
        <x:v>0</x:v>
      </x:c>
      <x:c r="K129" s="49" t="str">
        <x:v>Government Autonomous</x:v>
      </x:c>
      <x:c r="L129" s="49" t="str">
        <x:v>MS Seats : 11+ EWS : 1</x:v>
      </x:c>
      <x:c r="M129" s="49" t="str">
        <x:v>https://dse2025.mahacet.org.in/dse25/admin/allotment/cap2/2008_4.pdf</x:v>
      </x:c>
    </x:row>
    <x:row r="130">
      <x:c r="A130" s="49" t="str">
        <x:v>2025-26</x:v>
      </x:c>
      <x:c r="B130" s="63" t="n">
        <x:v>2020</x:v>
      </x:c>
      <x:c r="C130" s="49" t="str">
        <x:v>Shri Guru Gobind Singhji Institute of Engineering and Technology, Nanded</x:v>
      </x:c>
      <x:c r="D130" s="72" t="n">
        <x:v>202019110</x:v>
      </x:c>
      <x:c r="E130" s="49" t="str">
        <x:v>Civil Engineering</x:v>
      </x:c>
      <x:c r="F130" s="73" t="n">
        <x:v>11</x:v>
      </x:c>
      <x:c r="G130" s="73" t="n">
        <x:v>7</x:v>
      </x:c>
      <x:c r="H130" s="73" t="n">
        <x:v>4</x:v>
      </x:c>
      <x:c r="I130" s="73"/>
      <x:c r="J130" s="73" t="n">
        <x:v>0</x:v>
      </x:c>
      <x:c r="K130" s="49" t="str">
        <x:v>Government-Aided Autonomous</x:v>
      </x:c>
      <x:c r="L130" s="49" t="str">
        <x:v>MS Seats : 7+ EWS : 4</x:v>
      </x:c>
      <x:c r="M130" s="49" t="str">
        <x:v>https://dse2025.mahacet.org.in/dse25/admin/allotment/cap2/2020_4.pdf</x:v>
      </x:c>
    </x:row>
    <x:row r="131">
      <x:c r="A131" s="49" t="str">
        <x:v>2025-26</x:v>
      </x:c>
      <x:c r="B131" s="63" t="n">
        <x:v>2020</x:v>
      </x:c>
      <x:c r="C131" s="49" t="str">
        <x:v>Shri Guru Gobind Singhji Institute of Engineering and Technology, Nanded</x:v>
      </x:c>
      <x:c r="D131" s="72" t="n">
        <x:v>202024210</x:v>
      </x:c>
      <x:c r="E131" s="49" t="str">
        <x:v>Computer Science and Engineering</x:v>
      </x:c>
      <x:c r="F131" s="73" t="n">
        <x:v>18</x:v>
      </x:c>
      <x:c r="G131" s="73" t="n">
        <x:v>13</x:v>
      </x:c>
      <x:c r="H131" s="73" t="n">
        <x:v>5</x:v>
      </x:c>
      <x:c r="I131" s="73"/>
      <x:c r="J131" s="73" t="n">
        <x:v>0</x:v>
      </x:c>
      <x:c r="K131" s="49" t="str">
        <x:v>Government-Aided Autonomous</x:v>
      </x:c>
      <x:c r="L131" s="49" t="str">
        <x:v>MS Seats : 13+ EWS : 5</x:v>
      </x:c>
      <x:c r="M131" s="49" t="str">
        <x:v>https://dse2025.mahacet.org.in/dse25/admin/allotment/cap2/2020_4.pdf</x:v>
      </x:c>
    </x:row>
    <x:row r="132">
      <x:c r="A132" s="49" t="str">
        <x:v>2025-26</x:v>
      </x:c>
      <x:c r="B132" s="63" t="n">
        <x:v>2020</x:v>
      </x:c>
      <x:c r="C132" s="49" t="str">
        <x:v>Shri Guru Gobind Singhji Institute of Engineering and Technology, Nanded</x:v>
      </x:c>
      <x:c r="D132" s="72" t="n">
        <x:v>202024610</x:v>
      </x:c>
      <x:c r="E132" s="49" t="str">
        <x:v>Information Technology</x:v>
      </x:c>
      <x:c r="F132" s="73" t="n">
        <x:v>9</x:v>
      </x:c>
      <x:c r="G132" s="73" t="n">
        <x:v>7</x:v>
      </x:c>
      <x:c r="H132" s="73" t="n">
        <x:v>2</x:v>
      </x:c>
      <x:c r="I132" s="73"/>
      <x:c r="J132" s="73" t="n">
        <x:v>0</x:v>
      </x:c>
      <x:c r="K132" s="49" t="str">
        <x:v>Government-Aided Autonomous</x:v>
      </x:c>
      <x:c r="L132" s="49" t="str">
        <x:v>MS Seats : 7+ EWS : 2</x:v>
      </x:c>
      <x:c r="M132" s="49" t="str">
        <x:v>https://dse2025.mahacet.org.in/dse25/admin/allotment/cap2/2020_4.pdf</x:v>
      </x:c>
    </x:row>
    <x:row r="133">
      <x:c r="A133" s="49" t="str">
        <x:v>2025-26</x:v>
      </x:c>
      <x:c r="B133" s="63" t="n">
        <x:v>2020</x:v>
      </x:c>
      <x:c r="C133" s="49" t="str">
        <x:v>Shri Guru Gobind Singhji Institute of Engineering and Technology, Nanded</x:v>
      </x:c>
      <x:c r="D133" s="72" t="n">
        <x:v>202029310</x:v>
      </x:c>
      <x:c r="E133" s="49" t="str">
        <x:v>Electrical Engineering</x:v>
      </x:c>
      <x:c r="F133" s="73" t="n">
        <x:v>5</x:v>
      </x:c>
      <x:c r="G133" s="73" t="n">
        <x:v>4</x:v>
      </x:c>
      <x:c r="H133" s="73" t="n">
        <x:v>1</x:v>
      </x:c>
      <x:c r="I133" s="73"/>
      <x:c r="J133" s="73" t="n">
        <x:v>0</x:v>
      </x:c>
      <x:c r="K133" s="49" t="str">
        <x:v>Government-Aided Autonomous</x:v>
      </x:c>
      <x:c r="L133" s="49" t="str">
        <x:v>MS Seats : 4+ EWS : 1</x:v>
      </x:c>
      <x:c r="M133" s="49" t="str">
        <x:v>https://dse2025.mahacet.org.in/dse25/admin/allotment/cap2/2020_4.pdf</x:v>
      </x:c>
    </x:row>
    <x:row r="134">
      <x:c r="A134" s="49" t="str">
        <x:v>2025-26</x:v>
      </x:c>
      <x:c r="B134" s="63" t="n">
        <x:v>2020</x:v>
      </x:c>
      <x:c r="C134" s="49" t="str">
        <x:v>Shri Guru Gobind Singhji Institute of Engineering and Technology, Nanded</x:v>
      </x:c>
      <x:c r="D134" s="72" t="n">
        <x:v>202037210</x:v>
      </x:c>
      <x:c r="E134" s="49" t="str">
        <x:v>Electronics and Telecommunication Engg</x:v>
      </x:c>
      <x:c r="F134" s="73" t="n">
        <x:v>15</x:v>
      </x:c>
      <x:c r="G134" s="73" t="n">
        <x:v>13</x:v>
      </x:c>
      <x:c r="H134" s="73" t="n">
        <x:v>2</x:v>
      </x:c>
      <x:c r="I134" s="73"/>
      <x:c r="J134" s="73" t="n">
        <x:v>0</x:v>
      </x:c>
      <x:c r="K134" s="49" t="str">
        <x:v>Government-Aided Autonomous</x:v>
      </x:c>
      <x:c r="L134" s="49" t="str">
        <x:v>MS Seats : 13+ EWS : 2</x:v>
      </x:c>
      <x:c r="M134" s="49" t="str">
        <x:v>https://dse2025.mahacet.org.in/dse25/admin/allotment/cap2/2020_4.pdf</x:v>
      </x:c>
    </x:row>
    <x:row r="135">
      <x:c r="A135" s="49" t="str">
        <x:v>2025-26</x:v>
      </x:c>
      <x:c r="B135" s="63" t="n">
        <x:v>2020</x:v>
      </x:c>
      <x:c r="C135" s="49" t="str">
        <x:v>Shri Guru Gobind Singhji Institute of Engineering and Technology, Nanded</x:v>
      </x:c>
      <x:c r="D135" s="72" t="n">
        <x:v>202046610</x:v>
      </x:c>
      <x:c r="E135" s="49" t="str">
        <x:v>Instrumentation Engineering</x:v>
      </x:c>
      <x:c r="F135" s="73" t="n">
        <x:v>6</x:v>
      </x:c>
      <x:c r="G135" s="73" t="n">
        <x:v>4</x:v>
      </x:c>
      <x:c r="H135" s="73" t="n">
        <x:v>2</x:v>
      </x:c>
      <x:c r="I135" s="73"/>
      <x:c r="J135" s="73" t="n">
        <x:v>0</x:v>
      </x:c>
      <x:c r="K135" s="49" t="str">
        <x:v>Government-Aided Autonomous</x:v>
      </x:c>
      <x:c r="L135" s="49" t="str">
        <x:v>MS Seats : 4+ EWS : 2</x:v>
      </x:c>
      <x:c r="M135" s="49" t="str">
        <x:v>https://dse2025.mahacet.org.in/dse25/admin/allotment/cap2/2020_4.pdf</x:v>
      </x:c>
    </x:row>
    <x:row r="136">
      <x:c r="A136" s="49" t="str">
        <x:v>2025-26</x:v>
      </x:c>
      <x:c r="B136" s="63" t="n">
        <x:v>2020</x:v>
      </x:c>
      <x:c r="C136" s="49" t="str">
        <x:v>Shri Guru Gobind Singhji Institute of Engineering and Technology, Nanded</x:v>
      </x:c>
      <x:c r="D136" s="72" t="n">
        <x:v>202050710</x:v>
      </x:c>
      <x:c r="E136" s="49" t="str">
        <x:v>Chemical Engineering</x:v>
      </x:c>
      <x:c r="F136" s="73" t="n">
        <x:v>4</x:v>
      </x:c>
      <x:c r="G136" s="73" t="n">
        <x:v>4</x:v>
      </x:c>
      <x:c r="H136" s="73" t="n">
        <x:v>0</x:v>
      </x:c>
      <x:c r="I136" s="73"/>
      <x:c r="J136" s="73" t="n">
        <x:v>0</x:v>
      </x:c>
      <x:c r="K136" s="49" t="str">
        <x:v>Government-Aided Autonomous</x:v>
      </x:c>
      <x:c r="L136" s="49" t="str">
        <x:v>MS Seats : 4+ EWS : 0</x:v>
      </x:c>
      <x:c r="M136" s="49" t="str">
        <x:v>https://dse2025.mahacet.org.in/dse25/admin/allotment/cap2/2020_4.pdf</x:v>
      </x:c>
    </x:row>
    <x:row r="137">
      <x:c r="A137" s="49" t="str">
        <x:v>2025-26</x:v>
      </x:c>
      <x:c r="B137" s="63" t="n">
        <x:v>2020</x:v>
      </x:c>
      <x:c r="C137" s="49" t="str">
        <x:v>Shri Guru Gobind Singhji Institute of Engineering and Technology, Nanded</x:v>
      </x:c>
      <x:c r="D137" s="72" t="n">
        <x:v>202060610</x:v>
      </x:c>
      <x:c r="E137" s="49" t="str">
        <x:v>Production Engineering</x:v>
      </x:c>
      <x:c r="F137" s="73" t="n">
        <x:v>17</x:v>
      </x:c>
      <x:c r="G137" s="73" t="n">
        <x:v>13</x:v>
      </x:c>
      <x:c r="H137" s="73" t="n">
        <x:v>4</x:v>
      </x:c>
      <x:c r="I137" s="73"/>
      <x:c r="J137" s="73" t="n">
        <x:v>0</x:v>
      </x:c>
      <x:c r="K137" s="49" t="str">
        <x:v>Government-Aided Autonomous</x:v>
      </x:c>
      <x:c r="L137" s="49" t="str">
        <x:v>MS Seats : 13+ EWS : 4</x:v>
      </x:c>
      <x:c r="M137" s="49" t="str">
        <x:v>https://dse2025.mahacet.org.in/dse25/admin/allotment/cap2/2020_4.pdf</x:v>
      </x:c>
    </x:row>
    <x:row r="138">
      <x:c r="A138" s="49" t="str">
        <x:v>2025-26</x:v>
      </x:c>
      <x:c r="B138" s="63" t="n">
        <x:v>2020</x:v>
      </x:c>
      <x:c r="C138" s="49" t="str">
        <x:v>Shri Guru Gobind Singhji Institute of Engineering and Technology, Nanded</x:v>
      </x:c>
      <x:c r="D138" s="72" t="n">
        <x:v>202061210</x:v>
      </x:c>
      <x:c r="E138" s="49" t="str">
        <x:v>Mechanical Engineering</x:v>
      </x:c>
      <x:c r="F138" s="73" t="n">
        <x:v>8</x:v>
      </x:c>
      <x:c r="G138" s="73" t="n">
        <x:v>7</x:v>
      </x:c>
      <x:c r="H138" s="73" t="n">
        <x:v>1</x:v>
      </x:c>
      <x:c r="I138" s="73"/>
      <x:c r="J138" s="73" t="n">
        <x:v>0</x:v>
      </x:c>
      <x:c r="K138" s="49" t="str">
        <x:v>Government-Aided Autonomous</x:v>
      </x:c>
      <x:c r="L138" s="49" t="str">
        <x:v>MS Seats : 7+ EWS : 1</x:v>
      </x:c>
      <x:c r="M138" s="49" t="str">
        <x:v>https://dse2025.mahacet.org.in/dse25/admin/allotment/cap2/2020_4.pdf</x:v>
      </x:c>
    </x:row>
    <x:row r="139">
      <x:c r="A139" s="49" t="str">
        <x:v>2025-26</x:v>
      </x:c>
      <x:c r="B139" s="63" t="n">
        <x:v>2020</x:v>
      </x:c>
      <x:c r="C139" s="49" t="str">
        <x:v>Shri Guru Gobind Singhji Institute of Engineering and Technology, Nanded</x:v>
      </x:c>
      <x:c r="D139" s="72" t="n">
        <x:v>202089610</x:v>
      </x:c>
      <x:c r="E139" s="49" t="str">
        <x:v>Textile Technology</x:v>
      </x:c>
      <x:c r="F139" s="73" t="n">
        <x:v>4</x:v>
      </x:c>
      <x:c r="G139" s="73" t="n">
        <x:v>4</x:v>
      </x:c>
      <x:c r="H139" s="73" t="n">
        <x:v>0</x:v>
      </x:c>
      <x:c r="I139" s="73"/>
      <x:c r="J139" s="73" t="n">
        <x:v>0</x:v>
      </x:c>
      <x:c r="K139" s="49" t="str">
        <x:v>Government-Aided Autonomous</x:v>
      </x:c>
      <x:c r="L139" s="49" t="str">
        <x:v>MS Seats : 4+ EWS : 0</x:v>
      </x:c>
      <x:c r="M139" s="49" t="str">
        <x:v>https://dse2025.mahacet.org.in/dse25/admin/allotment/cap2/2020_4.pdf</x:v>
      </x:c>
    </x:row>
    <x:row r="140">
      <x:c r="A140" s="49" t="str">
        <x:v>2025-26</x:v>
      </x:c>
      <x:c r="B140" s="63" t="n">
        <x:v>2021</x:v>
      </x:c>
      <x:c r="C140" s="49" t="str">
        <x:v>University Department of Chemical Technology, Aurangabad</x:v>
      </x:c>
      <x:c r="D140" s="72" t="n">
        <x:v>202150310</x:v>
      </x:c>
      <x:c r="E140" s="49" t="str">
        <x:v>Food Technology</x:v>
      </x:c>
      <x:c r="F140" s="73" t="n">
        <x:v>3</x:v>
      </x:c>
      <x:c r="G140" s="73" t="n">
        <x:v>3</x:v>
      </x:c>
      <x:c r="H140" s="73" t="n">
        <x:v>0</x:v>
      </x:c>
      <x:c r="I140" s="73"/>
      <x:c r="J140" s="73" t="n">
        <x:v>0</x:v>
      </x:c>
      <x:c r="K140" s="49" t="str">
        <x:v>University Department</x:v>
      </x:c>
      <x:c r="L140" s="49" t="str">
        <x:v>MS Seats : 3+ EWS : 0</x:v>
      </x:c>
      <x:c r="M140" s="49" t="str">
        <x:v>https://dse2025.mahacet.org.in/dse25/admin/allotment/cap2/2021_4.pdf</x:v>
      </x:c>
    </x:row>
    <x:row r="141">
      <x:c r="A141" s="49" t="str">
        <x:v>2025-26</x:v>
      </x:c>
      <x:c r="B141" s="63" t="n">
        <x:v>2021</x:v>
      </x:c>
      <x:c r="C141" s="49" t="str">
        <x:v>University Department of Chemical Technology, Aurangabad</x:v>
      </x:c>
      <x:c r="D141" s="72" t="n">
        <x:v>202181610</x:v>
      </x:c>
      <x:c r="E141" s="49" t="str">
        <x:v>Pharmaceutical and Fine Chemical Technology</x:v>
      </x:c>
      <x:c r="F141" s="73" t="n">
        <x:v>4</x:v>
      </x:c>
      <x:c r="G141" s="73" t="n">
        <x:v>3</x:v>
      </x:c>
      <x:c r="H141" s="73" t="n">
        <x:v>1</x:v>
      </x:c>
      <x:c r="I141" s="73"/>
      <x:c r="J141" s="73" t="n">
        <x:v>0</x:v>
      </x:c>
      <x:c r="K141" s="49" t="str">
        <x:v>University Department</x:v>
      </x:c>
      <x:c r="L141" s="49" t="str">
        <x:v>MS Seats : 3+ EWS : 1</x:v>
      </x:c>
      <x:c r="M141" s="49" t="str">
        <x:v>https://dse2025.mahacet.org.in/dse25/admin/allotment/cap2/2021_4.pdf</x:v>
      </x:c>
    </x:row>
    <x:row r="142">
      <x:c r="A142" s="49" t="str">
        <x:v>2025-26</x:v>
      </x:c>
      <x:c r="B142" s="63" t="n">
        <x:v>2111</x:v>
      </x:c>
      <x:c r="C142" s="49" t="str">
        <x:v>Everest Education Society, Group of Institutions (Integrated Campus), Ohar</x:v>
      </x:c>
      <x:c r="D142" s="72" t="n">
        <x:v>211119110</x:v>
      </x:c>
      <x:c r="E142" s="49" t="str">
        <x:v>Civil Engineering</x:v>
      </x:c>
      <x:c r="F142" s="73" t="n">
        <x:v>22</x:v>
      </x:c>
      <x:c r="G142" s="73" t="n">
        <x:v>10</x:v>
      </x:c>
      <x:c r="H142" s="73"/>
      <x:c r="I142" s="73" t="n">
        <x:v>12</x:v>
      </x:c>
      <x:c r="J142" s="73" t="n">
        <x:v>0</x:v>
      </x:c>
      <x:c r="K142" s="49" t="str">
        <x:v>Un-Aided Religious Minority - Muslim</x:v>
      </x:c>
      <x:c r="L142" s="49" t="str">
        <x:v>MS Seats : 10 + Minority Seats : 12</x:v>
      </x:c>
      <x:c r="M142" s="49" t="str">
        <x:v>https://dse2025.mahacet.org.in/dse25/admin/allotment/cap2/2111_4.pdf</x:v>
      </x:c>
    </x:row>
    <x:row r="143">
      <x:c r="A143" s="49" t="str">
        <x:v>2025-26</x:v>
      </x:c>
      <x:c r="B143" s="63" t="n">
        <x:v>2111</x:v>
      </x:c>
      <x:c r="C143" s="49" t="str">
        <x:v>Everest Education Society, Group of Institutions (Integrated Campus), Ohar</x:v>
      </x:c>
      <x:c r="D143" s="72" t="n">
        <x:v>211124210</x:v>
      </x:c>
      <x:c r="E143" s="49" t="str">
        <x:v>Computer Science and Engineering</x:v>
      </x:c>
      <x:c r="F143" s="73" t="n">
        <x:v>39</x:v>
      </x:c>
      <x:c r="G143" s="73" t="n">
        <x:v>19</x:v>
      </x:c>
      <x:c r="H143" s="73"/>
      <x:c r="I143" s="73" t="n">
        <x:v>20</x:v>
      </x:c>
      <x:c r="J143" s="73" t="n">
        <x:v>0</x:v>
      </x:c>
      <x:c r="K143" s="49" t="str">
        <x:v>Un-Aided Religious Minority - Muslim</x:v>
      </x:c>
      <x:c r="L143" s="49" t="str">
        <x:v>MS Seats : 19 + Minority Seats : 20</x:v>
      </x:c>
      <x:c r="M143" s="49" t="str">
        <x:v>https://dse2025.mahacet.org.in/dse25/admin/allotment/cap2/2111_4.pdf</x:v>
      </x:c>
    </x:row>
    <x:row r="144">
      <x:c r="A144" s="49" t="str">
        <x:v>2025-26</x:v>
      </x:c>
      <x:c r="B144" s="63" t="n">
        <x:v>2111</x:v>
      </x:c>
      <x:c r="C144" s="49" t="str">
        <x:v>Everest Education Society, Group of Institutions (Integrated Campus), Ohar</x:v>
      </x:c>
      <x:c r="D144" s="72" t="n">
        <x:v>211129310</x:v>
      </x:c>
      <x:c r="E144" s="49" t="str">
        <x:v>Electrical Engineering</x:v>
      </x:c>
      <x:c r="F144" s="73" t="n">
        <x:v>30</x:v>
      </x:c>
      <x:c r="G144" s="73" t="n">
        <x:v>14</x:v>
      </x:c>
      <x:c r="H144" s="73"/>
      <x:c r="I144" s="73" t="n">
        <x:v>16</x:v>
      </x:c>
      <x:c r="J144" s="73" t="n">
        <x:v>0</x:v>
      </x:c>
      <x:c r="K144" s="49" t="str">
        <x:v>Un-Aided Religious Minority - Muslim</x:v>
      </x:c>
      <x:c r="L144" s="49" t="str">
        <x:v>MS Seats : 14 + Minority Seats : 16</x:v>
      </x:c>
      <x:c r="M144" s="49" t="str">
        <x:v>https://dse2025.mahacet.org.in/dse25/admin/allotment/cap2/2111_4.pdf</x:v>
      </x:c>
    </x:row>
    <x:row r="145">
      <x:c r="A145" s="49" t="str">
        <x:v>2025-26</x:v>
      </x:c>
      <x:c r="B145" s="63" t="n">
        <x:v>2111</x:v>
      </x:c>
      <x:c r="C145" s="49" t="str">
        <x:v>Everest Education Society, Group of Institutions (Integrated Campus), Ohar</x:v>
      </x:c>
      <x:c r="D145" s="72" t="n">
        <x:v>211161210</x:v>
      </x:c>
      <x:c r="E145" s="49" t="str">
        <x:v>Mechanical Engineering</x:v>
      </x:c>
      <x:c r="F145" s="73" t="n">
        <x:v>63</x:v>
      </x:c>
      <x:c r="G145" s="73" t="n">
        <x:v>30</x:v>
      </x:c>
      <x:c r="H145" s="73"/>
      <x:c r="I145" s="73" t="n">
        <x:v>33</x:v>
      </x:c>
      <x:c r="J145" s="73" t="n">
        <x:v>0</x:v>
      </x:c>
      <x:c r="K145" s="49" t="str">
        <x:v>Un-Aided Religious Minority - Muslim</x:v>
      </x:c>
      <x:c r="L145" s="49" t="str">
        <x:v>MS Seats : 30 + Minority Seats : 33</x:v>
      </x:c>
      <x:c r="M145" s="49" t="str">
        <x:v>https://dse2025.mahacet.org.in/dse25/admin/allotment/cap2/2111_4.pdf</x:v>
      </x:c>
    </x:row>
    <x:row r="146">
      <x:c r="A146" s="49" t="str">
        <x:v>2025-26</x:v>
      </x:c>
      <x:c r="B146" s="63" t="n">
        <x:v>2111</x:v>
      </x:c>
      <x:c r="C146" s="49" t="str">
        <x:v>Everest Education Society, Group of Institutions (Integrated Campus), Ohar</x:v>
      </x:c>
      <x:c r="D146" s="72" t="n">
        <x:v>211192110</x:v>
      </x:c>
      <x:c r="E146" s="49" t="str">
        <x:v>Artificial Intelligence and Machine Learning</x:v>
      </x:c>
      <x:c r="F146" s="73" t="n">
        <x:v>61</x:v>
      </x:c>
      <x:c r="G146" s="73" t="n">
        <x:v>29</x:v>
      </x:c>
      <x:c r="H146" s="73"/>
      <x:c r="I146" s="73" t="n">
        <x:v>32</x:v>
      </x:c>
      <x:c r="J146" s="73" t="n">
        <x:v>0</x:v>
      </x:c>
      <x:c r="K146" s="49" t="str">
        <x:v>Un-Aided Religious Minority - Muslim</x:v>
      </x:c>
      <x:c r="L146" s="49" t="str">
        <x:v>MS Seats : 29 + Minority Seats : 32</x:v>
      </x:c>
      <x:c r="M146" s="49" t="str">
        <x:v>https://dse2025.mahacet.org.in/dse25/admin/allotment/cap2/2111_4.pdf</x:v>
      </x:c>
    </x:row>
    <x:row r="147">
      <x:c r="A147" s="49" t="str">
        <x:v>2025-26</x:v>
      </x:c>
      <x:c r="B147" s="63" t="n">
        <x:v>2111</x:v>
      </x:c>
      <x:c r="C147" s="49" t="str">
        <x:v>Everest Education Society, Group of Institutions (Integrated Campus), Ohar</x:v>
      </x:c>
      <x:c r="D147" s="72" t="n">
        <x:v>211199510</x:v>
      </x:c>
      <x:c r="E147" s="49" t="str">
        <x:v>Artificial Intelligence and Data Science</x:v>
      </x:c>
      <x:c r="F147" s="73" t="n">
        <x:v>49</x:v>
      </x:c>
      <x:c r="G147" s="73" t="n">
        <x:v>24</x:v>
      </x:c>
      <x:c r="H147" s="73"/>
      <x:c r="I147" s="73" t="n">
        <x:v>25</x:v>
      </x:c>
      <x:c r="J147" s="73" t="n">
        <x:v>0</x:v>
      </x:c>
      <x:c r="K147" s="49" t="str">
        <x:v>Un-Aided Religious Minority - Muslim</x:v>
      </x:c>
      <x:c r="L147" s="49" t="str">
        <x:v>MS Seats : 24 + Minority Seats : 25</x:v>
      </x:c>
      <x:c r="M147" s="49" t="str">
        <x:v>https://dse2025.mahacet.org.in/dse25/admin/allotment/cap2/2111_4.pdf</x:v>
      </x:c>
    </x:row>
    <x:row r="148">
      <x:c r="A148" s="49" t="str">
        <x:v>2025-26</x:v>
      </x:c>
      <x:c r="B148" s="63" t="n">
        <x:v>2112</x:v>
      </x:c>
      <x:c r="C148" s="49" t="str">
        <x:v>Shree Yash Pratishthan, Shreeyash College of Engineering and Technology, Aurangabad</x:v>
      </x:c>
      <x:c r="D148" s="72" t="n">
        <x:v>211219110</x:v>
      </x:c>
      <x:c r="E148" s="49" t="str">
        <x:v>Civil Engineering</x:v>
      </x:c>
      <x:c r="F148" s="73" t="n">
        <x:v>29</x:v>
      </x:c>
      <x:c r="G148" s="73" t="n">
        <x:v>24</x:v>
      </x:c>
      <x:c r="H148" s="73" t="n">
        <x:v>5</x:v>
      </x:c>
      <x:c r="I148" s="73"/>
      <x:c r="J148" s="73" t="n">
        <x:v>0</x:v>
      </x:c>
      <x:c r="K148" s="49" t="str">
        <x:v>Un-Aided</x:v>
      </x:c>
      <x:c r="L148" s="49" t="str">
        <x:v>MS Seats : 24+ EWS : 5</x:v>
      </x:c>
      <x:c r="M148" s="49" t="str">
        <x:v>https://dse2025.mahacet.org.in/dse25/admin/allotment/cap2/2112_4.pdf</x:v>
      </x:c>
    </x:row>
    <x:row r="149">
      <x:c r="A149" s="49" t="str">
        <x:v>2025-26</x:v>
      </x:c>
      <x:c r="B149" s="63" t="n">
        <x:v>2112</x:v>
      </x:c>
      <x:c r="C149" s="49" t="str">
        <x:v>Shree Yash Pratishthan, Shreeyash College of Engineering and Technology, Aurangabad</x:v>
      </x:c>
      <x:c r="D149" s="72" t="n">
        <x:v>211224210</x:v>
      </x:c>
      <x:c r="E149" s="49" t="str">
        <x:v>Computer Science and Engineering</x:v>
      </x:c>
      <x:c r="F149" s="73" t="n">
        <x:v>44</x:v>
      </x:c>
      <x:c r="G149" s="73" t="n">
        <x:v>38</x:v>
      </x:c>
      <x:c r="H149" s="73" t="n">
        <x:v>6</x:v>
      </x:c>
      <x:c r="I149" s="73"/>
      <x:c r="J149" s="73" t="n">
        <x:v>0</x:v>
      </x:c>
      <x:c r="K149" s="49" t="str">
        <x:v>Un-Aided</x:v>
      </x:c>
      <x:c r="L149" s="49" t="str">
        <x:v>MS Seats : 38+ EWS : 6</x:v>
      </x:c>
      <x:c r="M149" s="49" t="str">
        <x:v>https://dse2025.mahacet.org.in/dse25/admin/allotment/cap2/2112_4.pdf</x:v>
      </x:c>
    </x:row>
    <x:row r="150">
      <x:c r="A150" s="49" t="str">
        <x:v>2025-26</x:v>
      </x:c>
      <x:c r="B150" s="63" t="n">
        <x:v>2112</x:v>
      </x:c>
      <x:c r="C150" s="49" t="str">
        <x:v>Shree Yash Pratishthan, Shreeyash College of Engineering and Technology, Aurangabad</x:v>
      </x:c>
      <x:c r="D150" s="72" t="n">
        <x:v>211229310</x:v>
      </x:c>
      <x:c r="E150" s="49" t="str">
        <x:v>Electrical Engineering</x:v>
      </x:c>
      <x:c r="F150" s="73" t="n">
        <x:v>25</x:v>
      </x:c>
      <x:c r="G150" s="73" t="n">
        <x:v>19</x:v>
      </x:c>
      <x:c r="H150" s="73" t="n">
        <x:v>6</x:v>
      </x:c>
      <x:c r="I150" s="73"/>
      <x:c r="J150" s="73" t="n">
        <x:v>0</x:v>
      </x:c>
      <x:c r="K150" s="49" t="str">
        <x:v>Un-Aided</x:v>
      </x:c>
      <x:c r="L150" s="49" t="str">
        <x:v>MS Seats : 19+ EWS : 6</x:v>
      </x:c>
      <x:c r="M150" s="49" t="str">
        <x:v>https://dse2025.mahacet.org.in/dse25/admin/allotment/cap2/2112_4.pdf</x:v>
      </x:c>
    </x:row>
    <x:row r="151">
      <x:c r="A151" s="49" t="str">
        <x:v>2025-26</x:v>
      </x:c>
      <x:c r="B151" s="63" t="n">
        <x:v>2112</x:v>
      </x:c>
      <x:c r="C151" s="49" t="str">
        <x:v>Shree Yash Pratishthan, Shreeyash College of Engineering and Technology, Aurangabad</x:v>
      </x:c>
      <x:c r="D151" s="72" t="n">
        <x:v>211261210</x:v>
      </x:c>
      <x:c r="E151" s="49" t="str">
        <x:v>Mechanical Engineering</x:v>
      </x:c>
      <x:c r="F151" s="73" t="n">
        <x:v>25</x:v>
      </x:c>
      <x:c r="G151" s="73" t="n">
        <x:v>20</x:v>
      </x:c>
      <x:c r="H151" s="73" t="n">
        <x:v>5</x:v>
      </x:c>
      <x:c r="I151" s="73"/>
      <x:c r="J151" s="73" t="n">
        <x:v>0</x:v>
      </x:c>
      <x:c r="K151" s="49" t="str">
        <x:v>Un-Aided</x:v>
      </x:c>
      <x:c r="L151" s="49" t="str">
        <x:v>MS Seats : 20+ EWS : 5</x:v>
      </x:c>
      <x:c r="M151" s="49" t="str">
        <x:v>https://dse2025.mahacet.org.in/dse25/admin/allotment/cap2/2112_4.pdf</x:v>
      </x:c>
    </x:row>
    <x:row r="152">
      <x:c r="A152" s="49" t="str">
        <x:v>2025-26</x:v>
      </x:c>
      <x:c r="B152" s="63" t="n">
        <x:v>2112</x:v>
      </x:c>
      <x:c r="C152" s="49" t="str">
        <x:v>Shree Yash Pratishthan, Shreeyash College of Engineering and Technology, Aurangabad</x:v>
      </x:c>
      <x:c r="D152" s="72" t="n">
        <x:v>211284410</x:v>
      </x:c>
      <x:c r="E152" s="49" t="str">
        <x:v>Electronics and Computer Engineering</x:v>
      </x:c>
      <x:c r="F152" s="73" t="n">
        <x:v>17</x:v>
      </x:c>
      <x:c r="G152" s="73" t="n">
        <x:v>13</x:v>
      </x:c>
      <x:c r="H152" s="73" t="n">
        <x:v>4</x:v>
      </x:c>
      <x:c r="I152" s="73"/>
      <x:c r="J152" s="73" t="n">
        <x:v>0</x:v>
      </x:c>
      <x:c r="K152" s="49" t="str">
        <x:v>Un-Aided</x:v>
      </x:c>
      <x:c r="L152" s="49" t="str">
        <x:v>MS Seats : 13+ EWS : 4</x:v>
      </x:c>
      <x:c r="M152" s="49" t="str">
        <x:v>https://dse2025.mahacet.org.in/dse25/admin/allotment/cap2/2112_4.pdf</x:v>
      </x:c>
    </x:row>
    <x:row r="153">
      <x:c r="A153" s="49" t="str">
        <x:v>2025-26</x:v>
      </x:c>
      <x:c r="B153" s="63" t="n">
        <x:v>2112</x:v>
      </x:c>
      <x:c r="C153" s="49" t="str">
        <x:v>Shree Yash Pratishthan, Shreeyash College of Engineering and Technology, Aurangabad</x:v>
      </x:c>
      <x:c r="D153" s="72" t="n">
        <x:v>211291110</x:v>
      </x:c>
      <x:c r="E153" s="49" t="str">
        <x:v>Computer Science and Engineering(Artificial Intelligence and Machine Learning)</x:v>
      </x:c>
      <x:c r="F153" s="73" t="n">
        <x:v>14</x:v>
      </x:c>
      <x:c r="G153" s="73" t="n">
        <x:v>12</x:v>
      </x:c>
      <x:c r="H153" s="73" t="n">
        <x:v>2</x:v>
      </x:c>
      <x:c r="I153" s="73"/>
      <x:c r="J153" s="73" t="n">
        <x:v>0</x:v>
      </x:c>
      <x:c r="K153" s="49" t="str">
        <x:v>Un-Aided</x:v>
      </x:c>
      <x:c r="L153" s="49" t="str">
        <x:v>MS Seats : 12+ EWS : 2</x:v>
      </x:c>
      <x:c r="M153" s="49" t="str">
        <x:v>https://dse2025.mahacet.org.in/dse25/admin/allotment/cap2/2112_4.pdf</x:v>
      </x:c>
    </x:row>
    <x:row r="154">
      <x:c r="A154" s="49" t="str">
        <x:v>2025-26</x:v>
      </x:c>
      <x:c r="B154" s="63" t="n">
        <x:v>2112</x:v>
      </x:c>
      <x:c r="C154" s="49" t="str">
        <x:v>Shree Yash Pratishthan, Shreeyash College of Engineering and Technology, Aurangabad</x:v>
      </x:c>
      <x:c r="D154" s="72" t="n">
        <x:v>211291210</x:v>
      </x:c>
      <x:c r="E154" s="49" t="str">
        <x:v>Computer Science and Engineering(Data Science)</x:v>
      </x:c>
      <x:c r="F154" s="73" t="n">
        <x:v>17</x:v>
      </x:c>
      <x:c r="G154" s="73" t="n">
        <x:v>16</x:v>
      </x:c>
      <x:c r="H154" s="73" t="n">
        <x:v>1</x:v>
      </x:c>
      <x:c r="I154" s="73"/>
      <x:c r="J154" s="73" t="n">
        <x:v>0</x:v>
      </x:c>
      <x:c r="K154" s="49" t="str">
        <x:v>Un-Aided</x:v>
      </x:c>
      <x:c r="L154" s="49" t="str">
        <x:v>MS Seats : 16+ EWS : 1</x:v>
      </x:c>
      <x:c r="M154" s="49" t="str">
        <x:v>https://dse2025.mahacet.org.in/dse25/admin/allotment/cap2/2112_4.pdf</x:v>
      </x:c>
    </x:row>
    <x:row r="155">
      <x:c r="A155" s="49" t="str">
        <x:v>2025-26</x:v>
      </x:c>
      <x:c r="B155" s="63" t="n">
        <x:v>2112</x:v>
      </x:c>
      <x:c r="C155" s="49" t="str">
        <x:v>Shree Yash Pratishthan, Shreeyash College of Engineering and Technology, Aurangabad</x:v>
      </x:c>
      <x:c r="D155" s="72" t="n">
        <x:v>211292910</x:v>
      </x:c>
      <x:c r="E155" s="49" t="str">
        <x:v>VLSI</x:v>
      </x:c>
      <x:c r="F155" s="73" t="n">
        <x:v>24</x:v>
      </x:c>
      <x:c r="G155" s="73" t="n">
        <x:v>21</x:v>
      </x:c>
      <x:c r="H155" s="73" t="n">
        <x:v>3</x:v>
      </x:c>
      <x:c r="I155" s="73"/>
      <x:c r="J155" s="73" t="n">
        <x:v>0</x:v>
      </x:c>
      <x:c r="K155" s="49" t="str">
        <x:v>Un-Aided</x:v>
      </x:c>
      <x:c r="L155" s="49" t="str">
        <x:v>MS Seats : 21+ EWS : 3</x:v>
      </x:c>
      <x:c r="M155" s="49" t="str">
        <x:v>https://dse2025.mahacet.org.in/dse25/admin/allotment/cap2/2112_4.pdf</x:v>
      </x:c>
    </x:row>
    <x:row r="156">
      <x:c r="A156" s="49" t="str">
        <x:v>2025-26</x:v>
      </x:c>
      <x:c r="B156" s="63" t="n">
        <x:v>2112</x:v>
      </x:c>
      <x:c r="C156" s="49" t="str">
        <x:v>Shree Yash Pratishthan, Shreeyash College of Engineering and Technology, Aurangabad</x:v>
      </x:c>
      <x:c r="D156" s="72" t="n">
        <x:v>211293210</x:v>
      </x:c>
      <x:c r="E156" s="49" t="str">
        <x:v>5G</x:v>
      </x:c>
      <x:c r="F156" s="73" t="n">
        <x:v>15</x:v>
      </x:c>
      <x:c r="G156" s="73" t="n">
        <x:v>12</x:v>
      </x:c>
      <x:c r="H156" s="73" t="n">
        <x:v>3</x:v>
      </x:c>
      <x:c r="I156" s="73"/>
      <x:c r="J156" s="73" t="n">
        <x:v>0</x:v>
      </x:c>
      <x:c r="K156" s="49" t="str">
        <x:v>Un-Aided</x:v>
      </x:c>
      <x:c r="L156" s="49" t="str">
        <x:v>MS Seats : 12+ EWS : 3</x:v>
      </x:c>
      <x:c r="M156" s="49" t="str">
        <x:v>https://dse2025.mahacet.org.in/dse25/admin/allotment/cap2/2112_4.pdf</x:v>
      </x:c>
    </x:row>
    <x:row r="157">
      <x:c r="A157" s="49" t="str">
        <x:v>2025-26</x:v>
      </x:c>
      <x:c r="B157" s="63" t="n">
        <x:v>2113</x:v>
      </x:c>
      <x:c r="C157" s="49" t="str">
        <x:v>G. S. Mandal's Maharashtra Institute of Technology, Aurangabad</x:v>
      </x:c>
      <x:c r="D157" s="72" t="n">
        <x:v>211301110</x:v>
      </x:c>
      <x:c r="E157" s="49" t="str">
        <x:v>Agricultural Engineering</x:v>
      </x:c>
      <x:c r="F157" s="73" t="n">
        <x:v>21</x:v>
      </x:c>
      <x:c r="G157" s="73" t="n">
        <x:v>18</x:v>
      </x:c>
      <x:c r="H157" s="73" t="n">
        <x:v>3</x:v>
      </x:c>
      <x:c r="I157" s="73"/>
      <x:c r="J157" s="73" t="n">
        <x:v>0</x:v>
      </x:c>
      <x:c r="K157" s="49" t="str">
        <x:v>Un-Aided Autonomous</x:v>
      </x:c>
      <x:c r="L157" s="49" t="str">
        <x:v>MS Seats : 18+ EWS : 3</x:v>
      </x:c>
      <x:c r="M157" s="49" t="str">
        <x:v>https://dse2025.mahacet.org.in/dse25/admin/allotment/cap2/2113_4.pdf</x:v>
      </x:c>
    </x:row>
    <x:row r="158">
      <x:c r="A158" s="49" t="str">
        <x:v>2025-26</x:v>
      </x:c>
      <x:c r="B158" s="63" t="n">
        <x:v>2113</x:v>
      </x:c>
      <x:c r="C158" s="49" t="str">
        <x:v>G. S. Mandal's Maharashtra Institute of Technology, Aurangabad</x:v>
      </x:c>
      <x:c r="D158" s="72" t="n">
        <x:v>211319110</x:v>
      </x:c>
      <x:c r="E158" s="49" t="str">
        <x:v>Civil Engineering</x:v>
      </x:c>
      <x:c r="F158" s="73" t="n">
        <x:v>21</x:v>
      </x:c>
      <x:c r="G158" s="73" t="n">
        <x:v>15</x:v>
      </x:c>
      <x:c r="H158" s="73" t="n">
        <x:v>6</x:v>
      </x:c>
      <x:c r="I158" s="73"/>
      <x:c r="J158" s="73" t="n">
        <x:v>0</x:v>
      </x:c>
      <x:c r="K158" s="49" t="str">
        <x:v>Un-Aided Autonomous</x:v>
      </x:c>
      <x:c r="L158" s="49" t="str">
        <x:v>MS Seats : 15+ EWS : 6</x:v>
      </x:c>
      <x:c r="M158" s="49" t="str">
        <x:v>https://dse2025.mahacet.org.in/dse25/admin/allotment/cap2/2113_4.pdf</x:v>
      </x:c>
    </x:row>
    <x:row r="159">
      <x:c r="A159" s="49" t="str">
        <x:v>2025-26</x:v>
      </x:c>
      <x:c r="B159" s="63" t="n">
        <x:v>2113</x:v>
      </x:c>
      <x:c r="C159" s="49" t="str">
        <x:v>G. S. Mandal's Maharashtra Institute of Technology, Aurangabad</x:v>
      </x:c>
      <x:c r="D159" s="72" t="n">
        <x:v>211324210</x:v>
      </x:c>
      <x:c r="E159" s="49" t="str">
        <x:v>Computer Science and Engineering</x:v>
      </x:c>
      <x:c r="F159" s="73" t="n">
        <x:v>32</x:v>
      </x:c>
      <x:c r="G159" s="73" t="n">
        <x:v>27</x:v>
      </x:c>
      <x:c r="H159" s="73" t="n">
        <x:v>5</x:v>
      </x:c>
      <x:c r="I159" s="73"/>
      <x:c r="J159" s="73" t="n">
        <x:v>0</x:v>
      </x:c>
      <x:c r="K159" s="49" t="str">
        <x:v>Un-Aided Autonomous</x:v>
      </x:c>
      <x:c r="L159" s="49" t="str">
        <x:v>MS Seats : 27+ EWS : 5</x:v>
      </x:c>
      <x:c r="M159" s="49" t="str">
        <x:v>https://dse2025.mahacet.org.in/dse25/admin/allotment/cap2/2113_4.pdf</x:v>
      </x:c>
    </x:row>
    <x:row r="160">
      <x:c r="A160" s="49" t="str">
        <x:v>2025-26</x:v>
      </x:c>
      <x:c r="B160" s="63" t="n">
        <x:v>2113</x:v>
      </x:c>
      <x:c r="C160" s="49" t="str">
        <x:v>G. S. Mandal's Maharashtra Institute of Technology, Aurangabad</x:v>
      </x:c>
      <x:c r="D160" s="72" t="n">
        <x:v>211325710</x:v>
      </x:c>
      <x:c r="E160" s="49" t="str">
        <x:v>Computer Science and Design</x:v>
      </x:c>
      <x:c r="F160" s="73" t="n">
        <x:v>17</x:v>
      </x:c>
      <x:c r="G160" s="73" t="n">
        <x:v>13</x:v>
      </x:c>
      <x:c r="H160" s="73" t="n">
        <x:v>4</x:v>
      </x:c>
      <x:c r="I160" s="73"/>
      <x:c r="J160" s="73" t="n">
        <x:v>0</x:v>
      </x:c>
      <x:c r="K160" s="49" t="str">
        <x:v>Un-Aided Autonomous</x:v>
      </x:c>
      <x:c r="L160" s="49" t="str">
        <x:v>MS Seats : 13+ EWS : 4</x:v>
      </x:c>
      <x:c r="M160" s="49" t="str">
        <x:v>https://dse2025.mahacet.org.in/dse25/admin/allotment/cap2/2113_4.pdf</x:v>
      </x:c>
    </x:row>
    <x:row r="161">
      <x:c r="A161" s="49" t="str">
        <x:v>2025-26</x:v>
      </x:c>
      <x:c r="B161" s="63" t="n">
        <x:v>2113</x:v>
      </x:c>
      <x:c r="C161" s="49" t="str">
        <x:v>G. S. Mandal's Maharashtra Institute of Technology, Aurangabad</x:v>
      </x:c>
      <x:c r="D161" s="72" t="n">
        <x:v>211326310</x:v>
      </x:c>
      <x:c r="E161" s="49" t="str">
        <x:v>Artificial Intelligence (AI) and Data Science</x:v>
      </x:c>
      <x:c r="F161" s="73" t="n">
        <x:v>16</x:v>
      </x:c>
      <x:c r="G161" s="73" t="n">
        <x:v>13</x:v>
      </x:c>
      <x:c r="H161" s="73" t="n">
        <x:v>3</x:v>
      </x:c>
      <x:c r="I161" s="73"/>
      <x:c r="J161" s="73" t="n">
        <x:v>0</x:v>
      </x:c>
      <x:c r="K161" s="49" t="str">
        <x:v>Un-Aided Autonomous</x:v>
      </x:c>
      <x:c r="L161" s="49" t="str">
        <x:v>MS Seats : 13+ EWS : 3</x:v>
      </x:c>
      <x:c r="M161" s="49" t="str">
        <x:v>https://dse2025.mahacet.org.in/dse25/admin/allotment/cap2/2113_4.pdf</x:v>
      </x:c>
    </x:row>
    <x:row r="162">
      <x:c r="A162" s="49" t="str">
        <x:v>2025-26</x:v>
      </x:c>
      <x:c r="B162" s="63" t="n">
        <x:v>2113</x:v>
      </x:c>
      <x:c r="C162" s="49" t="str">
        <x:v>G. S. Mandal's Maharashtra Institute of Technology, Aurangabad</x:v>
      </x:c>
      <x:c r="D162" s="72" t="n">
        <x:v>211329310</x:v>
      </x:c>
      <x:c r="E162" s="49" t="str">
        <x:v>Electrical Engineering</x:v>
      </x:c>
      <x:c r="F162" s="73" t="n">
        <x:v>27</x:v>
      </x:c>
      <x:c r="G162" s="73" t="n">
        <x:v>20</x:v>
      </x:c>
      <x:c r="H162" s="73" t="n">
        <x:v>7</x:v>
      </x:c>
      <x:c r="I162" s="73"/>
      <x:c r="J162" s="73" t="n">
        <x:v>0</x:v>
      </x:c>
      <x:c r="K162" s="49" t="str">
        <x:v>Un-Aided Autonomous</x:v>
      </x:c>
      <x:c r="L162" s="49" t="str">
        <x:v>MS Seats : 20+ EWS : 7</x:v>
      </x:c>
      <x:c r="M162" s="49" t="str">
        <x:v>https://dse2025.mahacet.org.in/dse25/admin/allotment/cap2/2113_4.pdf</x:v>
      </x:c>
    </x:row>
    <x:row r="163">
      <x:c r="A163" s="49" t="str">
        <x:v>2025-26</x:v>
      </x:c>
      <x:c r="B163" s="63" t="n">
        <x:v>2113</x:v>
      </x:c>
      <x:c r="C163" s="49" t="str">
        <x:v>G. S. Mandal's Maharashtra Institute of Technology, Aurangabad</x:v>
      </x:c>
      <x:c r="D163" s="72" t="n">
        <x:v>211337210</x:v>
      </x:c>
      <x:c r="E163" s="49" t="str">
        <x:v>Electronics and Telecommunication Engg</x:v>
      </x:c>
      <x:c r="F163" s="73" t="n">
        <x:v>9</x:v>
      </x:c>
      <x:c r="G163" s="73" t="n">
        <x:v>7</x:v>
      </x:c>
      <x:c r="H163" s="73" t="n">
        <x:v>2</x:v>
      </x:c>
      <x:c r="I163" s="73"/>
      <x:c r="J163" s="73" t="n">
        <x:v>0</x:v>
      </x:c>
      <x:c r="K163" s="49" t="str">
        <x:v>Un-Aided Autonomous</x:v>
      </x:c>
      <x:c r="L163" s="49" t="str">
        <x:v>MS Seats : 7+ EWS : 2</x:v>
      </x:c>
      <x:c r="M163" s="49" t="str">
        <x:v>https://dse2025.mahacet.org.in/dse25/admin/allotment/cap2/2113_4.pdf</x:v>
      </x:c>
    </x:row>
    <x:row r="164">
      <x:c r="A164" s="49" t="str">
        <x:v>2025-26</x:v>
      </x:c>
      <x:c r="B164" s="63" t="n">
        <x:v>2113</x:v>
      </x:c>
      <x:c r="C164" s="49" t="str">
        <x:v>G. S. Mandal's Maharashtra Institute of Technology, Aurangabad</x:v>
      </x:c>
      <x:c r="D164" s="72" t="n">
        <x:v>211350110</x:v>
      </x:c>
      <x:c r="E164" s="49" t="str">
        <x:v>Plastic and Polymer Engineering</x:v>
      </x:c>
      <x:c r="F164" s="73" t="n">
        <x:v>54</x:v>
      </x:c>
      <x:c r="G164" s="73" t="n">
        <x:v>48</x:v>
      </x:c>
      <x:c r="H164" s="73" t="n">
        <x:v>6</x:v>
      </x:c>
      <x:c r="I164" s="73"/>
      <x:c r="J164" s="73" t="n">
        <x:v>0</x:v>
      </x:c>
      <x:c r="K164" s="49" t="str">
        <x:v>Un-Aided Autonomous</x:v>
      </x:c>
      <x:c r="L164" s="49" t="str">
        <x:v>MS Seats : 48+ EWS : 6</x:v>
      </x:c>
      <x:c r="M164" s="49" t="str">
        <x:v>https://dse2025.mahacet.org.in/dse25/admin/allotment/cap2/2113_4.pdf</x:v>
      </x:c>
    </x:row>
    <x:row r="165">
      <x:c r="A165" s="49" t="str">
        <x:v>2025-26</x:v>
      </x:c>
      <x:c r="B165" s="63" t="n">
        <x:v>2113</x:v>
      </x:c>
      <x:c r="C165" s="49" t="str">
        <x:v>G. S. Mandal's Maharashtra Institute of Technology, Aurangabad</x:v>
      </x:c>
      <x:c r="D165" s="72" t="n">
        <x:v>211361210</x:v>
      </x:c>
      <x:c r="E165" s="49" t="str">
        <x:v>Mechanical Engineering</x:v>
      </x:c>
      <x:c r="F165" s="73" t="n">
        <x:v>39</x:v>
      </x:c>
      <x:c r="G165" s="73" t="n">
        <x:v>31</x:v>
      </x:c>
      <x:c r="H165" s="73" t="n">
        <x:v>8</x:v>
      </x:c>
      <x:c r="I165" s="73"/>
      <x:c r="J165" s="73" t="n">
        <x:v>0</x:v>
      </x:c>
      <x:c r="K165" s="49" t="str">
        <x:v>Un-Aided Autonomous</x:v>
      </x:c>
      <x:c r="L165" s="49" t="str">
        <x:v>MS Seats : 31+ EWS : 8</x:v>
      </x:c>
      <x:c r="M165" s="49" t="str">
        <x:v>https://dse2025.mahacet.org.in/dse25/admin/allotment/cap2/2113_4.pdf</x:v>
      </x:c>
    </x:row>
    <x:row r="166">
      <x:c r="A166" s="49" t="str">
        <x:v>2025-26</x:v>
      </x:c>
      <x:c r="B166" s="63" t="n">
        <x:v>2113</x:v>
      </x:c>
      <x:c r="C166" s="49" t="str">
        <x:v>G. S. Mandal's Maharashtra Institute of Technology, Aurangabad</x:v>
      </x:c>
      <x:c r="D166" s="72" t="n">
        <x:v>211362410</x:v>
      </x:c>
      <x:c r="E166" s="49" t="str">
        <x:v>Mechatronics Engineering</x:v>
      </x:c>
      <x:c r="F166" s="73" t="n">
        <x:v>9</x:v>
      </x:c>
      <x:c r="G166" s="73" t="n">
        <x:v>7</x:v>
      </x:c>
      <x:c r="H166" s="73" t="n">
        <x:v>2</x:v>
      </x:c>
      <x:c r="I166" s="73"/>
      <x:c r="J166" s="73" t="n">
        <x:v>0</x:v>
      </x:c>
      <x:c r="K166" s="49" t="str">
        <x:v>Un-Aided Autonomous</x:v>
      </x:c>
      <x:c r="L166" s="49" t="str">
        <x:v>MS Seats : 7+ EWS : 2</x:v>
      </x:c>
      <x:c r="M166" s="49" t="str">
        <x:v>https://dse2025.mahacet.org.in/dse25/admin/allotment/cap2/2113_4.pdf</x:v>
      </x:c>
    </x:row>
    <x:row r="167">
      <x:c r="A167" s="49" t="str">
        <x:v>2025-26</x:v>
      </x:c>
      <x:c r="B167" s="63" t="n">
        <x:v>2113</x:v>
      </x:c>
      <x:c r="C167" s="49" t="str">
        <x:v>G. S. Mandal's Maharashtra Institute of Technology, Aurangabad</x:v>
      </x:c>
      <x:c r="D167" s="72" t="n">
        <x:v>211384410</x:v>
      </x:c>
      <x:c r="E167" s="49" t="str">
        <x:v>Electronics and Computer Engineering</x:v>
      </x:c>
      <x:c r="F167" s="73" t="n">
        <x:v>21</x:v>
      </x:c>
      <x:c r="G167" s="73" t="n">
        <x:v>16</x:v>
      </x:c>
      <x:c r="H167" s="73" t="n">
        <x:v>5</x:v>
      </x:c>
      <x:c r="I167" s="73"/>
      <x:c r="J167" s="73" t="n">
        <x:v>0</x:v>
      </x:c>
      <x:c r="K167" s="49" t="str">
        <x:v>Un-Aided Autonomous</x:v>
      </x:c>
      <x:c r="L167" s="49" t="str">
        <x:v>MS Seats : 16+ EWS : 5</x:v>
      </x:c>
      <x:c r="M167" s="49" t="str">
        <x:v>https://dse2025.mahacet.org.in/dse25/admin/allotment/cap2/2113_4.pdf</x:v>
      </x:c>
    </x:row>
    <x:row r="168">
      <x:c r="A168" s="49" t="str">
        <x:v>2025-26</x:v>
      </x:c>
      <x:c r="B168" s="63" t="n">
        <x:v>2114</x:v>
      </x:c>
      <x:c r="C168" s="49" t="str">
        <x:v>Deogiri Institute of Engineering and Management Studies, Aurangabad</x:v>
      </x:c>
      <x:c r="D168" s="72" t="n">
        <x:v>211419110</x:v>
      </x:c>
      <x:c r="E168" s="49" t="str">
        <x:v>Civil Engineering</x:v>
      </x:c>
      <x:c r="F168" s="73" t="n">
        <x:v>30</x:v>
      </x:c>
      <x:c r="G168" s="73" t="n">
        <x:v>25</x:v>
      </x:c>
      <x:c r="H168" s="73" t="n">
        <x:v>5</x:v>
      </x:c>
      <x:c r="I168" s="73"/>
      <x:c r="J168" s="73" t="n">
        <x:v>0</x:v>
      </x:c>
      <x:c r="K168" s="49" t="str">
        <x:v>Un-Aided</x:v>
      </x:c>
      <x:c r="L168" s="49" t="str">
        <x:v>MS Seats : 25+ EWS : 5</x:v>
      </x:c>
      <x:c r="M168" s="49" t="str">
        <x:v>https://dse2025.mahacet.org.in/dse25/admin/allotment/cap2/2114_4.pdf</x:v>
      </x:c>
    </x:row>
    <x:row r="169">
      <x:c r="A169" s="49" t="str">
        <x:v>2025-26</x:v>
      </x:c>
      <x:c r="B169" s="63" t="n">
        <x:v>2114</x:v>
      </x:c>
      <x:c r="C169" s="49" t="str">
        <x:v>Deogiri Institute of Engineering and Management Studies, Aurangabad</x:v>
      </x:c>
      <x:c r="D169" s="72" t="n">
        <x:v>211424210</x:v>
      </x:c>
      <x:c r="E169" s="49" t="str">
        <x:v>Computer Science and Engineering</x:v>
      </x:c>
      <x:c r="F169" s="73" t="n">
        <x:v>19</x:v>
      </x:c>
      <x:c r="G169" s="73" t="n">
        <x:v>17</x:v>
      </x:c>
      <x:c r="H169" s="73" t="n">
        <x:v>2</x:v>
      </x:c>
      <x:c r="I169" s="73"/>
      <x:c r="J169" s="73" t="n">
        <x:v>0</x:v>
      </x:c>
      <x:c r="K169" s="49" t="str">
        <x:v>Un-Aided</x:v>
      </x:c>
      <x:c r="L169" s="49" t="str">
        <x:v>MS Seats : 17+ EWS : 2</x:v>
      </x:c>
      <x:c r="M169" s="49" t="str">
        <x:v>https://dse2025.mahacet.org.in/dse25/admin/allotment/cap2/2114_4.pdf</x:v>
      </x:c>
    </x:row>
    <x:row r="170">
      <x:c r="A170" s="49" t="str">
        <x:v>2025-26</x:v>
      </x:c>
      <x:c r="B170" s="63" t="n">
        <x:v>2114</x:v>
      </x:c>
      <x:c r="C170" s="49" t="str">
        <x:v>Deogiri Institute of Engineering and Management Studies, Aurangabad</x:v>
      </x:c>
      <x:c r="D170" s="72" t="n">
        <x:v>211437210</x:v>
      </x:c>
      <x:c r="E170" s="49" t="str">
        <x:v>Electronics and Telecommunication Engg</x:v>
      </x:c>
      <x:c r="F170" s="73" t="n">
        <x:v>30</x:v>
      </x:c>
      <x:c r="G170" s="73" t="n">
        <x:v>25</x:v>
      </x:c>
      <x:c r="H170" s="73" t="n">
        <x:v>5</x:v>
      </x:c>
      <x:c r="I170" s="73"/>
      <x:c r="J170" s="73" t="n">
        <x:v>0</x:v>
      </x:c>
      <x:c r="K170" s="49" t="str">
        <x:v>Un-Aided</x:v>
      </x:c>
      <x:c r="L170" s="49" t="str">
        <x:v>MS Seats : 25+ EWS : 5</x:v>
      </x:c>
      <x:c r="M170" s="49" t="str">
        <x:v>https://dse2025.mahacet.org.in/dse25/admin/allotment/cap2/2114_4.pdf</x:v>
      </x:c>
    </x:row>
    <x:row r="171">
      <x:c r="A171" s="49" t="str">
        <x:v>2025-26</x:v>
      </x:c>
      <x:c r="B171" s="63" t="n">
        <x:v>2114</x:v>
      </x:c>
      <x:c r="C171" s="49" t="str">
        <x:v>Deogiri Institute of Engineering and Management Studies, Aurangabad</x:v>
      </x:c>
      <x:c r="D171" s="72" t="n">
        <x:v>211461210</x:v>
      </x:c>
      <x:c r="E171" s="49" t="str">
        <x:v>Mechanical Engineering</x:v>
      </x:c>
      <x:c r="F171" s="73" t="n">
        <x:v>31</x:v>
      </x:c>
      <x:c r="G171" s="73" t="n">
        <x:v>21</x:v>
      </x:c>
      <x:c r="H171" s="73" t="n">
        <x:v>10</x:v>
      </x:c>
      <x:c r="I171" s="73"/>
      <x:c r="J171" s="73" t="n">
        <x:v>0</x:v>
      </x:c>
      <x:c r="K171" s="49" t="str">
        <x:v>Un-Aided</x:v>
      </x:c>
      <x:c r="L171" s="49" t="str">
        <x:v>MS Seats : 21+ EWS : 10</x:v>
      </x:c>
      <x:c r="M171" s="49" t="str">
        <x:v>https://dse2025.mahacet.org.in/dse25/admin/allotment/cap2/2114_4.pdf</x:v>
      </x:c>
    </x:row>
    <x:row r="172">
      <x:c r="A172" s="49" t="str">
        <x:v>2025-26</x:v>
      </x:c>
      <x:c r="B172" s="63" t="n">
        <x:v>2114</x:v>
      </x:c>
      <x:c r="C172" s="49" t="str">
        <x:v>Deogiri Institute of Engineering and Management Studies, Aurangabad</x:v>
      </x:c>
      <x:c r="D172" s="72" t="n">
        <x:v>211491110</x:v>
      </x:c>
      <x:c r="E172" s="49" t="str">
        <x:v>Computer Science and Engineering(Artificial Intelligence and Machine Learning)</x:v>
      </x:c>
      <x:c r="F172" s="73" t="n">
        <x:v>9</x:v>
      </x:c>
      <x:c r="G172" s="73" t="n">
        <x:v>8</x:v>
      </x:c>
      <x:c r="H172" s="73" t="n">
        <x:v>1</x:v>
      </x:c>
      <x:c r="I172" s="73"/>
      <x:c r="J172" s="73" t="n">
        <x:v>0</x:v>
      </x:c>
      <x:c r="K172" s="49" t="str">
        <x:v>Un-Aided</x:v>
      </x:c>
      <x:c r="L172" s="49" t="str">
        <x:v>MS Seats : 8+ EWS : 1</x:v>
      </x:c>
      <x:c r="M172" s="49" t="str">
        <x:v>https://dse2025.mahacet.org.in/dse25/admin/allotment/cap2/2114_4.pdf</x:v>
      </x:c>
    </x:row>
    <x:row r="173">
      <x:c r="A173" s="49" t="str">
        <x:v>2025-26</x:v>
      </x:c>
      <x:c r="B173" s="63" t="n">
        <x:v>2116</x:v>
      </x:c>
      <x:c r="C173" s="49" t="str">
        <x:v>Matoshri Pratishan's Group of Institutions (Integrated Campus), Kupsarwadi , Nanded</x:v>
      </x:c>
      <x:c r="D173" s="72" t="n">
        <x:v>211619110</x:v>
      </x:c>
      <x:c r="E173" s="49" t="str">
        <x:v>Civil Engineering</x:v>
      </x:c>
      <x:c r="F173" s="73" t="n">
        <x:v>55</x:v>
      </x:c>
      <x:c r="G173" s="73" t="n">
        <x:v>48</x:v>
      </x:c>
      <x:c r="H173" s="73" t="n">
        <x:v>7</x:v>
      </x:c>
      <x:c r="I173" s="73"/>
      <x:c r="J173" s="73" t="n">
        <x:v>0</x:v>
      </x:c>
      <x:c r="K173" s="49" t="str">
        <x:v>Un-Aided</x:v>
      </x:c>
      <x:c r="L173" s="49" t="str">
        <x:v>MS Seats : 48+ EWS : 7</x:v>
      </x:c>
      <x:c r="M173" s="49" t="str">
        <x:v>https://dse2025.mahacet.org.in/dse25/admin/allotment/cap2/2116_4.pdf</x:v>
      </x:c>
    </x:row>
    <x:row r="174">
      <x:c r="A174" s="49" t="str">
        <x:v>2025-26</x:v>
      </x:c>
      <x:c r="B174" s="63" t="n">
        <x:v>2116</x:v>
      </x:c>
      <x:c r="C174" s="49" t="str">
        <x:v>Matoshri Pratishan's Group of Institutions (Integrated Campus), Kupsarwadi , Nanded</x:v>
      </x:c>
      <x:c r="D174" s="72" t="n">
        <x:v>211624210</x:v>
      </x:c>
      <x:c r="E174" s="49" t="str">
        <x:v>Computer Science and Engineering</x:v>
      </x:c>
      <x:c r="F174" s="73" t="n">
        <x:v>27</x:v>
      </x:c>
      <x:c r="G174" s="73" t="n">
        <x:v>24</x:v>
      </x:c>
      <x:c r="H174" s="73" t="n">
        <x:v>3</x:v>
      </x:c>
      <x:c r="I174" s="73"/>
      <x:c r="J174" s="73" t="n">
        <x:v>0</x:v>
      </x:c>
      <x:c r="K174" s="49" t="str">
        <x:v>Un-Aided</x:v>
      </x:c>
      <x:c r="L174" s="49" t="str">
        <x:v>MS Seats : 24+ EWS : 3</x:v>
      </x:c>
      <x:c r="M174" s="49" t="str">
        <x:v>https://dse2025.mahacet.org.in/dse25/admin/allotment/cap2/2116_4.pdf</x:v>
      </x:c>
    </x:row>
    <x:row r="175">
      <x:c r="A175" s="49" t="str">
        <x:v>2025-26</x:v>
      </x:c>
      <x:c r="B175" s="63" t="n">
        <x:v>2116</x:v>
      </x:c>
      <x:c r="C175" s="49" t="str">
        <x:v>Matoshri Pratishan's Group of Institutions (Integrated Campus), Kupsarwadi , Nanded</x:v>
      </x:c>
      <x:c r="D175" s="72" t="n">
        <x:v>211626310</x:v>
      </x:c>
      <x:c r="E175" s="49" t="str">
        <x:v>Artificial Intelligence (AI) and Data Science</x:v>
      </x:c>
      <x:c r="F175" s="73" t="n">
        <x:v>23</x:v>
      </x:c>
      <x:c r="G175" s="73" t="n">
        <x:v>22</x:v>
      </x:c>
      <x:c r="H175" s="73" t="n">
        <x:v>1</x:v>
      </x:c>
      <x:c r="I175" s="73"/>
      <x:c r="J175" s="73" t="n">
        <x:v>0</x:v>
      </x:c>
      <x:c r="K175" s="49" t="str">
        <x:v>Un-Aided</x:v>
      </x:c>
      <x:c r="L175" s="49" t="str">
        <x:v>MS Seats : 22+ EWS : 1</x:v>
      </x:c>
      <x:c r="M175" s="49" t="str">
        <x:v>https://dse2025.mahacet.org.in/dse25/admin/allotment/cap2/2116_4.pdf</x:v>
      </x:c>
    </x:row>
    <x:row r="176">
      <x:c r="A176" s="49" t="str">
        <x:v>2025-26</x:v>
      </x:c>
      <x:c r="B176" s="63" t="n">
        <x:v>2116</x:v>
      </x:c>
      <x:c r="C176" s="49" t="str">
        <x:v>Matoshri Pratishan's Group of Institutions (Integrated Campus), Kupsarwadi , Nanded</x:v>
      </x:c>
      <x:c r="D176" s="72" t="n">
        <x:v>211629310</x:v>
      </x:c>
      <x:c r="E176" s="49" t="str">
        <x:v>Electrical Engineering</x:v>
      </x:c>
      <x:c r="F176" s="73" t="n">
        <x:v>54</x:v>
      </x:c>
      <x:c r="G176" s="73" t="n">
        <x:v>47</x:v>
      </x:c>
      <x:c r="H176" s="73" t="n">
        <x:v>7</x:v>
      </x:c>
      <x:c r="I176" s="73"/>
      <x:c r="J176" s="73" t="n">
        <x:v>0</x:v>
      </x:c>
      <x:c r="K176" s="49" t="str">
        <x:v>Un-Aided</x:v>
      </x:c>
      <x:c r="L176" s="49" t="str">
        <x:v>MS Seats : 47+ EWS : 7</x:v>
      </x:c>
      <x:c r="M176" s="49" t="str">
        <x:v>https://dse2025.mahacet.org.in/dse25/admin/allotment/cap2/2116_4.pdf</x:v>
      </x:c>
    </x:row>
    <x:row r="177">
      <x:c r="A177" s="49" t="str">
        <x:v>2025-26</x:v>
      </x:c>
      <x:c r="B177" s="63" t="n">
        <x:v>2116</x:v>
      </x:c>
      <x:c r="C177" s="49" t="str">
        <x:v>Matoshri Pratishan's Group of Institutions (Integrated Campus), Kupsarwadi , Nanded</x:v>
      </x:c>
      <x:c r="D177" s="72" t="n">
        <x:v>211637210</x:v>
      </x:c>
      <x:c r="E177" s="49" t="str">
        <x:v>Electronics and Telecommunication Engg</x:v>
      </x:c>
      <x:c r="F177" s="73" t="n">
        <x:v>17</x:v>
      </x:c>
      <x:c r="G177" s="73" t="n">
        <x:v>16</x:v>
      </x:c>
      <x:c r="H177" s="73" t="n">
        <x:v>1</x:v>
      </x:c>
      <x:c r="I177" s="73"/>
      <x:c r="J177" s="73" t="n">
        <x:v>0</x:v>
      </x:c>
      <x:c r="K177" s="49" t="str">
        <x:v>Un-Aided</x:v>
      </x:c>
      <x:c r="L177" s="49" t="str">
        <x:v>MS Seats : 16+ EWS : 1</x:v>
      </x:c>
      <x:c r="M177" s="49" t="str">
        <x:v>https://dse2025.mahacet.org.in/dse25/admin/allotment/cap2/2116_4.pdf</x:v>
      </x:c>
    </x:row>
    <x:row r="178">
      <x:c r="A178" s="49" t="str">
        <x:v>2025-26</x:v>
      </x:c>
      <x:c r="B178" s="63" t="n">
        <x:v>2116</x:v>
      </x:c>
      <x:c r="C178" s="49" t="str">
        <x:v>Matoshri Pratishan's Group of Institutions (Integrated Campus), Kupsarwadi , Nanded</x:v>
      </x:c>
      <x:c r="D178" s="72" t="n">
        <x:v>211661510</x:v>
      </x:c>
      <x:c r="E178" s="49" t="str">
        <x:v>Mechanical &amp; Automation Engineering</x:v>
      </x:c>
      <x:c r="F178" s="73" t="n">
        <x:v>33</x:v>
      </x:c>
      <x:c r="G178" s="73" t="n">
        <x:v>30</x:v>
      </x:c>
      <x:c r="H178" s="73" t="n">
        <x:v>3</x:v>
      </x:c>
      <x:c r="I178" s="73"/>
      <x:c r="J178" s="73" t="n">
        <x:v>0</x:v>
      </x:c>
      <x:c r="K178" s="49" t="str">
        <x:v>Un-Aided</x:v>
      </x:c>
      <x:c r="L178" s="49" t="str">
        <x:v>MS Seats : 30+ EWS : 3</x:v>
      </x:c>
      <x:c r="M178" s="49" t="str">
        <x:v>https://dse2025.mahacet.org.in/dse25/admin/allotment/cap2/2116_4.pdf</x:v>
      </x:c>
    </x:row>
    <x:row r="179">
      <x:c r="A179" s="49" t="str">
        <x:v>2025-26</x:v>
      </x:c>
      <x:c r="B179" s="63" t="n">
        <x:v>2116</x:v>
      </x:c>
      <x:c r="C179" s="49" t="str">
        <x:v>Matoshri Pratishan's Group of Institutions (Integrated Campus), Kupsarwadi , Nanded</x:v>
      </x:c>
      <x:c r="D179" s="72" t="n">
        <x:v>211691110</x:v>
      </x:c>
      <x:c r="E179" s="49" t="str">
        <x:v>Computer Science and Engineering(Artificial Intelligence and Machine Learning)</x:v>
      </x:c>
      <x:c r="F179" s="73" t="n">
        <x:v>19</x:v>
      </x:c>
      <x:c r="G179" s="73" t="n">
        <x:v>19</x:v>
      </x:c>
      <x:c r="H179" s="73" t="n">
        <x:v>0</x:v>
      </x:c>
      <x:c r="I179" s="73"/>
      <x:c r="J179" s="73" t="n">
        <x:v>0</x:v>
      </x:c>
      <x:c r="K179" s="49" t="str">
        <x:v>Un-Aided</x:v>
      </x:c>
      <x:c r="L179" s="49" t="str">
        <x:v>MS Seats : 19+ EWS : 0</x:v>
      </x:c>
      <x:c r="M179" s="49" t="str">
        <x:v>https://dse2025.mahacet.org.in/dse25/admin/allotment/cap2/2116_4.pdf</x:v>
      </x:c>
    </x:row>
    <x:row r="180">
      <x:c r="A180" s="49" t="str">
        <x:v>2025-26</x:v>
      </x:c>
      <x:c r="B180" s="63" t="n">
        <x:v>2127</x:v>
      </x:c>
      <x:c r="C180" s="49" t="str">
        <x:v>Mahatma Gandhi Missions College of Engineering, Hingoli Rd, Nanded.</x:v>
      </x:c>
      <x:c r="D180" s="72" t="n">
        <x:v>212719110</x:v>
      </x:c>
      <x:c r="E180" s="49" t="str">
        <x:v>Civil Engineering</x:v>
      </x:c>
      <x:c r="F180" s="73" t="n">
        <x:v>13</x:v>
      </x:c>
      <x:c r="G180" s="73" t="n">
        <x:v>11</x:v>
      </x:c>
      <x:c r="H180" s="73" t="n">
        <x:v>2</x:v>
      </x:c>
      <x:c r="I180" s="73"/>
      <x:c r="J180" s="73" t="n">
        <x:v>0</x:v>
      </x:c>
      <x:c r="K180" s="49" t="str">
        <x:v>Un-Aided</x:v>
      </x:c>
      <x:c r="L180" s="49" t="str">
        <x:v>MS Seats : 11+ EWS : 2</x:v>
      </x:c>
      <x:c r="M180" s="49" t="str">
        <x:v>https://dse2025.mahacet.org.in/dse25/admin/allotment/cap2/2127_4.pdf</x:v>
      </x:c>
    </x:row>
    <x:row r="181">
      <x:c r="A181" s="49" t="str">
        <x:v>2025-26</x:v>
      </x:c>
      <x:c r="B181" s="63" t="n">
        <x:v>2127</x:v>
      </x:c>
      <x:c r="C181" s="49" t="str">
        <x:v>Mahatma Gandhi Missions College of Engineering, Hingoli Rd, Nanded.</x:v>
      </x:c>
      <x:c r="D181" s="72" t="n">
        <x:v>212724210</x:v>
      </x:c>
      <x:c r="E181" s="49" t="str">
        <x:v>Computer Science and Engineering</x:v>
      </x:c>
      <x:c r="F181" s="73" t="n">
        <x:v>30</x:v>
      </x:c>
      <x:c r="G181" s="73" t="n">
        <x:v>28</x:v>
      </x:c>
      <x:c r="H181" s="73" t="n">
        <x:v>2</x:v>
      </x:c>
      <x:c r="I181" s="73"/>
      <x:c r="J181" s="73" t="n">
        <x:v>0</x:v>
      </x:c>
      <x:c r="K181" s="49" t="str">
        <x:v>Un-Aided</x:v>
      </x:c>
      <x:c r="L181" s="49" t="str">
        <x:v>MS Seats : 28+ EWS : 2</x:v>
      </x:c>
      <x:c r="M181" s="49" t="str">
        <x:v>https://dse2025.mahacet.org.in/dse25/admin/allotment/cap2/2127_4.pdf</x:v>
      </x:c>
    </x:row>
    <x:row r="182">
      <x:c r="A182" s="49" t="str">
        <x:v>2025-26</x:v>
      </x:c>
      <x:c r="B182" s="63" t="n">
        <x:v>2127</x:v>
      </x:c>
      <x:c r="C182" s="49" t="str">
        <x:v>Mahatma Gandhi Missions College of Engineering, Hingoli Rd, Nanded.</x:v>
      </x:c>
      <x:c r="D182" s="72" t="n">
        <x:v>212724610</x:v>
      </x:c>
      <x:c r="E182" s="49" t="str">
        <x:v>Information Technology</x:v>
      </x:c>
      <x:c r="F182" s="73" t="n">
        <x:v>18</x:v>
      </x:c>
      <x:c r="G182" s="73" t="n">
        <x:v>16</x:v>
      </x:c>
      <x:c r="H182" s="73" t="n">
        <x:v>2</x:v>
      </x:c>
      <x:c r="I182" s="73"/>
      <x:c r="J182" s="73" t="n">
        <x:v>0</x:v>
      </x:c>
      <x:c r="K182" s="49" t="str">
        <x:v>Un-Aided</x:v>
      </x:c>
      <x:c r="L182" s="49" t="str">
        <x:v>MS Seats : 16+ EWS : 2</x:v>
      </x:c>
      <x:c r="M182" s="49" t="str">
        <x:v>https://dse2025.mahacet.org.in/dse25/admin/allotment/cap2/2127_4.pdf</x:v>
      </x:c>
    </x:row>
    <x:row r="183">
      <x:c r="A183" s="49" t="str">
        <x:v>2025-26</x:v>
      </x:c>
      <x:c r="B183" s="63" t="n">
        <x:v>2127</x:v>
      </x:c>
      <x:c r="C183" s="49" t="str">
        <x:v>Mahatma Gandhi Missions College of Engineering, Hingoli Rd, Nanded.</x:v>
      </x:c>
      <x:c r="D183" s="72" t="n">
        <x:v>212737210</x:v>
      </x:c>
      <x:c r="E183" s="49" t="str">
        <x:v>Electronics and Telecommunication Engg</x:v>
      </x:c>
      <x:c r="F183" s="73" t="n">
        <x:v>10</x:v>
      </x:c>
      <x:c r="G183" s="73" t="n">
        <x:v>9</x:v>
      </x:c>
      <x:c r="H183" s="73" t="n">
        <x:v>1</x:v>
      </x:c>
      <x:c r="I183" s="73"/>
      <x:c r="J183" s="73" t="n">
        <x:v>0</x:v>
      </x:c>
      <x:c r="K183" s="49" t="str">
        <x:v>Un-Aided</x:v>
      </x:c>
      <x:c r="L183" s="49" t="str">
        <x:v>MS Seats : 9+ EWS : 1</x:v>
      </x:c>
      <x:c r="M183" s="49" t="str">
        <x:v>https://dse2025.mahacet.org.in/dse25/admin/allotment/cap2/2127_4.pdf</x:v>
      </x:c>
    </x:row>
    <x:row r="184">
      <x:c r="A184" s="49" t="str">
        <x:v>2025-26</x:v>
      </x:c>
      <x:c r="B184" s="63" t="n">
        <x:v>2127</x:v>
      </x:c>
      <x:c r="C184" s="49" t="str">
        <x:v>Mahatma Gandhi Missions College of Engineering, Hingoli Rd, Nanded.</x:v>
      </x:c>
      <x:c r="D184" s="72" t="n">
        <x:v>212761210</x:v>
      </x:c>
      <x:c r="E184" s="49" t="str">
        <x:v>Mechanical Engineering</x:v>
      </x:c>
      <x:c r="F184" s="73" t="n">
        <x:v>22</x:v>
      </x:c>
      <x:c r="G184" s="73" t="n">
        <x:v>19</x:v>
      </x:c>
      <x:c r="H184" s="73" t="n">
        <x:v>3</x:v>
      </x:c>
      <x:c r="I184" s="73"/>
      <x:c r="J184" s="73" t="n">
        <x:v>0</x:v>
      </x:c>
      <x:c r="K184" s="49" t="str">
        <x:v>Un-Aided</x:v>
      </x:c>
      <x:c r="L184" s="49" t="str">
        <x:v>MS Seats : 19+ EWS : 3</x:v>
      </x:c>
      <x:c r="M184" s="49" t="str">
        <x:v>https://dse2025.mahacet.org.in/dse25/admin/allotment/cap2/2127_4.pdf</x:v>
      </x:c>
    </x:row>
    <x:row r="185">
      <x:c r="A185" s="49" t="str">
        <x:v>2025-26</x:v>
      </x:c>
      <x:c r="B185" s="63" t="n">
        <x:v>2127</x:v>
      </x:c>
      <x:c r="C185" s="49" t="str">
        <x:v>Mahatma Gandhi Missions College of Engineering, Hingoli Rd, Nanded.</x:v>
      </x:c>
      <x:c r="D185" s="72" t="n">
        <x:v>212791610</x:v>
      </x:c>
      <x:c r="E185" s="49" t="str">
        <x:v>Automation and Robotics</x:v>
      </x:c>
      <x:c r="F185" s="73" t="n">
        <x:v>25</x:v>
      </x:c>
      <x:c r="G185" s="73" t="n">
        <x:v>23</x:v>
      </x:c>
      <x:c r="H185" s="73" t="n">
        <x:v>2</x:v>
      </x:c>
      <x:c r="I185" s="73"/>
      <x:c r="J185" s="73" t="n">
        <x:v>0</x:v>
      </x:c>
      <x:c r="K185" s="49" t="str">
        <x:v>Un-Aided</x:v>
      </x:c>
      <x:c r="L185" s="49" t="str">
        <x:v>MS Seats : 23+ EWS : 2</x:v>
      </x:c>
      <x:c r="M185" s="49" t="str">
        <x:v>https://dse2025.mahacet.org.in/dse25/admin/allotment/cap2/2127_4.pdf</x:v>
      </x:c>
    </x:row>
    <x:row r="186">
      <x:c r="A186" s="49" t="str">
        <x:v>2025-26</x:v>
      </x:c>
      <x:c r="B186" s="63" t="n">
        <x:v>2127</x:v>
      </x:c>
      <x:c r="C186" s="49" t="str">
        <x:v>Mahatma Gandhi Missions College of Engineering, Hingoli Rd, Nanded.</x:v>
      </x:c>
      <x:c r="D186" s="72" t="n">
        <x:v>212792110</x:v>
      </x:c>
      <x:c r="E186" s="49" t="str">
        <x:v>Artificial Intelligence and Machine Learning</x:v>
      </x:c>
      <x:c r="F186" s="73" t="n">
        <x:v>9</x:v>
      </x:c>
      <x:c r="G186" s="73" t="n">
        <x:v>8</x:v>
      </x:c>
      <x:c r="H186" s="73" t="n">
        <x:v>1</x:v>
      </x:c>
      <x:c r="I186" s="73"/>
      <x:c r="J186" s="73" t="n">
        <x:v>0</x:v>
      </x:c>
      <x:c r="K186" s="49" t="str">
        <x:v>Un-Aided</x:v>
      </x:c>
      <x:c r="L186" s="49" t="str">
        <x:v>MS Seats : 8+ EWS : 1</x:v>
      </x:c>
      <x:c r="M186" s="49" t="str">
        <x:v>https://dse2025.mahacet.org.in/dse25/admin/allotment/cap2/2127_4.pdf</x:v>
      </x:c>
    </x:row>
    <x:row r="187">
      <x:c r="A187" s="49" t="str">
        <x:v>2025-26</x:v>
      </x:c>
      <x:c r="B187" s="63" t="n">
        <x:v>2129</x:v>
      </x:c>
      <x:c r="C187" s="49" t="str">
        <x:v>M.S. Bidve Engineering College, Latur</x:v>
      </x:c>
      <x:c r="D187" s="72" t="n">
        <x:v>212919110</x:v>
      </x:c>
      <x:c r="E187" s="49" t="str">
        <x:v>Civil Engineering</x:v>
      </x:c>
      <x:c r="F187" s="73" t="n">
        <x:v>10</x:v>
      </x:c>
      <x:c r="G187" s="73" t="n">
        <x:v>9</x:v>
      </x:c>
      <x:c r="H187" s="73" t="n">
        <x:v>1</x:v>
      </x:c>
      <x:c r="I187" s="73"/>
      <x:c r="J187" s="73" t="n">
        <x:v>0</x:v>
      </x:c>
      <x:c r="K187" s="49" t="str">
        <x:v>Un-Aided</x:v>
      </x:c>
      <x:c r="L187" s="49" t="str">
        <x:v>MS Seats : 9+ EWS : 1</x:v>
      </x:c>
      <x:c r="M187" s="49" t="str">
        <x:v>https://dse2025.mahacet.org.in/dse25/admin/allotment/cap2/2129_4.pdf</x:v>
      </x:c>
    </x:row>
    <x:row r="188">
      <x:c r="A188" s="49" t="str">
        <x:v>2025-26</x:v>
      </x:c>
      <x:c r="B188" s="63" t="n">
        <x:v>2129</x:v>
      </x:c>
      <x:c r="C188" s="49" t="str">
        <x:v>M.S. Bidve Engineering College, Latur</x:v>
      </x:c>
      <x:c r="D188" s="72" t="n">
        <x:v>212924210</x:v>
      </x:c>
      <x:c r="E188" s="49" t="str">
        <x:v>Computer Science and Engineering</x:v>
      </x:c>
      <x:c r="F188" s="73" t="n">
        <x:v>19</x:v>
      </x:c>
      <x:c r="G188" s="73" t="n">
        <x:v>17</x:v>
      </x:c>
      <x:c r="H188" s="73" t="n">
        <x:v>2</x:v>
      </x:c>
      <x:c r="I188" s="73"/>
      <x:c r="J188" s="73" t="n">
        <x:v>0</x:v>
      </x:c>
      <x:c r="K188" s="49" t="str">
        <x:v>Un-Aided</x:v>
      </x:c>
      <x:c r="L188" s="49" t="str">
        <x:v>MS Seats : 17+ EWS : 2</x:v>
      </x:c>
      <x:c r="M188" s="49" t="str">
        <x:v>https://dse2025.mahacet.org.in/dse25/admin/allotment/cap2/2129_4.pdf</x:v>
      </x:c>
    </x:row>
    <x:row r="189">
      <x:c r="A189" s="49" t="str">
        <x:v>2025-26</x:v>
      </x:c>
      <x:c r="B189" s="63" t="n">
        <x:v>2129</x:v>
      </x:c>
      <x:c r="C189" s="49" t="str">
        <x:v>M.S. Bidve Engineering College, Latur</x:v>
      </x:c>
      <x:c r="D189" s="72" t="n">
        <x:v>212924610</x:v>
      </x:c>
      <x:c r="E189" s="49" t="str">
        <x:v>Information Technology</x:v>
      </x:c>
      <x:c r="F189" s="73" t="n">
        <x:v>19</x:v>
      </x:c>
      <x:c r="G189" s="73" t="n">
        <x:v>18</x:v>
      </x:c>
      <x:c r="H189" s="73" t="n">
        <x:v>1</x:v>
      </x:c>
      <x:c r="I189" s="73"/>
      <x:c r="J189" s="73" t="n">
        <x:v>0</x:v>
      </x:c>
      <x:c r="K189" s="49" t="str">
        <x:v>Un-Aided</x:v>
      </x:c>
      <x:c r="L189" s="49" t="str">
        <x:v>MS Seats : 18+ EWS : 1</x:v>
      </x:c>
      <x:c r="M189" s="49" t="str">
        <x:v>https://dse2025.mahacet.org.in/dse25/admin/allotment/cap2/2129_4.pdf</x:v>
      </x:c>
    </x:row>
    <x:row r="190">
      <x:c r="A190" s="49" t="str">
        <x:v>2025-26</x:v>
      </x:c>
      <x:c r="B190" s="63" t="n">
        <x:v>2129</x:v>
      </x:c>
      <x:c r="C190" s="49" t="str">
        <x:v>M.S. Bidve Engineering College, Latur</x:v>
      </x:c>
      <x:c r="D190" s="72" t="n">
        <x:v>212929310</x:v>
      </x:c>
      <x:c r="E190" s="49" t="str">
        <x:v>Electrical Engineering</x:v>
      </x:c>
      <x:c r="F190" s="73" t="n">
        <x:v>21</x:v>
      </x:c>
      <x:c r="G190" s="73" t="n">
        <x:v>20</x:v>
      </x:c>
      <x:c r="H190" s="73" t="n">
        <x:v>1</x:v>
      </x:c>
      <x:c r="I190" s="73"/>
      <x:c r="J190" s="73" t="n">
        <x:v>0</x:v>
      </x:c>
      <x:c r="K190" s="49" t="str">
        <x:v>Un-Aided</x:v>
      </x:c>
      <x:c r="L190" s="49" t="str">
        <x:v>MS Seats : 20+ EWS : 1</x:v>
      </x:c>
      <x:c r="M190" s="49" t="str">
        <x:v>https://dse2025.mahacet.org.in/dse25/admin/allotment/cap2/2129_4.pdf</x:v>
      </x:c>
    </x:row>
    <x:row r="191">
      <x:c r="A191" s="49" t="str">
        <x:v>2025-26</x:v>
      </x:c>
      <x:c r="B191" s="63" t="n">
        <x:v>2129</x:v>
      </x:c>
      <x:c r="C191" s="49" t="str">
        <x:v>M.S. Bidve Engineering College, Latur</x:v>
      </x:c>
      <x:c r="D191" s="72" t="n">
        <x:v>212937210</x:v>
      </x:c>
      <x:c r="E191" s="49" t="str">
        <x:v>Electronics and Telecommunication Engg</x:v>
      </x:c>
      <x:c r="F191" s="73" t="n">
        <x:v>8</x:v>
      </x:c>
      <x:c r="G191" s="73" t="n">
        <x:v>7</x:v>
      </x:c>
      <x:c r="H191" s="73" t="n">
        <x:v>1</x:v>
      </x:c>
      <x:c r="I191" s="73"/>
      <x:c r="J191" s="73" t="n">
        <x:v>0</x:v>
      </x:c>
      <x:c r="K191" s="49" t="str">
        <x:v>Un-Aided</x:v>
      </x:c>
      <x:c r="L191" s="49" t="str">
        <x:v>MS Seats : 7+ EWS : 1</x:v>
      </x:c>
      <x:c r="M191" s="49" t="str">
        <x:v>https://dse2025.mahacet.org.in/dse25/admin/allotment/cap2/2129_4.pdf</x:v>
      </x:c>
    </x:row>
    <x:row r="192">
      <x:c r="A192" s="49" t="str">
        <x:v>2025-26</x:v>
      </x:c>
      <x:c r="B192" s="63" t="n">
        <x:v>2129</x:v>
      </x:c>
      <x:c r="C192" s="49" t="str">
        <x:v>M.S. Bidve Engineering College, Latur</x:v>
      </x:c>
      <x:c r="D192" s="72" t="n">
        <x:v>212946310</x:v>
      </x:c>
      <x:c r="E192" s="49" t="str">
        <x:v>Architectural Assistantship</x:v>
      </x:c>
      <x:c r="F192" s="73" t="n">
        <x:v>74</x:v>
      </x:c>
      <x:c r="G192" s="73" t="n">
        <x:v>67</x:v>
      </x:c>
      <x:c r="H192" s="73" t="n">
        <x:v>7</x:v>
      </x:c>
      <x:c r="I192" s="73"/>
      <x:c r="J192" s="73" t="n">
        <x:v>0</x:v>
      </x:c>
      <x:c r="K192" s="49" t="str">
        <x:v>Un-Aided</x:v>
      </x:c>
      <x:c r="L192" s="49" t="str">
        <x:v>MS Seats : 67+ EWS : 7</x:v>
      </x:c>
      <x:c r="M192" s="49" t="str">
        <x:v>https://dse2025.mahacet.org.in/dse25/admin/allotment/cap2/2129_4.pdf</x:v>
      </x:c>
    </x:row>
    <x:row r="193">
      <x:c r="A193" s="49" t="str">
        <x:v>2025-26</x:v>
      </x:c>
      <x:c r="B193" s="63" t="n">
        <x:v>2129</x:v>
      </x:c>
      <x:c r="C193" s="49" t="str">
        <x:v>M.S. Bidve Engineering College, Latur</x:v>
      </x:c>
      <x:c r="D193" s="72" t="n">
        <x:v>212961210</x:v>
      </x:c>
      <x:c r="E193" s="49" t="str">
        <x:v>Mechanical Engineering</x:v>
      </x:c>
      <x:c r="F193" s="73" t="n">
        <x:v>36</x:v>
      </x:c>
      <x:c r="G193" s="73" t="n">
        <x:v>33</x:v>
      </x:c>
      <x:c r="H193" s="73" t="n">
        <x:v>3</x:v>
      </x:c>
      <x:c r="I193" s="73"/>
      <x:c r="J193" s="73" t="n">
        <x:v>0</x:v>
      </x:c>
      <x:c r="K193" s="49" t="str">
        <x:v>Un-Aided</x:v>
      </x:c>
      <x:c r="L193" s="49" t="str">
        <x:v>MS Seats : 33+ EWS : 3</x:v>
      </x:c>
      <x:c r="M193" s="49" t="str">
        <x:v>https://dse2025.mahacet.org.in/dse25/admin/allotment/cap2/2129_4.pdf</x:v>
      </x:c>
    </x:row>
    <x:row r="194">
      <x:c r="A194" s="49" t="str">
        <x:v>2025-26</x:v>
      </x:c>
      <x:c r="B194" s="63" t="n">
        <x:v>2129</x:v>
      </x:c>
      <x:c r="C194" s="49" t="str">
        <x:v>M.S. Bidve Engineering College, Latur</x:v>
      </x:c>
      <x:c r="D194" s="72" t="n">
        <x:v>212991110</x:v>
      </x:c>
      <x:c r="E194" s="49" t="str">
        <x:v>Computer Science and Engineering(Artificial Intelligence and Machine Learning)</x:v>
      </x:c>
      <x:c r="F194" s="73" t="n">
        <x:v>15</x:v>
      </x:c>
      <x:c r="G194" s="73" t="n">
        <x:v>14</x:v>
      </x:c>
      <x:c r="H194" s="73" t="n">
        <x:v>1</x:v>
      </x:c>
      <x:c r="I194" s="73"/>
      <x:c r="J194" s="73" t="n">
        <x:v>0</x:v>
      </x:c>
      <x:c r="K194" s="49" t="str">
        <x:v>Un-Aided</x:v>
      </x:c>
      <x:c r="L194" s="49" t="str">
        <x:v>MS Seats : 14+ EWS : 1</x:v>
      </x:c>
      <x:c r="M194" s="49" t="str">
        <x:v>https://dse2025.mahacet.org.in/dse25/admin/allotment/cap2/2129_4.pdf</x:v>
      </x:c>
    </x:row>
    <x:row r="195">
      <x:c r="A195" s="49" t="str">
        <x:v>2025-26</x:v>
      </x:c>
      <x:c r="B195" s="63" t="n">
        <x:v>2130</x:v>
      </x:c>
      <x:c r="C195" s="49" t="str">
        <x:v>Terna Public Charitable Trust's College of Engineering, Osmanabad</x:v>
      </x:c>
      <x:c r="D195" s="72" t="n">
        <x:v>213019110</x:v>
      </x:c>
      <x:c r="E195" s="49" t="str">
        <x:v>Civil Engineering</x:v>
      </x:c>
      <x:c r="F195" s="73" t="n">
        <x:v>40</x:v>
      </x:c>
      <x:c r="G195" s="73" t="n">
        <x:v>36</x:v>
      </x:c>
      <x:c r="H195" s="73" t="n">
        <x:v>4</x:v>
      </x:c>
      <x:c r="I195" s="73"/>
      <x:c r="J195" s="73" t="n">
        <x:v>0</x:v>
      </x:c>
      <x:c r="K195" s="49" t="str">
        <x:v>Un-Aided</x:v>
      </x:c>
      <x:c r="L195" s="49" t="str">
        <x:v>MS Seats : 36+ EWS : 4</x:v>
      </x:c>
      <x:c r="M195" s="49" t="str">
        <x:v>https://dse2025.mahacet.org.in/dse25/admin/allotment/cap2/2130_4.pdf</x:v>
      </x:c>
    </x:row>
    <x:row r="196">
      <x:c r="A196" s="49" t="str">
        <x:v>2025-26</x:v>
      </x:c>
      <x:c r="B196" s="63" t="n">
        <x:v>2130</x:v>
      </x:c>
      <x:c r="C196" s="49" t="str">
        <x:v>Terna Public Charitable Trust's College of Engineering, Osmanabad</x:v>
      </x:c>
      <x:c r="D196" s="72" t="n">
        <x:v>213024210</x:v>
      </x:c>
      <x:c r="E196" s="49" t="str">
        <x:v>Computer Science and Engineering</x:v>
      </x:c>
      <x:c r="F196" s="73" t="n">
        <x:v>13</x:v>
      </x:c>
      <x:c r="G196" s="73" t="n">
        <x:v>12</x:v>
      </x:c>
      <x:c r="H196" s="73" t="n">
        <x:v>1</x:v>
      </x:c>
      <x:c r="I196" s="73"/>
      <x:c r="J196" s="73" t="n">
        <x:v>0</x:v>
      </x:c>
      <x:c r="K196" s="49" t="str">
        <x:v>Un-Aided</x:v>
      </x:c>
      <x:c r="L196" s="49" t="str">
        <x:v>MS Seats : 12+ EWS : 1</x:v>
      </x:c>
      <x:c r="M196" s="49" t="str">
        <x:v>https://dse2025.mahacet.org.in/dse25/admin/allotment/cap2/2130_4.pdf</x:v>
      </x:c>
    </x:row>
    <x:row r="197">
      <x:c r="A197" s="49" t="str">
        <x:v>2025-26</x:v>
      </x:c>
      <x:c r="B197" s="63" t="n">
        <x:v>2130</x:v>
      </x:c>
      <x:c r="C197" s="49" t="str">
        <x:v>Terna Public Charitable Trust's College of Engineering, Osmanabad</x:v>
      </x:c>
      <x:c r="D197" s="72" t="n">
        <x:v>213037210</x:v>
      </x:c>
      <x:c r="E197" s="49" t="str">
        <x:v>Electronics and Telecommunication Engg</x:v>
      </x:c>
      <x:c r="F197" s="73" t="n">
        <x:v>22</x:v>
      </x:c>
      <x:c r="G197" s="73" t="n">
        <x:v>20</x:v>
      </x:c>
      <x:c r="H197" s="73" t="n">
        <x:v>2</x:v>
      </x:c>
      <x:c r="I197" s="73"/>
      <x:c r="J197" s="73" t="n">
        <x:v>0</x:v>
      </x:c>
      <x:c r="K197" s="49" t="str">
        <x:v>Un-Aided</x:v>
      </x:c>
      <x:c r="L197" s="49" t="str">
        <x:v>MS Seats : 20+ EWS : 2</x:v>
      </x:c>
      <x:c r="M197" s="49" t="str">
        <x:v>https://dse2025.mahacet.org.in/dse25/admin/allotment/cap2/2130_4.pdf</x:v>
      </x:c>
    </x:row>
    <x:row r="198">
      <x:c r="A198" s="49" t="str">
        <x:v>2025-26</x:v>
      </x:c>
      <x:c r="B198" s="63" t="n">
        <x:v>2130</x:v>
      </x:c>
      <x:c r="C198" s="49" t="str">
        <x:v>Terna Public Charitable Trust's College of Engineering, Osmanabad</x:v>
      </x:c>
      <x:c r="D198" s="72" t="n">
        <x:v>213061210</x:v>
      </x:c>
      <x:c r="E198" s="49" t="str">
        <x:v>Mechanical Engineering</x:v>
      </x:c>
      <x:c r="F198" s="73" t="n">
        <x:v>42</x:v>
      </x:c>
      <x:c r="G198" s="73" t="n">
        <x:v>40</x:v>
      </x:c>
      <x:c r="H198" s="73" t="n">
        <x:v>2</x:v>
      </x:c>
      <x:c r="I198" s="73"/>
      <x:c r="J198" s="73" t="n">
        <x:v>0</x:v>
      </x:c>
      <x:c r="K198" s="49" t="str">
        <x:v>Un-Aided</x:v>
      </x:c>
      <x:c r="L198" s="49" t="str">
        <x:v>MS Seats : 40+ EWS : 2</x:v>
      </x:c>
      <x:c r="M198" s="49" t="str">
        <x:v>https://dse2025.mahacet.org.in/dse25/admin/allotment/cap2/2130_4.pdf</x:v>
      </x:c>
    </x:row>
    <x:row r="199">
      <x:c r="A199" s="49" t="str">
        <x:v>2025-26</x:v>
      </x:c>
      <x:c r="B199" s="63" t="n">
        <x:v>2130</x:v>
      </x:c>
      <x:c r="C199" s="49" t="str">
        <x:v>Terna Public Charitable Trust's College of Engineering, Osmanabad</x:v>
      </x:c>
      <x:c r="D199" s="72" t="n">
        <x:v>213099510</x:v>
      </x:c>
      <x:c r="E199" s="49" t="str">
        <x:v>Artificial Intelligence and Data Science</x:v>
      </x:c>
      <x:c r="F199" s="73" t="n">
        <x:v>10</x:v>
      </x:c>
      <x:c r="G199" s="73" t="n">
        <x:v>8</x:v>
      </x:c>
      <x:c r="H199" s="73" t="n">
        <x:v>2</x:v>
      </x:c>
      <x:c r="I199" s="73"/>
      <x:c r="J199" s="73" t="n">
        <x:v>0</x:v>
      </x:c>
      <x:c r="K199" s="49" t="str">
        <x:v>Un-Aided</x:v>
      </x:c>
      <x:c r="L199" s="49" t="str">
        <x:v>MS Seats : 8+ EWS : 2</x:v>
      </x:c>
      <x:c r="M199" s="49" t="str">
        <x:v>https://dse2025.mahacet.org.in/dse25/admin/allotment/cap2/2130_4.pdf</x:v>
      </x:c>
    </x:row>
    <x:row r="200">
      <x:c r="A200" s="49" t="str">
        <x:v>2025-26</x:v>
      </x:c>
      <x:c r="B200" s="63" t="n">
        <x:v>2131</x:v>
      </x:c>
      <x:c r="C200" s="49" t="str">
        <x:v>Shree Tuljabhavani College of Engineering, Tuljapur</x:v>
      </x:c>
      <x:c r="D200" s="72" t="n">
        <x:v>213119110</x:v>
      </x:c>
      <x:c r="E200" s="49" t="str">
        <x:v>Civil Engineering</x:v>
      </x:c>
      <x:c r="F200" s="73" t="n">
        <x:v>21</x:v>
      </x:c>
      <x:c r="G200" s="73" t="n">
        <x:v>18</x:v>
      </x:c>
      <x:c r="H200" s="73" t="n">
        <x:v>3</x:v>
      </x:c>
      <x:c r="I200" s="73"/>
      <x:c r="J200" s="73" t="n">
        <x:v>0</x:v>
      </x:c>
      <x:c r="K200" s="49" t="str">
        <x:v>Un-Aided</x:v>
      </x:c>
      <x:c r="L200" s="49" t="str">
        <x:v>MS Seats : 18+ EWS : 3</x:v>
      </x:c>
      <x:c r="M200" s="49" t="str">
        <x:v>https://dse2025.mahacet.org.in/dse25/admin/allotment/cap2/2131_4.pdf</x:v>
      </x:c>
    </x:row>
    <x:row r="201">
      <x:c r="A201" s="49" t="str">
        <x:v>2025-26</x:v>
      </x:c>
      <x:c r="B201" s="63" t="n">
        <x:v>2131</x:v>
      </x:c>
      <x:c r="C201" s="49" t="str">
        <x:v>Shree Tuljabhavani College of Engineering, Tuljapur</x:v>
      </x:c>
      <x:c r="D201" s="72" t="n">
        <x:v>213124210</x:v>
      </x:c>
      <x:c r="E201" s="49" t="str">
        <x:v>Computer Science and Engineering</x:v>
      </x:c>
      <x:c r="F201" s="73" t="n">
        <x:v>57</x:v>
      </x:c>
      <x:c r="G201" s="73" t="n">
        <x:v>48</x:v>
      </x:c>
      <x:c r="H201" s="73" t="n">
        <x:v>9</x:v>
      </x:c>
      <x:c r="I201" s="73"/>
      <x:c r="J201" s="73" t="n">
        <x:v>0</x:v>
      </x:c>
      <x:c r="K201" s="49" t="str">
        <x:v>Un-Aided</x:v>
      </x:c>
      <x:c r="L201" s="49" t="str">
        <x:v>MS Seats : 48+ EWS : 9</x:v>
      </x:c>
      <x:c r="M201" s="49" t="str">
        <x:v>https://dse2025.mahacet.org.in/dse25/admin/allotment/cap2/2131_4.pdf</x:v>
      </x:c>
    </x:row>
    <x:row r="202">
      <x:c r="A202" s="49" t="str">
        <x:v>2025-26</x:v>
      </x:c>
      <x:c r="B202" s="63" t="n">
        <x:v>2131</x:v>
      </x:c>
      <x:c r="C202" s="49" t="str">
        <x:v>Shree Tuljabhavani College of Engineering, Tuljapur</x:v>
      </x:c>
      <x:c r="D202" s="72" t="n">
        <x:v>213137210</x:v>
      </x:c>
      <x:c r="E202" s="49" t="str">
        <x:v>Electronics and Telecommunication Engg</x:v>
      </x:c>
      <x:c r="F202" s="73" t="n">
        <x:v>62</x:v>
      </x:c>
      <x:c r="G202" s="73" t="n">
        <x:v>57</x:v>
      </x:c>
      <x:c r="H202" s="73" t="n">
        <x:v>5</x:v>
      </x:c>
      <x:c r="I202" s="73"/>
      <x:c r="J202" s="73" t="n">
        <x:v>0</x:v>
      </x:c>
      <x:c r="K202" s="49" t="str">
        <x:v>Un-Aided</x:v>
      </x:c>
      <x:c r="L202" s="49" t="str">
        <x:v>MS Seats : 57+ EWS : 5</x:v>
      </x:c>
      <x:c r="M202" s="49" t="str">
        <x:v>https://dse2025.mahacet.org.in/dse25/admin/allotment/cap2/2131_4.pdf</x:v>
      </x:c>
    </x:row>
    <x:row r="203">
      <x:c r="A203" s="49" t="str">
        <x:v>2025-26</x:v>
      </x:c>
      <x:c r="B203" s="63" t="n">
        <x:v>2131</x:v>
      </x:c>
      <x:c r="C203" s="49" t="str">
        <x:v>Shree Tuljabhavani College of Engineering, Tuljapur</x:v>
      </x:c>
      <x:c r="D203" s="72" t="n">
        <x:v>213161210</x:v>
      </x:c>
      <x:c r="E203" s="49" t="str">
        <x:v>Mechanical Engineering</x:v>
      </x:c>
      <x:c r="F203" s="73" t="n">
        <x:v>37</x:v>
      </x:c>
      <x:c r="G203" s="73" t="n">
        <x:v>34</x:v>
      </x:c>
      <x:c r="H203" s="73" t="n">
        <x:v>3</x:v>
      </x:c>
      <x:c r="I203" s="73"/>
      <x:c r="J203" s="73" t="n">
        <x:v>0</x:v>
      </x:c>
      <x:c r="K203" s="49" t="str">
        <x:v>Un-Aided</x:v>
      </x:c>
      <x:c r="L203" s="49" t="str">
        <x:v>MS Seats : 34+ EWS : 3</x:v>
      </x:c>
      <x:c r="M203" s="49" t="str">
        <x:v>https://dse2025.mahacet.org.in/dse25/admin/allotment/cap2/2131_4.pdf</x:v>
      </x:c>
    </x:row>
    <x:row r="204">
      <x:c r="A204" s="49" t="str">
        <x:v>2025-26</x:v>
      </x:c>
      <x:c r="B204" s="63" t="n">
        <x:v>2133</x:v>
      </x:c>
      <x:c r="C204" s="49" t="str">
        <x:v>Mahatma Basaweshwar Education Society's College of Engineering, Ambejogai</x:v>
      </x:c>
      <x:c r="D204" s="72" t="n">
        <x:v>213319110</x:v>
      </x:c>
      <x:c r="E204" s="49" t="str">
        <x:v>Civil Engineering</x:v>
      </x:c>
      <x:c r="F204" s="73" t="n">
        <x:v>35</x:v>
      </x:c>
      <x:c r="G204" s="73" t="n">
        <x:v>31</x:v>
      </x:c>
      <x:c r="H204" s="73" t="n">
        <x:v>4</x:v>
      </x:c>
      <x:c r="I204" s="73"/>
      <x:c r="J204" s="73" t="n">
        <x:v>0</x:v>
      </x:c>
      <x:c r="K204" s="49" t="str">
        <x:v>Un-Aided</x:v>
      </x:c>
      <x:c r="L204" s="49" t="str">
        <x:v>MS Seats : 31+ EWS : 4</x:v>
      </x:c>
      <x:c r="M204" s="49" t="str">
        <x:v>https://dse2025.mahacet.org.in/dse25/admin/allotment/cap2/2133_4.pdf</x:v>
      </x:c>
    </x:row>
    <x:row r="205">
      <x:c r="A205" s="49" t="str">
        <x:v>2025-26</x:v>
      </x:c>
      <x:c r="B205" s="63" t="n">
        <x:v>2133</x:v>
      </x:c>
      <x:c r="C205" s="49" t="str">
        <x:v>Mahatma Basaweshwar Education Society's College of Engineering, Ambejogai</x:v>
      </x:c>
      <x:c r="D205" s="72" t="n">
        <x:v>213324210</x:v>
      </x:c>
      <x:c r="E205" s="49" t="str">
        <x:v>Computer Science and Engineering</x:v>
      </x:c>
      <x:c r="F205" s="73" t="n">
        <x:v>19</x:v>
      </x:c>
      <x:c r="G205" s="73" t="n">
        <x:v>16</x:v>
      </x:c>
      <x:c r="H205" s="73" t="n">
        <x:v>3</x:v>
      </x:c>
      <x:c r="I205" s="73"/>
      <x:c r="J205" s="73" t="n">
        <x:v>0</x:v>
      </x:c>
      <x:c r="K205" s="49" t="str">
        <x:v>Un-Aided</x:v>
      </x:c>
      <x:c r="L205" s="49" t="str">
        <x:v>MS Seats : 16+ EWS : 3</x:v>
      </x:c>
      <x:c r="M205" s="49" t="str">
        <x:v>https://dse2025.mahacet.org.in/dse25/admin/allotment/cap2/2133_4.pdf</x:v>
      </x:c>
    </x:row>
    <x:row r="206">
      <x:c r="A206" s="49" t="str">
        <x:v>2025-26</x:v>
      </x:c>
      <x:c r="B206" s="63" t="n">
        <x:v>2133</x:v>
      </x:c>
      <x:c r="C206" s="49" t="str">
        <x:v>Mahatma Basaweshwar Education Society's College of Engineering, Ambejogai</x:v>
      </x:c>
      <x:c r="D206" s="72" t="n">
        <x:v>213329310</x:v>
      </x:c>
      <x:c r="E206" s="49" t="str">
        <x:v>Electrical Engineering</x:v>
      </x:c>
      <x:c r="F206" s="73" t="n">
        <x:v>33</x:v>
      </x:c>
      <x:c r="G206" s="73" t="n">
        <x:v>27</x:v>
      </x:c>
      <x:c r="H206" s="73" t="n">
        <x:v>6</x:v>
      </x:c>
      <x:c r="I206" s="73"/>
      <x:c r="J206" s="73" t="n">
        <x:v>0</x:v>
      </x:c>
      <x:c r="K206" s="49" t="str">
        <x:v>Un-Aided</x:v>
      </x:c>
      <x:c r="L206" s="49" t="str">
        <x:v>MS Seats : 27+ EWS : 6</x:v>
      </x:c>
      <x:c r="M206" s="49" t="str">
        <x:v>https://dse2025.mahacet.org.in/dse25/admin/allotment/cap2/2133_4.pdf</x:v>
      </x:c>
    </x:row>
    <x:row r="207">
      <x:c r="A207" s="49" t="str">
        <x:v>2025-26</x:v>
      </x:c>
      <x:c r="B207" s="63" t="n">
        <x:v>2133</x:v>
      </x:c>
      <x:c r="C207" s="49" t="str">
        <x:v>Mahatma Basaweshwar Education Society's College of Engineering, Ambejogai</x:v>
      </x:c>
      <x:c r="D207" s="72" t="n">
        <x:v>213361210</x:v>
      </x:c>
      <x:c r="E207" s="49" t="str">
        <x:v>Mechanical Engineering</x:v>
      </x:c>
      <x:c r="F207" s="73" t="n">
        <x:v>31</x:v>
      </x:c>
      <x:c r="G207" s="73" t="n">
        <x:v>29</x:v>
      </x:c>
      <x:c r="H207" s="73" t="n">
        <x:v>2</x:v>
      </x:c>
      <x:c r="I207" s="73"/>
      <x:c r="J207" s="73" t="n">
        <x:v>0</x:v>
      </x:c>
      <x:c r="K207" s="49" t="str">
        <x:v>Un-Aided</x:v>
      </x:c>
      <x:c r="L207" s="49" t="str">
        <x:v>MS Seats : 29+ EWS : 2</x:v>
      </x:c>
      <x:c r="M207" s="49" t="str">
        <x:v>https://dse2025.mahacet.org.in/dse25/admin/allotment/cap2/2133_4.pdf</x:v>
      </x:c>
    </x:row>
    <x:row r="208">
      <x:c r="A208" s="49" t="str">
        <x:v>2025-26</x:v>
      </x:c>
      <x:c r="B208" s="63" t="n">
        <x:v>2133</x:v>
      </x:c>
      <x:c r="C208" s="49" t="str">
        <x:v>Mahatma Basaweshwar Education Society's College of Engineering, Ambejogai</x:v>
      </x:c>
      <x:c r="D208" s="72" t="n">
        <x:v>213384410</x:v>
      </x:c>
      <x:c r="E208" s="49" t="str">
        <x:v>Electronics and Computer Engineering</x:v>
      </x:c>
      <x:c r="F208" s="73" t="n">
        <x:v>22</x:v>
      </x:c>
      <x:c r="G208" s="73" t="n">
        <x:v>18</x:v>
      </x:c>
      <x:c r="H208" s="73" t="n">
        <x:v>4</x:v>
      </x:c>
      <x:c r="I208" s="73"/>
      <x:c r="J208" s="73" t="n">
        <x:v>0</x:v>
      </x:c>
      <x:c r="K208" s="49" t="str">
        <x:v>Un-Aided</x:v>
      </x:c>
      <x:c r="L208" s="49" t="str">
        <x:v>MS Seats : 18+ EWS : 4</x:v>
      </x:c>
      <x:c r="M208" s="49" t="str">
        <x:v>https://dse2025.mahacet.org.in/dse25/admin/allotment/cap2/2133_4.pdf</x:v>
      </x:c>
    </x:row>
    <x:row r="209">
      <x:c r="A209" s="49" t="str">
        <x:v>2025-26</x:v>
      </x:c>
      <x:c r="B209" s="63" t="n">
        <x:v>2134</x:v>
      </x:c>
      <x:c r="C209" s="49" t="str">
        <x:v>Peoples Education Society's College of Engineering, Aurangabad</x:v>
      </x:c>
      <x:c r="D209" s="72" t="n">
        <x:v>213419110</x:v>
      </x:c>
      <x:c r="E209" s="49" t="str">
        <x:v>Civil Engineering</x:v>
      </x:c>
      <x:c r="F209" s="73" t="n">
        <x:v>38</x:v>
      </x:c>
      <x:c r="G209" s="73" t="n">
        <x:v>34</x:v>
      </x:c>
      <x:c r="H209" s="73" t="n">
        <x:v>4</x:v>
      </x:c>
      <x:c r="I209" s="73"/>
      <x:c r="J209" s="73" t="n">
        <x:v>0</x:v>
      </x:c>
      <x:c r="K209" s="49" t="str">
        <x:v>Un-Aided</x:v>
      </x:c>
      <x:c r="L209" s="49" t="str">
        <x:v>MS Seats : 34+ EWS : 4</x:v>
      </x:c>
      <x:c r="M209" s="49" t="str">
        <x:v>https://dse2025.mahacet.org.in/dse25/admin/allotment/cap2/2134_4.pdf</x:v>
      </x:c>
    </x:row>
    <x:row r="210">
      <x:c r="A210" s="49" t="str">
        <x:v>2025-26</x:v>
      </x:c>
      <x:c r="B210" s="63" t="n">
        <x:v>2134</x:v>
      </x:c>
      <x:c r="C210" s="49" t="str">
        <x:v>Peoples Education Society's College of Engineering, Aurangabad</x:v>
      </x:c>
      <x:c r="D210" s="72" t="n">
        <x:v>213424210</x:v>
      </x:c>
      <x:c r="E210" s="49" t="str">
        <x:v>Computer Science and Engineering</x:v>
      </x:c>
      <x:c r="F210" s="73" t="n">
        <x:v>17</x:v>
      </x:c>
      <x:c r="G210" s="73" t="n">
        <x:v>15</x:v>
      </x:c>
      <x:c r="H210" s="73" t="n">
        <x:v>2</x:v>
      </x:c>
      <x:c r="I210" s="73"/>
      <x:c r="J210" s="73" t="n">
        <x:v>0</x:v>
      </x:c>
      <x:c r="K210" s="49" t="str">
        <x:v>Un-Aided</x:v>
      </x:c>
      <x:c r="L210" s="49" t="str">
        <x:v>MS Seats : 15+ EWS : 2</x:v>
      </x:c>
      <x:c r="M210" s="49" t="str">
        <x:v>https://dse2025.mahacet.org.in/dse25/admin/allotment/cap2/2134_4.pdf</x:v>
      </x:c>
    </x:row>
    <x:row r="211">
      <x:c r="A211" s="49" t="str">
        <x:v>2025-26</x:v>
      </x:c>
      <x:c r="B211" s="63" t="n">
        <x:v>2134</x:v>
      </x:c>
      <x:c r="C211" s="49" t="str">
        <x:v>Peoples Education Society's College of Engineering, Aurangabad</x:v>
      </x:c>
      <x:c r="D211" s="72" t="n">
        <x:v>213429310</x:v>
      </x:c>
      <x:c r="E211" s="49" t="str">
        <x:v>Electrical Engineering</x:v>
      </x:c>
      <x:c r="F211" s="73" t="n">
        <x:v>23</x:v>
      </x:c>
      <x:c r="G211" s="73" t="n">
        <x:v>20</x:v>
      </x:c>
      <x:c r="H211" s="73" t="n">
        <x:v>3</x:v>
      </x:c>
      <x:c r="I211" s="73"/>
      <x:c r="J211" s="73" t="n">
        <x:v>0</x:v>
      </x:c>
      <x:c r="K211" s="49" t="str">
        <x:v>Un-Aided</x:v>
      </x:c>
      <x:c r="L211" s="49" t="str">
        <x:v>MS Seats : 20+ EWS : 3</x:v>
      </x:c>
      <x:c r="M211" s="49" t="str">
        <x:v>https://dse2025.mahacet.org.in/dse25/admin/allotment/cap2/2134_4.pdf</x:v>
      </x:c>
    </x:row>
    <x:row r="212">
      <x:c r="A212" s="49" t="str">
        <x:v>2025-26</x:v>
      </x:c>
      <x:c r="B212" s="63" t="n">
        <x:v>2134</x:v>
      </x:c>
      <x:c r="C212" s="49" t="str">
        <x:v>Peoples Education Society's College of Engineering, Aurangabad</x:v>
      </x:c>
      <x:c r="D212" s="72" t="n">
        <x:v>213437810</x:v>
      </x:c>
      <x:c r="E212" s="49" t="str">
        <x:v>Electronics Engineering ( VLSI Design and Technology)</x:v>
      </x:c>
      <x:c r="F212" s="73" t="n">
        <x:v>30</x:v>
      </x:c>
      <x:c r="G212" s="73" t="n">
        <x:v>23</x:v>
      </x:c>
      <x:c r="H212" s="73" t="n">
        <x:v>7</x:v>
      </x:c>
      <x:c r="I212" s="73"/>
      <x:c r="J212" s="73" t="n">
        <x:v>0</x:v>
      </x:c>
      <x:c r="K212" s="49" t="str">
        <x:v>Un-Aided</x:v>
      </x:c>
      <x:c r="L212" s="49" t="str">
        <x:v>MS Seats : 23+ EWS : 7</x:v>
      </x:c>
      <x:c r="M212" s="49" t="str">
        <x:v>https://dse2025.mahacet.org.in/dse25/admin/allotment/cap2/2134_4.pdf</x:v>
      </x:c>
    </x:row>
    <x:row r="213">
      <x:c r="A213" s="49" t="str">
        <x:v>2025-26</x:v>
      </x:c>
      <x:c r="B213" s="63" t="n">
        <x:v>2134</x:v>
      </x:c>
      <x:c r="C213" s="49" t="str">
        <x:v>Peoples Education Society's College of Engineering, Aurangabad</x:v>
      </x:c>
      <x:c r="D213" s="72" t="n">
        <x:v>213461510</x:v>
      </x:c>
      <x:c r="E213" s="49" t="str">
        <x:v>Mechanical &amp; Automation Engineering</x:v>
      </x:c>
      <x:c r="F213" s="73" t="n">
        <x:v>50</x:v>
      </x:c>
      <x:c r="G213" s="73" t="n">
        <x:v>45</x:v>
      </x:c>
      <x:c r="H213" s="73" t="n">
        <x:v>5</x:v>
      </x:c>
      <x:c r="I213" s="73"/>
      <x:c r="J213" s="73" t="n">
        <x:v>0</x:v>
      </x:c>
      <x:c r="K213" s="49" t="str">
        <x:v>Un-Aided</x:v>
      </x:c>
      <x:c r="L213" s="49" t="str">
        <x:v>MS Seats : 45+ EWS : 5</x:v>
      </x:c>
      <x:c r="M213" s="49" t="str">
        <x:v>https://dse2025.mahacet.org.in/dse25/admin/allotment/cap2/2134_4.pdf</x:v>
      </x:c>
    </x:row>
    <x:row r="214">
      <x:c r="A214" s="49" t="str">
        <x:v>2025-26</x:v>
      </x:c>
      <x:c r="B214" s="63" t="n">
        <x:v>2134</x:v>
      </x:c>
      <x:c r="C214" s="49" t="str">
        <x:v>Peoples Education Society's College of Engineering, Aurangabad</x:v>
      </x:c>
      <x:c r="D214" s="72" t="n">
        <x:v>213484410</x:v>
      </x:c>
      <x:c r="E214" s="49" t="str">
        <x:v>Electronics and Computer Engineering</x:v>
      </x:c>
      <x:c r="F214" s="73" t="n">
        <x:v>19</x:v>
      </x:c>
      <x:c r="G214" s="73" t="n">
        <x:v>17</x:v>
      </x:c>
      <x:c r="H214" s="73" t="n">
        <x:v>2</x:v>
      </x:c>
      <x:c r="I214" s="73"/>
      <x:c r="J214" s="73" t="n">
        <x:v>0</x:v>
      </x:c>
      <x:c r="K214" s="49" t="str">
        <x:v>Un-Aided</x:v>
      </x:c>
      <x:c r="L214" s="49" t="str">
        <x:v>MS Seats : 17+ EWS : 2</x:v>
      </x:c>
      <x:c r="M214" s="49" t="str">
        <x:v>https://dse2025.mahacet.org.in/dse25/admin/allotment/cap2/2134_4.pdf</x:v>
      </x:c>
    </x:row>
    <x:row r="215">
      <x:c r="A215" s="49" t="str">
        <x:v>2025-26</x:v>
      </x:c>
      <x:c r="B215" s="63" t="n">
        <x:v>2134</x:v>
      </x:c>
      <x:c r="C215" s="49" t="str">
        <x:v>Peoples Education Society's College of Engineering, Aurangabad</x:v>
      </x:c>
      <x:c r="D215" s="72" t="n">
        <x:v>213491210</x:v>
      </x:c>
      <x:c r="E215" s="49" t="str">
        <x:v>Computer Science and Engineering(Data Science)</x:v>
      </x:c>
      <x:c r="F215" s="73" t="n">
        <x:v>19</x:v>
      </x:c>
      <x:c r="G215" s="73" t="n">
        <x:v>18</x:v>
      </x:c>
      <x:c r="H215" s="73" t="n">
        <x:v>1</x:v>
      </x:c>
      <x:c r="I215" s="73"/>
      <x:c r="J215" s="73" t="n">
        <x:v>0</x:v>
      </x:c>
      <x:c r="K215" s="49" t="str">
        <x:v>Un-Aided</x:v>
      </x:c>
      <x:c r="L215" s="49" t="str">
        <x:v>MS Seats : 18+ EWS : 1</x:v>
      </x:c>
      <x:c r="M215" s="49" t="str">
        <x:v>https://dse2025.mahacet.org.in/dse25/admin/allotment/cap2/2134_4.pdf</x:v>
      </x:c>
    </x:row>
    <x:row r="216">
      <x:c r="A216" s="49" t="str">
        <x:v>2025-26</x:v>
      </x:c>
      <x:c r="B216" s="63" t="n">
        <x:v>2135</x:v>
      </x:c>
      <x:c r="C216" s="49" t="str">
        <x:v>Hi-Tech Institute of Technology, Aurangabad</x:v>
      </x:c>
      <x:c r="D216" s="72" t="n">
        <x:v>213519110</x:v>
      </x:c>
      <x:c r="E216" s="49" t="str">
        <x:v>Civil Engineering</x:v>
      </x:c>
      <x:c r="F216" s="73" t="n">
        <x:v>53</x:v>
      </x:c>
      <x:c r="G216" s="73" t="n">
        <x:v>46</x:v>
      </x:c>
      <x:c r="H216" s="73" t="n">
        <x:v>7</x:v>
      </x:c>
      <x:c r="I216" s="73"/>
      <x:c r="J216" s="73" t="n">
        <x:v>0</x:v>
      </x:c>
      <x:c r="K216" s="49" t="str">
        <x:v>Un-Aided</x:v>
      </x:c>
      <x:c r="L216" s="49" t="str">
        <x:v>MS Seats : 46+ EWS : 7</x:v>
      </x:c>
      <x:c r="M216" s="49" t="str">
        <x:v>https://dse2025.mahacet.org.in/dse25/admin/allotment/cap2/2135_4.pdf</x:v>
      </x:c>
    </x:row>
    <x:row r="217">
      <x:c r="A217" s="49" t="str">
        <x:v>2025-26</x:v>
      </x:c>
      <x:c r="B217" s="63" t="n">
        <x:v>2135</x:v>
      </x:c>
      <x:c r="C217" s="49" t="str">
        <x:v>Hi-Tech Institute of Technology, Aurangabad</x:v>
      </x:c>
      <x:c r="D217" s="72" t="n">
        <x:v>213524210</x:v>
      </x:c>
      <x:c r="E217" s="49" t="str">
        <x:v>Computer Science and Engineering</x:v>
      </x:c>
      <x:c r="F217" s="73" t="n">
        <x:v>46</x:v>
      </x:c>
      <x:c r="G217" s="73" t="n">
        <x:v>38</x:v>
      </x:c>
      <x:c r="H217" s="73" t="n">
        <x:v>8</x:v>
      </x:c>
      <x:c r="I217" s="73"/>
      <x:c r="J217" s="73" t="n">
        <x:v>0</x:v>
      </x:c>
      <x:c r="K217" s="49" t="str">
        <x:v>Un-Aided</x:v>
      </x:c>
      <x:c r="L217" s="49" t="str">
        <x:v>MS Seats : 38+ EWS : 8</x:v>
      </x:c>
      <x:c r="M217" s="49" t="str">
        <x:v>https://dse2025.mahacet.org.in/dse25/admin/allotment/cap2/2135_4.pdf</x:v>
      </x:c>
    </x:row>
    <x:row r="218">
      <x:c r="A218" s="49" t="str">
        <x:v>2025-26</x:v>
      </x:c>
      <x:c r="B218" s="63" t="n">
        <x:v>2135</x:v>
      </x:c>
      <x:c r="C218" s="49" t="str">
        <x:v>Hi-Tech Institute of Technology, Aurangabad</x:v>
      </x:c>
      <x:c r="D218" s="72" t="n">
        <x:v>213561210</x:v>
      </x:c>
      <x:c r="E218" s="49" t="str">
        <x:v>Mechanical Engineering</x:v>
      </x:c>
      <x:c r="F218" s="73" t="n">
        <x:v>35</x:v>
      </x:c>
      <x:c r="G218" s="73" t="n">
        <x:v>29</x:v>
      </x:c>
      <x:c r="H218" s="73" t="n">
        <x:v>6</x:v>
      </x:c>
      <x:c r="I218" s="73"/>
      <x:c r="J218" s="73" t="n">
        <x:v>0</x:v>
      </x:c>
      <x:c r="K218" s="49" t="str">
        <x:v>Un-Aided</x:v>
      </x:c>
      <x:c r="L218" s="49" t="str">
        <x:v>MS Seats : 29+ EWS : 6</x:v>
      </x:c>
      <x:c r="M218" s="49" t="str">
        <x:v>https://dse2025.mahacet.org.in/dse25/admin/allotment/cap2/2135_4.pdf</x:v>
      </x:c>
    </x:row>
    <x:row r="219">
      <x:c r="A219" s="49" t="str">
        <x:v>2025-26</x:v>
      </x:c>
      <x:c r="B219" s="63" t="n">
        <x:v>2135</x:v>
      </x:c>
      <x:c r="C219" s="49" t="str">
        <x:v>Hi-Tech Institute of Technology, Aurangabad</x:v>
      </x:c>
      <x:c r="D219" s="72" t="n">
        <x:v>213591110</x:v>
      </x:c>
      <x:c r="E219" s="49" t="str">
        <x:v>Computer Science and Engineering(Artificial Intelligence and Machine Learning)</x:v>
      </x:c>
      <x:c r="F219" s="73" t="n">
        <x:v>18</x:v>
      </x:c>
      <x:c r="G219" s="73" t="n">
        <x:v>15</x:v>
      </x:c>
      <x:c r="H219" s="73" t="n">
        <x:v>3</x:v>
      </x:c>
      <x:c r="I219" s="73"/>
      <x:c r="J219" s="73" t="n">
        <x:v>0</x:v>
      </x:c>
      <x:c r="K219" s="49" t="str">
        <x:v>Un-Aided</x:v>
      </x:c>
      <x:c r="L219" s="49" t="str">
        <x:v>MS Seats : 15+ EWS : 3</x:v>
      </x:c>
      <x:c r="M219" s="49" t="str">
        <x:v>https://dse2025.mahacet.org.in/dse25/admin/allotment/cap2/2135_4.pdf</x:v>
      </x:c>
    </x:row>
    <x:row r="220">
      <x:c r="A220" s="49" t="str">
        <x:v>2025-26</x:v>
      </x:c>
      <x:c r="B220" s="63" t="n">
        <x:v>2136</x:v>
      </x:c>
      <x:c r="C220" s="49" t="str">
        <x:v>Aditya Engineering College , Beed</x:v>
      </x:c>
      <x:c r="D220" s="72" t="n">
        <x:v>213619110</x:v>
      </x:c>
      <x:c r="E220" s="49" t="str">
        <x:v>Civil Engineering</x:v>
      </x:c>
      <x:c r="F220" s="73" t="n">
        <x:v>24</x:v>
      </x:c>
      <x:c r="G220" s="73" t="n">
        <x:v>23</x:v>
      </x:c>
      <x:c r="H220" s="73" t="n">
        <x:v>1</x:v>
      </x:c>
      <x:c r="I220" s="73"/>
      <x:c r="J220" s="73" t="n">
        <x:v>0</x:v>
      </x:c>
      <x:c r="K220" s="49" t="str">
        <x:v>Un-Aided</x:v>
      </x:c>
      <x:c r="L220" s="49" t="str">
        <x:v>MS Seats : 23+ EWS : 1</x:v>
      </x:c>
      <x:c r="M220" s="49" t="str">
        <x:v>https://dse2025.mahacet.org.in/dse25/admin/allotment/cap2/2136_4.pdf</x:v>
      </x:c>
    </x:row>
    <x:row r="221">
      <x:c r="A221" s="49" t="str">
        <x:v>2025-26</x:v>
      </x:c>
      <x:c r="B221" s="63" t="n">
        <x:v>2136</x:v>
      </x:c>
      <x:c r="C221" s="49" t="str">
        <x:v>Aditya Engineering College , Beed</x:v>
      </x:c>
      <x:c r="D221" s="72" t="n">
        <x:v>213624210</x:v>
      </x:c>
      <x:c r="E221" s="49" t="str">
        <x:v>Computer Science and Engineering</x:v>
      </x:c>
      <x:c r="F221" s="73" t="n">
        <x:v>18</x:v>
      </x:c>
      <x:c r="G221" s="73" t="n">
        <x:v>17</x:v>
      </x:c>
      <x:c r="H221" s="73" t="n">
        <x:v>1</x:v>
      </x:c>
      <x:c r="I221" s="73"/>
      <x:c r="J221" s="73" t="n">
        <x:v>0</x:v>
      </x:c>
      <x:c r="K221" s="49" t="str">
        <x:v>Un-Aided</x:v>
      </x:c>
      <x:c r="L221" s="49" t="str">
        <x:v>MS Seats : 17+ EWS : 1</x:v>
      </x:c>
      <x:c r="M221" s="49" t="str">
        <x:v>https://dse2025.mahacet.org.in/dse25/admin/allotment/cap2/2136_4.pdf</x:v>
      </x:c>
    </x:row>
    <x:row r="222">
      <x:c r="A222" s="49" t="str">
        <x:v>2025-26</x:v>
      </x:c>
      <x:c r="B222" s="63" t="n">
        <x:v>2136</x:v>
      </x:c>
      <x:c r="C222" s="49" t="str">
        <x:v>Aditya Engineering College , Beed</x:v>
      </x:c>
      <x:c r="D222" s="72" t="n">
        <x:v>213624610</x:v>
      </x:c>
      <x:c r="E222" s="49" t="str">
        <x:v>Information Technology</x:v>
      </x:c>
      <x:c r="F222" s="73" t="n">
        <x:v>20</x:v>
      </x:c>
      <x:c r="G222" s="73" t="n">
        <x:v>19</x:v>
      </x:c>
      <x:c r="H222" s="73" t="n">
        <x:v>1</x:v>
      </x:c>
      <x:c r="I222" s="73"/>
      <x:c r="J222" s="73" t="n">
        <x:v>0</x:v>
      </x:c>
      <x:c r="K222" s="49" t="str">
        <x:v>Un-Aided</x:v>
      </x:c>
      <x:c r="L222" s="49" t="str">
        <x:v>MS Seats : 19+ EWS : 1</x:v>
      </x:c>
      <x:c r="M222" s="49" t="str">
        <x:v>https://dse2025.mahacet.org.in/dse25/admin/allotment/cap2/2136_4.pdf</x:v>
      </x:c>
    </x:row>
    <x:row r="223">
      <x:c r="A223" s="49" t="str">
        <x:v>2025-26</x:v>
      </x:c>
      <x:c r="B223" s="63" t="n">
        <x:v>2136</x:v>
      </x:c>
      <x:c r="C223" s="49" t="str">
        <x:v>Aditya Engineering College , Beed</x:v>
      </x:c>
      <x:c r="D223" s="72" t="n">
        <x:v>213629310</x:v>
      </x:c>
      <x:c r="E223" s="49" t="str">
        <x:v>Electrical Engineering</x:v>
      </x:c>
      <x:c r="F223" s="73" t="n">
        <x:v>31</x:v>
      </x:c>
      <x:c r="G223" s="73" t="n">
        <x:v>28</x:v>
      </x:c>
      <x:c r="H223" s="73" t="n">
        <x:v>3</x:v>
      </x:c>
      <x:c r="I223" s="73"/>
      <x:c r="J223" s="73" t="n">
        <x:v>0</x:v>
      </x:c>
      <x:c r="K223" s="49" t="str">
        <x:v>Un-Aided</x:v>
      </x:c>
      <x:c r="L223" s="49" t="str">
        <x:v>MS Seats : 28+ EWS : 3</x:v>
      </x:c>
      <x:c r="M223" s="49" t="str">
        <x:v>https://dse2025.mahacet.org.in/dse25/admin/allotment/cap2/2136_4.pdf</x:v>
      </x:c>
    </x:row>
    <x:row r="224">
      <x:c r="A224" s="49" t="str">
        <x:v>2025-26</x:v>
      </x:c>
      <x:c r="B224" s="63" t="n">
        <x:v>2136</x:v>
      </x:c>
      <x:c r="C224" s="49" t="str">
        <x:v>Aditya Engineering College , Beed</x:v>
      </x:c>
      <x:c r="D224" s="72" t="n">
        <x:v>213637210</x:v>
      </x:c>
      <x:c r="E224" s="49" t="str">
        <x:v>Electronics and Telecommunication Engg</x:v>
      </x:c>
      <x:c r="F224" s="73" t="n">
        <x:v>64</x:v>
      </x:c>
      <x:c r="G224" s="73" t="n">
        <x:v>57</x:v>
      </x:c>
      <x:c r="H224" s="73" t="n">
        <x:v>7</x:v>
      </x:c>
      <x:c r="I224" s="73"/>
      <x:c r="J224" s="73" t="n">
        <x:v>0</x:v>
      </x:c>
      <x:c r="K224" s="49" t="str">
        <x:v>Un-Aided</x:v>
      </x:c>
      <x:c r="L224" s="49" t="str">
        <x:v>MS Seats : 57+ EWS : 7</x:v>
      </x:c>
      <x:c r="M224" s="49" t="str">
        <x:v>https://dse2025.mahacet.org.in/dse25/admin/allotment/cap2/2136_4.pdf</x:v>
      </x:c>
    </x:row>
    <x:row r="225">
      <x:c r="A225" s="49" t="str">
        <x:v>2025-26</x:v>
      </x:c>
      <x:c r="B225" s="63" t="n">
        <x:v>2136</x:v>
      </x:c>
      <x:c r="C225" s="49" t="str">
        <x:v>Aditya Engineering College , Beed</x:v>
      </x:c>
      <x:c r="D225" s="72" t="n">
        <x:v>213661210</x:v>
      </x:c>
      <x:c r="E225" s="49" t="str">
        <x:v>Mechanical Engineering</x:v>
      </x:c>
      <x:c r="F225" s="73" t="n">
        <x:v>44</x:v>
      </x:c>
      <x:c r="G225" s="73" t="n">
        <x:v>39</x:v>
      </x:c>
      <x:c r="H225" s="73" t="n">
        <x:v>5</x:v>
      </x:c>
      <x:c r="I225" s="73"/>
      <x:c r="J225" s="73" t="n">
        <x:v>0</x:v>
      </x:c>
      <x:c r="K225" s="49" t="str">
        <x:v>Un-Aided</x:v>
      </x:c>
      <x:c r="L225" s="49" t="str">
        <x:v>MS Seats : 39+ EWS : 5</x:v>
      </x:c>
      <x:c r="M225" s="49" t="str">
        <x:v>https://dse2025.mahacet.org.in/dse25/admin/allotment/cap2/2136_4.pdf</x:v>
      </x:c>
    </x:row>
    <x:row r="226">
      <x:c r="A226" s="49" t="str">
        <x:v>2025-26</x:v>
      </x:c>
      <x:c r="B226" s="63" t="n">
        <x:v>2136</x:v>
      </x:c>
      <x:c r="C226" s="49" t="str">
        <x:v>Aditya Engineering College , Beed</x:v>
      </x:c>
      <x:c r="D226" s="72" t="n">
        <x:v>213691210</x:v>
      </x:c>
      <x:c r="E226" s="49" t="str">
        <x:v>Computer Science and Engineering(Data Science)</x:v>
      </x:c>
      <x:c r="F226" s="73" t="n">
        <x:v>32</x:v>
      </x:c>
      <x:c r="G226" s="73" t="n">
        <x:v>29</x:v>
      </x:c>
      <x:c r="H226" s="73" t="n">
        <x:v>3</x:v>
      </x:c>
      <x:c r="I226" s="73"/>
      <x:c r="J226" s="73" t="n">
        <x:v>0</x:v>
      </x:c>
      <x:c r="K226" s="49" t="str">
        <x:v>Un-Aided</x:v>
      </x:c>
      <x:c r="L226" s="49" t="str">
        <x:v>MS Seats : 29+ EWS : 3</x:v>
      </x:c>
      <x:c r="M226" s="49" t="str">
        <x:v>https://dse2025.mahacet.org.in/dse25/admin/allotment/cap2/2136_4.pdf</x:v>
      </x:c>
    </x:row>
    <x:row r="227">
      <x:c r="A227" s="49" t="str">
        <x:v>2025-26</x:v>
      </x:c>
      <x:c r="B227" s="63" t="n">
        <x:v>2136</x:v>
      </x:c>
      <x:c r="C227" s="49" t="str">
        <x:v>Aditya Engineering College , Beed</x:v>
      </x:c>
      <x:c r="D227" s="72" t="n">
        <x:v>213692110</x:v>
      </x:c>
      <x:c r="E227" s="49" t="str">
        <x:v>Artificial Intelligence and Machine Learning</x:v>
      </x:c>
      <x:c r="F227" s="73" t="n">
        <x:v>32</x:v>
      </x:c>
      <x:c r="G227" s="73" t="n">
        <x:v>29</x:v>
      </x:c>
      <x:c r="H227" s="73" t="n">
        <x:v>3</x:v>
      </x:c>
      <x:c r="I227" s="73"/>
      <x:c r="J227" s="73" t="n">
        <x:v>0</x:v>
      </x:c>
      <x:c r="K227" s="49" t="str">
        <x:v>Un-Aided</x:v>
      </x:c>
      <x:c r="L227" s="49" t="str">
        <x:v>MS Seats : 29+ EWS : 3</x:v>
      </x:c>
      <x:c r="M227" s="49" t="str">
        <x:v>https://dse2025.mahacet.org.in/dse25/admin/allotment/cap2/2136_4.pdf</x:v>
      </x:c>
    </x:row>
    <x:row r="228">
      <x:c r="A228" s="49" t="str">
        <x:v>2025-26</x:v>
      </x:c>
      <x:c r="B228" s="63" t="n">
        <x:v>2137</x:v>
      </x:c>
      <x:c r="C228" s="49" t="str">
        <x:v>Nagnathappa Halge Engineering College, Parli, Beed</x:v>
      </x:c>
      <x:c r="D228" s="72" t="n">
        <x:v>213719110</x:v>
      </x:c>
      <x:c r="E228" s="49" t="str">
        <x:v>Civil Engineering</x:v>
      </x:c>
      <x:c r="F228" s="73" t="n">
        <x:v>103</x:v>
      </x:c>
      <x:c r="G228" s="73" t="n">
        <x:v>93</x:v>
      </x:c>
      <x:c r="H228" s="73" t="n">
        <x:v>10</x:v>
      </x:c>
      <x:c r="I228" s="73"/>
      <x:c r="J228" s="73" t="n">
        <x:v>0</x:v>
      </x:c>
      <x:c r="K228" s="49" t="str">
        <x:v>Un-Aided</x:v>
      </x:c>
      <x:c r="L228" s="49" t="str">
        <x:v>MS Seats : 93+ EWS : 10</x:v>
      </x:c>
      <x:c r="M228" s="49" t="str">
        <x:v>https://dse2025.mahacet.org.in/dse25/admin/allotment/cap2/2137_4.pdf</x:v>
      </x:c>
    </x:row>
    <x:row r="229">
      <x:c r="A229" s="49" t="str">
        <x:v>2025-26</x:v>
      </x:c>
      <x:c r="B229" s="63" t="n">
        <x:v>2137</x:v>
      </x:c>
      <x:c r="C229" s="49" t="str">
        <x:v>Nagnathappa Halge Engineering College, Parli, Beed</x:v>
      </x:c>
      <x:c r="D229" s="72" t="n">
        <x:v>213724210</x:v>
      </x:c>
      <x:c r="E229" s="49" t="str">
        <x:v>Computer Science and Engineering</x:v>
      </x:c>
      <x:c r="F229" s="73" t="n">
        <x:v>61</x:v>
      </x:c>
      <x:c r="G229" s="73" t="n">
        <x:v>55</x:v>
      </x:c>
      <x:c r="H229" s="73" t="n">
        <x:v>6</x:v>
      </x:c>
      <x:c r="I229" s="73"/>
      <x:c r="J229" s="73" t="n">
        <x:v>0</x:v>
      </x:c>
      <x:c r="K229" s="49" t="str">
        <x:v>Un-Aided</x:v>
      </x:c>
      <x:c r="L229" s="49" t="str">
        <x:v>MS Seats : 55+ EWS : 6</x:v>
      </x:c>
      <x:c r="M229" s="49" t="str">
        <x:v>https://dse2025.mahacet.org.in/dse25/admin/allotment/cap2/2137_4.pdf</x:v>
      </x:c>
    </x:row>
    <x:row r="230">
      <x:c r="A230" s="49" t="str">
        <x:v>2025-26</x:v>
      </x:c>
      <x:c r="B230" s="63" t="n">
        <x:v>2137</x:v>
      </x:c>
      <x:c r="C230" s="49" t="str">
        <x:v>Nagnathappa Halge Engineering College, Parli, Beed</x:v>
      </x:c>
      <x:c r="D230" s="72" t="n">
        <x:v>213729710</x:v>
      </x:c>
      <x:c r="E230" s="49" t="str">
        <x:v>Electrical and Electronics Engineering</x:v>
      </x:c>
      <x:c r="F230" s="73" t="n">
        <x:v>34</x:v>
      </x:c>
      <x:c r="G230" s="73" t="n">
        <x:v>31</x:v>
      </x:c>
      <x:c r="H230" s="73" t="n">
        <x:v>3</x:v>
      </x:c>
      <x:c r="I230" s="73"/>
      <x:c r="J230" s="73" t="n">
        <x:v>0</x:v>
      </x:c>
      <x:c r="K230" s="49" t="str">
        <x:v>Un-Aided</x:v>
      </x:c>
      <x:c r="L230" s="49" t="str">
        <x:v>MS Seats : 31+ EWS : 3</x:v>
      </x:c>
      <x:c r="M230" s="49" t="str">
        <x:v>https://dse2025.mahacet.org.in/dse25/admin/allotment/cap2/2137_4.pdf</x:v>
      </x:c>
    </x:row>
    <x:row r="231">
      <x:c r="A231" s="49" t="str">
        <x:v>2025-26</x:v>
      </x:c>
      <x:c r="B231" s="63" t="n">
        <x:v>2137</x:v>
      </x:c>
      <x:c r="C231" s="49" t="str">
        <x:v>Nagnathappa Halge Engineering College, Parli, Beed</x:v>
      </x:c>
      <x:c r="D231" s="72" t="n">
        <x:v>213761210</x:v>
      </x:c>
      <x:c r="E231" s="49" t="str">
        <x:v>Mechanical Engineering</x:v>
      </x:c>
      <x:c r="F231" s="73" t="n">
        <x:v>74</x:v>
      </x:c>
      <x:c r="G231" s="73" t="n">
        <x:v>67</x:v>
      </x:c>
      <x:c r="H231" s="73" t="n">
        <x:v>7</x:v>
      </x:c>
      <x:c r="I231" s="73"/>
      <x:c r="J231" s="73" t="n">
        <x:v>0</x:v>
      </x:c>
      <x:c r="K231" s="49" t="str">
        <x:v>Un-Aided</x:v>
      </x:c>
      <x:c r="L231" s="49" t="str">
        <x:v>MS Seats : 67+ EWS : 7</x:v>
      </x:c>
      <x:c r="M231" s="49" t="str">
        <x:v>https://dse2025.mahacet.org.in/dse25/admin/allotment/cap2/2137_4.pdf</x:v>
      </x:c>
    </x:row>
    <x:row r="232">
      <x:c r="A232" s="49" t="str">
        <x:v>2025-26</x:v>
      </x:c>
      <x:c r="B232" s="63" t="n">
        <x:v>2138</x:v>
      </x:c>
      <x:c r="C232" s="49" t="str">
        <x:v>Matsyodari Shikshan Sansatha's College of Engineering and Technology, Jalna</x:v>
      </x:c>
      <x:c r="D232" s="72" t="n">
        <x:v>213819110</x:v>
      </x:c>
      <x:c r="E232" s="49" t="str">
        <x:v>Civil Engineering</x:v>
      </x:c>
      <x:c r="F232" s="73" t="n">
        <x:v>52</x:v>
      </x:c>
      <x:c r="G232" s="73" t="n">
        <x:v>45</x:v>
      </x:c>
      <x:c r="H232" s="73" t="n">
        <x:v>7</x:v>
      </x:c>
      <x:c r="I232" s="73"/>
      <x:c r="J232" s="73" t="n">
        <x:v>0</x:v>
      </x:c>
      <x:c r="K232" s="49" t="str">
        <x:v>Un-Aided</x:v>
      </x:c>
      <x:c r="L232" s="49" t="str">
        <x:v>MS Seats : 45+ EWS : 7</x:v>
      </x:c>
      <x:c r="M232" s="49" t="str">
        <x:v>https://dse2025.mahacet.org.in/dse25/admin/allotment/cap2/2138_4.pdf</x:v>
      </x:c>
    </x:row>
    <x:row r="233">
      <x:c r="A233" s="49" t="str">
        <x:v>2025-26</x:v>
      </x:c>
      <x:c r="B233" s="63" t="n">
        <x:v>2138</x:v>
      </x:c>
      <x:c r="C233" s="49" t="str">
        <x:v>Matsyodari Shikshan Sansatha's College of Engineering and Technology, Jalna</x:v>
      </x:c>
      <x:c r="D233" s="72" t="n">
        <x:v>213824210</x:v>
      </x:c>
      <x:c r="E233" s="49" t="str">
        <x:v>Computer Science and Engineering</x:v>
      </x:c>
      <x:c r="F233" s="73" t="n">
        <x:v>14</x:v>
      </x:c>
      <x:c r="G233" s="73" t="n">
        <x:v>11</x:v>
      </x:c>
      <x:c r="H233" s="73" t="n">
        <x:v>3</x:v>
      </x:c>
      <x:c r="I233" s="73"/>
      <x:c r="J233" s="73" t="n">
        <x:v>0</x:v>
      </x:c>
      <x:c r="K233" s="49" t="str">
        <x:v>Un-Aided</x:v>
      </x:c>
      <x:c r="L233" s="49" t="str">
        <x:v>MS Seats : 11+ EWS : 3</x:v>
      </x:c>
      <x:c r="M233" s="49" t="str">
        <x:v>https://dse2025.mahacet.org.in/dse25/admin/allotment/cap2/2138_4.pdf</x:v>
      </x:c>
    </x:row>
    <x:row r="234">
      <x:c r="A234" s="49" t="str">
        <x:v>2025-26</x:v>
      </x:c>
      <x:c r="B234" s="63" t="n">
        <x:v>2138</x:v>
      </x:c>
      <x:c r="C234" s="49" t="str">
        <x:v>Matsyodari Shikshan Sansatha's College of Engineering and Technology, Jalna</x:v>
      </x:c>
      <x:c r="D234" s="72" t="n">
        <x:v>213829310</x:v>
      </x:c>
      <x:c r="E234" s="49" t="str">
        <x:v>Electrical Engineering</x:v>
      </x:c>
      <x:c r="F234" s="73" t="n">
        <x:v>19</x:v>
      </x:c>
      <x:c r="G234" s="73" t="n">
        <x:v>17</x:v>
      </x:c>
      <x:c r="H234" s="73" t="n">
        <x:v>2</x:v>
      </x:c>
      <x:c r="I234" s="73"/>
      <x:c r="J234" s="73" t="n">
        <x:v>0</x:v>
      </x:c>
      <x:c r="K234" s="49" t="str">
        <x:v>Un-Aided</x:v>
      </x:c>
      <x:c r="L234" s="49" t="str">
        <x:v>MS Seats : 17+ EWS : 2</x:v>
      </x:c>
      <x:c r="M234" s="49" t="str">
        <x:v>https://dse2025.mahacet.org.in/dse25/admin/allotment/cap2/2138_4.pdf</x:v>
      </x:c>
    </x:row>
    <x:row r="235">
      <x:c r="A235" s="49" t="str">
        <x:v>2025-26</x:v>
      </x:c>
      <x:c r="B235" s="63" t="n">
        <x:v>2138</x:v>
      </x:c>
      <x:c r="C235" s="49" t="str">
        <x:v>Matsyodari Shikshan Sansatha's College of Engineering and Technology, Jalna</x:v>
      </x:c>
      <x:c r="D235" s="72" t="n">
        <x:v>213861210</x:v>
      </x:c>
      <x:c r="E235" s="49" t="str">
        <x:v>Mechanical Engineering</x:v>
      </x:c>
      <x:c r="F235" s="73" t="n">
        <x:v>44</x:v>
      </x:c>
      <x:c r="G235" s="73" t="n">
        <x:v>37</x:v>
      </x:c>
      <x:c r="H235" s="73" t="n">
        <x:v>7</x:v>
      </x:c>
      <x:c r="I235" s="73"/>
      <x:c r="J235" s="73" t="n">
        <x:v>0</x:v>
      </x:c>
      <x:c r="K235" s="49" t="str">
        <x:v>Un-Aided</x:v>
      </x:c>
      <x:c r="L235" s="49" t="str">
        <x:v>MS Seats : 37+ EWS : 7</x:v>
      </x:c>
      <x:c r="M235" s="49" t="str">
        <x:v>https://dse2025.mahacet.org.in/dse25/admin/allotment/cap2/2138_4.pdf</x:v>
      </x:c>
    </x:row>
    <x:row r="236">
      <x:c r="A236" s="49" t="str">
        <x:v>2025-26</x:v>
      </x:c>
      <x:c r="B236" s="63" t="n">
        <x:v>2146</x:v>
      </x:c>
      <x:c r="C236" s="49" t="str">
        <x:v>Adarsh Shikshan Prasarak Mandal's K. T. Patil College of Engineering and Technology, Osmanabad</x:v>
      </x:c>
      <x:c r="D236" s="72" t="n">
        <x:v>214619110</x:v>
      </x:c>
      <x:c r="E236" s="49" t="str">
        <x:v>Civil Engineering</x:v>
      </x:c>
      <x:c r="F236" s="73" t="n">
        <x:v>21</x:v>
      </x:c>
      <x:c r="G236" s="73" t="n">
        <x:v>17</x:v>
      </x:c>
      <x:c r="H236" s="73" t="n">
        <x:v>4</x:v>
      </x:c>
      <x:c r="I236" s="73"/>
      <x:c r="J236" s="73" t="n">
        <x:v>0</x:v>
      </x:c>
      <x:c r="K236" s="49" t="str">
        <x:v>Un-Aided</x:v>
      </x:c>
      <x:c r="L236" s="49" t="str">
        <x:v>MS Seats : 17+ EWS : 4</x:v>
      </x:c>
      <x:c r="M236" s="49" t="str">
        <x:v>https://dse2025.mahacet.org.in/dse25/admin/allotment/cap2/2146_4.pdf</x:v>
      </x:c>
    </x:row>
    <x:row r="237">
      <x:c r="A237" s="49" t="str">
        <x:v>2025-26</x:v>
      </x:c>
      <x:c r="B237" s="63" t="n">
        <x:v>2146</x:v>
      </x:c>
      <x:c r="C237" s="49" t="str">
        <x:v>Adarsh Shikshan Prasarak Mandal's K. T. Patil College of Engineering and Technology, Osmanabad</x:v>
      </x:c>
      <x:c r="D237" s="72" t="n">
        <x:v>214624210</x:v>
      </x:c>
      <x:c r="E237" s="49" t="str">
        <x:v>Computer Science and Engineering</x:v>
      </x:c>
      <x:c r="F237" s="73" t="n">
        <x:v>27</x:v>
      </x:c>
      <x:c r="G237" s="73" t="n">
        <x:v>25</x:v>
      </x:c>
      <x:c r="H237" s="73" t="n">
        <x:v>2</x:v>
      </x:c>
      <x:c r="I237" s="73"/>
      <x:c r="J237" s="73" t="n">
        <x:v>0</x:v>
      </x:c>
      <x:c r="K237" s="49" t="str">
        <x:v>Un-Aided</x:v>
      </x:c>
      <x:c r="L237" s="49" t="str">
        <x:v>MS Seats : 25+ EWS : 2</x:v>
      </x:c>
      <x:c r="M237" s="49" t="str">
        <x:v>https://dse2025.mahacet.org.in/dse25/admin/allotment/cap2/2146_4.pdf</x:v>
      </x:c>
    </x:row>
    <x:row r="238">
      <x:c r="A238" s="49" t="str">
        <x:v>2025-26</x:v>
      </x:c>
      <x:c r="B238" s="63" t="n">
        <x:v>2146</x:v>
      </x:c>
      <x:c r="C238" s="49" t="str">
        <x:v>Adarsh Shikshan Prasarak Mandal's K. T. Patil College of Engineering and Technology, Osmanabad</x:v>
      </x:c>
      <x:c r="D238" s="72" t="n">
        <x:v>214629710</x:v>
      </x:c>
      <x:c r="E238" s="49" t="str">
        <x:v>Electrical and Electronics Engineering</x:v>
      </x:c>
      <x:c r="F238" s="73" t="n">
        <x:v>34</x:v>
      </x:c>
      <x:c r="G238" s="73" t="n">
        <x:v>31</x:v>
      </x:c>
      <x:c r="H238" s="73" t="n">
        <x:v>3</x:v>
      </x:c>
      <x:c r="I238" s="73"/>
      <x:c r="J238" s="73" t="n">
        <x:v>0</x:v>
      </x:c>
      <x:c r="K238" s="49" t="str">
        <x:v>Un-Aided</x:v>
      </x:c>
      <x:c r="L238" s="49" t="str">
        <x:v>MS Seats : 31+ EWS : 3</x:v>
      </x:c>
      <x:c r="M238" s="49" t="str">
        <x:v>https://dse2025.mahacet.org.in/dse25/admin/allotment/cap2/2146_4.pdf</x:v>
      </x:c>
    </x:row>
    <x:row r="239">
      <x:c r="A239" s="49" t="str">
        <x:v>2025-26</x:v>
      </x:c>
      <x:c r="B239" s="63" t="n">
        <x:v>2146</x:v>
      </x:c>
      <x:c r="C239" s="49" t="str">
        <x:v>Adarsh Shikshan Prasarak Mandal's K. T. Patil College of Engineering and Technology, Osmanabad</x:v>
      </x:c>
      <x:c r="D239" s="72" t="n">
        <x:v>214637210</x:v>
      </x:c>
      <x:c r="E239" s="49" t="str">
        <x:v>Electronics and Telecommunication Engg</x:v>
      </x:c>
      <x:c r="F239" s="73" t="n">
        <x:v>34</x:v>
      </x:c>
      <x:c r="G239" s="73" t="n">
        <x:v>31</x:v>
      </x:c>
      <x:c r="H239" s="73" t="n">
        <x:v>3</x:v>
      </x:c>
      <x:c r="I239" s="73"/>
      <x:c r="J239" s="73" t="n">
        <x:v>0</x:v>
      </x:c>
      <x:c r="K239" s="49" t="str">
        <x:v>Un-Aided</x:v>
      </x:c>
      <x:c r="L239" s="49" t="str">
        <x:v>MS Seats : 31+ EWS : 3</x:v>
      </x:c>
      <x:c r="M239" s="49" t="str">
        <x:v>https://dse2025.mahacet.org.in/dse25/admin/allotment/cap2/2146_4.pdf</x:v>
      </x:c>
    </x:row>
    <x:row r="240">
      <x:c r="A240" s="49" t="str">
        <x:v>2025-26</x:v>
      </x:c>
      <x:c r="B240" s="63" t="n">
        <x:v>2146</x:v>
      </x:c>
      <x:c r="C240" s="49" t="str">
        <x:v>Adarsh Shikshan Prasarak Mandal's K. T. Patil College of Engineering and Technology, Osmanabad</x:v>
      </x:c>
      <x:c r="D240" s="72" t="n">
        <x:v>214661210</x:v>
      </x:c>
      <x:c r="E240" s="49" t="str">
        <x:v>Mechanical Engineering</x:v>
      </x:c>
      <x:c r="F240" s="73" t="n">
        <x:v>33</x:v>
      </x:c>
      <x:c r="G240" s="73" t="n">
        <x:v>30</x:v>
      </x:c>
      <x:c r="H240" s="73" t="n">
        <x:v>3</x:v>
      </x:c>
      <x:c r="I240" s="73"/>
      <x:c r="J240" s="73" t="n">
        <x:v>0</x:v>
      </x:c>
      <x:c r="K240" s="49" t="str">
        <x:v>Un-Aided</x:v>
      </x:c>
      <x:c r="L240" s="49" t="str">
        <x:v>MS Seats : 30+ EWS : 3</x:v>
      </x:c>
      <x:c r="M240" s="49" t="str">
        <x:v>https://dse2025.mahacet.org.in/dse25/admin/allotment/cap2/2146_4.pdf</x:v>
      </x:c>
    </x:row>
    <x:row r="241">
      <x:c r="A241" s="49" t="str">
        <x:v>2025-26</x:v>
      </x:c>
      <x:c r="B241" s="63" t="n">
        <x:v>2250</x:v>
      </x:c>
      <x:c r="C241" s="49" t="str">
        <x:v>Aurangabad College of Engineering, Naygaon Savangi, Aurangabad</x:v>
      </x:c>
      <x:c r="D241" s="72" t="n">
        <x:v>225019110</x:v>
      </x:c>
      <x:c r="E241" s="49" t="str">
        <x:v>Civil Engineering</x:v>
      </x:c>
      <x:c r="F241" s="73" t="n">
        <x:v>26</x:v>
      </x:c>
      <x:c r="G241" s="73" t="n">
        <x:v>21</x:v>
      </x:c>
      <x:c r="H241" s="73" t="n">
        <x:v>5</x:v>
      </x:c>
      <x:c r="I241" s="73"/>
      <x:c r="J241" s="73" t="n">
        <x:v>0</x:v>
      </x:c>
      <x:c r="K241" s="49" t="str">
        <x:v>Un-Aided</x:v>
      </x:c>
      <x:c r="L241" s="49" t="str">
        <x:v>MS Seats : 21+ EWS : 5</x:v>
      </x:c>
      <x:c r="M241" s="49" t="str">
        <x:v>https://dse2025.mahacet.org.in/dse25/admin/allotment/cap2/2250_4.pdf</x:v>
      </x:c>
    </x:row>
    <x:row r="242">
      <x:c r="A242" s="49" t="str">
        <x:v>2025-26</x:v>
      </x:c>
      <x:c r="B242" s="63" t="n">
        <x:v>2250</x:v>
      </x:c>
      <x:c r="C242" s="49" t="str">
        <x:v>Aurangabad College of Engineering, Naygaon Savangi, Aurangabad</x:v>
      </x:c>
      <x:c r="D242" s="72" t="n">
        <x:v>225024210</x:v>
      </x:c>
      <x:c r="E242" s="49" t="str">
        <x:v>Computer Science and Engineering</x:v>
      </x:c>
      <x:c r="F242" s="73" t="n">
        <x:v>12</x:v>
      </x:c>
      <x:c r="G242" s="73" t="n">
        <x:v>10</x:v>
      </x:c>
      <x:c r="H242" s="73" t="n">
        <x:v>2</x:v>
      </x:c>
      <x:c r="I242" s="73"/>
      <x:c r="J242" s="73" t="n">
        <x:v>0</x:v>
      </x:c>
      <x:c r="K242" s="49" t="str">
        <x:v>Un-Aided</x:v>
      </x:c>
      <x:c r="L242" s="49" t="str">
        <x:v>MS Seats : 10+ EWS : 2</x:v>
      </x:c>
      <x:c r="M242" s="49" t="str">
        <x:v>https://dse2025.mahacet.org.in/dse25/admin/allotment/cap2/2250_4.pdf</x:v>
      </x:c>
    </x:row>
    <x:row r="243">
      <x:c r="A243" s="49" t="str">
        <x:v>2025-26</x:v>
      </x:c>
      <x:c r="B243" s="63" t="n">
        <x:v>2250</x:v>
      </x:c>
      <x:c r="C243" s="49" t="str">
        <x:v>Aurangabad College of Engineering, Naygaon Savangi, Aurangabad</x:v>
      </x:c>
      <x:c r="D243" s="72" t="n">
        <x:v>225029310</x:v>
      </x:c>
      <x:c r="E243" s="49" t="str">
        <x:v>Electrical Engineering</x:v>
      </x:c>
      <x:c r="F243" s="73" t="n">
        <x:v>50</x:v>
      </x:c>
      <x:c r="G243" s="73" t="n">
        <x:v>45</x:v>
      </x:c>
      <x:c r="H243" s="73" t="n">
        <x:v>5</x:v>
      </x:c>
      <x:c r="I243" s="73"/>
      <x:c r="J243" s="73" t="n">
        <x:v>0</x:v>
      </x:c>
      <x:c r="K243" s="49" t="str">
        <x:v>Un-Aided</x:v>
      </x:c>
      <x:c r="L243" s="49" t="str">
        <x:v>MS Seats : 45+ EWS : 5</x:v>
      </x:c>
      <x:c r="M243" s="49" t="str">
        <x:v>https://dse2025.mahacet.org.in/dse25/admin/allotment/cap2/2250_4.pdf</x:v>
      </x:c>
    </x:row>
    <x:row r="244">
      <x:c r="A244" s="49" t="str">
        <x:v>2025-26</x:v>
      </x:c>
      <x:c r="B244" s="63" t="n">
        <x:v>2250</x:v>
      </x:c>
      <x:c r="C244" s="49" t="str">
        <x:v>Aurangabad College of Engineering, Naygaon Savangi, Aurangabad</x:v>
      </x:c>
      <x:c r="D244" s="72" t="n">
        <x:v>225037210</x:v>
      </x:c>
      <x:c r="E244" s="49" t="str">
        <x:v>Electronics and Telecommunication Engg</x:v>
      </x:c>
      <x:c r="F244" s="73" t="n">
        <x:v>18</x:v>
      </x:c>
      <x:c r="G244" s="73" t="n">
        <x:v>16</x:v>
      </x:c>
      <x:c r="H244" s="73" t="n">
        <x:v>2</x:v>
      </x:c>
      <x:c r="I244" s="73"/>
      <x:c r="J244" s="73" t="n">
        <x:v>0</x:v>
      </x:c>
      <x:c r="K244" s="49" t="str">
        <x:v>Un-Aided</x:v>
      </x:c>
      <x:c r="L244" s="49" t="str">
        <x:v>MS Seats : 16+ EWS : 2</x:v>
      </x:c>
      <x:c r="M244" s="49" t="str">
        <x:v>https://dse2025.mahacet.org.in/dse25/admin/allotment/cap2/2250_4.pdf</x:v>
      </x:c>
    </x:row>
    <x:row r="245">
      <x:c r="A245" s="49" t="str">
        <x:v>2025-26</x:v>
      </x:c>
      <x:c r="B245" s="63" t="n">
        <x:v>2250</x:v>
      </x:c>
      <x:c r="C245" s="49" t="str">
        <x:v>Aurangabad College of Engineering, Naygaon Savangi, Aurangabad</x:v>
      </x:c>
      <x:c r="D245" s="72" t="n">
        <x:v>225061210</x:v>
      </x:c>
      <x:c r="E245" s="49" t="str">
        <x:v>Mechanical Engineering</x:v>
      </x:c>
      <x:c r="F245" s="73" t="n">
        <x:v>54</x:v>
      </x:c>
      <x:c r="G245" s="73" t="n">
        <x:v>49</x:v>
      </x:c>
      <x:c r="H245" s="73" t="n">
        <x:v>5</x:v>
      </x:c>
      <x:c r="I245" s="73"/>
      <x:c r="J245" s="73" t="n">
        <x:v>0</x:v>
      </x:c>
      <x:c r="K245" s="49" t="str">
        <x:v>Un-Aided</x:v>
      </x:c>
      <x:c r="L245" s="49" t="str">
        <x:v>MS Seats : 49+ EWS : 5</x:v>
      </x:c>
      <x:c r="M245" s="49" t="str">
        <x:v>https://dse2025.mahacet.org.in/dse25/admin/allotment/cap2/2250_4.pdf</x:v>
      </x:c>
    </x:row>
    <x:row r="246">
      <x:c r="A246" s="49" t="str">
        <x:v>2025-26</x:v>
      </x:c>
      <x:c r="B246" s="63" t="n">
        <x:v>2252</x:v>
      </x:c>
      <x:c r="C246" s="49" t="str">
        <x:v>Marathwada Shikshan Prasarak Mandal's Shri Shivaji Institute of Engineering and Management Studies, Parbhani</x:v>
      </x:c>
      <x:c r="D246" s="72" t="n">
        <x:v>225219110</x:v>
      </x:c>
      <x:c r="E246" s="49" t="str">
        <x:v>Civil Engineering</x:v>
      </x:c>
      <x:c r="F246" s="73" t="n">
        <x:v>25</x:v>
      </x:c>
      <x:c r="G246" s="73" t="n">
        <x:v>21</x:v>
      </x:c>
      <x:c r="H246" s="73" t="n">
        <x:v>4</x:v>
      </x:c>
      <x:c r="I246" s="73"/>
      <x:c r="J246" s="73" t="n">
        <x:v>0</x:v>
      </x:c>
      <x:c r="K246" s="49" t="str">
        <x:v>Un-Aided</x:v>
      </x:c>
      <x:c r="L246" s="49" t="str">
        <x:v>MS Seats : 21+ EWS : 4</x:v>
      </x:c>
      <x:c r="M246" s="49" t="str">
        <x:v>https://dse2025.mahacet.org.in/dse25/admin/allotment/cap2/2252_4.pdf</x:v>
      </x:c>
    </x:row>
    <x:row r="247">
      <x:c r="A247" s="49" t="str">
        <x:v>2025-26</x:v>
      </x:c>
      <x:c r="B247" s="63" t="n">
        <x:v>2252</x:v>
      </x:c>
      <x:c r="C247" s="49" t="str">
        <x:v>Marathwada Shikshan Prasarak Mandal's Shri Shivaji Institute of Engineering and Management Studies, Parbhani</x:v>
      </x:c>
      <x:c r="D247" s="72" t="n">
        <x:v>225224210</x:v>
      </x:c>
      <x:c r="E247" s="49" t="str">
        <x:v>Computer Science and Engineering</x:v>
      </x:c>
      <x:c r="F247" s="73" t="n">
        <x:v>12</x:v>
      </x:c>
      <x:c r="G247" s="73" t="n">
        <x:v>11</x:v>
      </x:c>
      <x:c r="H247" s="73" t="n">
        <x:v>1</x:v>
      </x:c>
      <x:c r="I247" s="73"/>
      <x:c r="J247" s="73" t="n">
        <x:v>0</x:v>
      </x:c>
      <x:c r="K247" s="49" t="str">
        <x:v>Un-Aided</x:v>
      </x:c>
      <x:c r="L247" s="49" t="str">
        <x:v>MS Seats : 11+ EWS : 1</x:v>
      </x:c>
      <x:c r="M247" s="49" t="str">
        <x:v>https://dse2025.mahacet.org.in/dse25/admin/allotment/cap2/2252_4.pdf</x:v>
      </x:c>
    </x:row>
    <x:row r="248">
      <x:c r="A248" s="49" t="str">
        <x:v>2025-26</x:v>
      </x:c>
      <x:c r="B248" s="63" t="n">
        <x:v>2252</x:v>
      </x:c>
      <x:c r="C248" s="49" t="str">
        <x:v>Marathwada Shikshan Prasarak Mandal's Shri Shivaji Institute of Engineering and Management Studies, Parbhani</x:v>
      </x:c>
      <x:c r="D248" s="72" t="n">
        <x:v>225229710</x:v>
      </x:c>
      <x:c r="E248" s="49" t="str">
        <x:v>Electrical and Electronics Engineering</x:v>
      </x:c>
      <x:c r="F248" s="73" t="n">
        <x:v>7</x:v>
      </x:c>
      <x:c r="G248" s="73" t="n">
        <x:v>6</x:v>
      </x:c>
      <x:c r="H248" s="73" t="n">
        <x:v>1</x:v>
      </x:c>
      <x:c r="I248" s="73"/>
      <x:c r="J248" s="73" t="n">
        <x:v>0</x:v>
      </x:c>
      <x:c r="K248" s="49" t="str">
        <x:v>Un-Aided</x:v>
      </x:c>
      <x:c r="L248" s="49" t="str">
        <x:v>MS Seats : 6+ EWS : 1</x:v>
      </x:c>
      <x:c r="M248" s="49" t="str">
        <x:v>https://dse2025.mahacet.org.in/dse25/admin/allotment/cap2/2252_4.pdf</x:v>
      </x:c>
    </x:row>
    <x:row r="249">
      <x:c r="A249" s="49" t="str">
        <x:v>2025-26</x:v>
      </x:c>
      <x:c r="B249" s="63" t="n">
        <x:v>2252</x:v>
      </x:c>
      <x:c r="C249" s="49" t="str">
        <x:v>Marathwada Shikshan Prasarak Mandal's Shri Shivaji Institute of Engineering and Management Studies, Parbhani</x:v>
      </x:c>
      <x:c r="D249" s="72" t="n">
        <x:v>225261210</x:v>
      </x:c>
      <x:c r="E249" s="49" t="str">
        <x:v>Mechanical Engineering</x:v>
      </x:c>
      <x:c r="F249" s="73" t="n">
        <x:v>48</x:v>
      </x:c>
      <x:c r="G249" s="73" t="n">
        <x:v>41</x:v>
      </x:c>
      <x:c r="H249" s="73" t="n">
        <x:v>7</x:v>
      </x:c>
      <x:c r="I249" s="73"/>
      <x:c r="J249" s="73" t="n">
        <x:v>0</x:v>
      </x:c>
      <x:c r="K249" s="49" t="str">
        <x:v>Un-Aided</x:v>
      </x:c>
      <x:c r="L249" s="49" t="str">
        <x:v>MS Seats : 41+ EWS : 7</x:v>
      </x:c>
      <x:c r="M249" s="49" t="str">
        <x:v>https://dse2025.mahacet.org.in/dse25/admin/allotment/cap2/2252_4.pdf</x:v>
      </x:c>
    </x:row>
    <x:row r="250">
      <x:c r="A250" s="49" t="str">
        <x:v>2025-26</x:v>
      </x:c>
      <x:c r="B250" s="63" t="n">
        <x:v>2254</x:v>
      </x:c>
      <x:c r="C250" s="49" t="str">
        <x:v>Vilasrao Deshmukh Foundation Group of Institutions, Latur</x:v>
      </x:c>
      <x:c r="D250" s="72" t="n">
        <x:v>225419110</x:v>
      </x:c>
      <x:c r="E250" s="49" t="str">
        <x:v>Civil Engineering</x:v>
      </x:c>
      <x:c r="F250" s="73" t="n">
        <x:v>52</x:v>
      </x:c>
      <x:c r="G250" s="73" t="n">
        <x:v>49</x:v>
      </x:c>
      <x:c r="H250" s="73" t="n">
        <x:v>3</x:v>
      </x:c>
      <x:c r="I250" s="73"/>
      <x:c r="J250" s="73" t="n">
        <x:v>0</x:v>
      </x:c>
      <x:c r="K250" s="49" t="str">
        <x:v>Un-Aided</x:v>
      </x:c>
      <x:c r="L250" s="49" t="str">
        <x:v>MS Seats : 49+ EWS : 3</x:v>
      </x:c>
      <x:c r="M250" s="49" t="str">
        <x:v>https://dse2025.mahacet.org.in/dse25/admin/allotment/cap2/2254_4.pdf</x:v>
      </x:c>
    </x:row>
    <x:row r="251">
      <x:c r="A251" s="49" t="str">
        <x:v>2025-26</x:v>
      </x:c>
      <x:c r="B251" s="63" t="n">
        <x:v>2254</x:v>
      </x:c>
      <x:c r="C251" s="49" t="str">
        <x:v>Vilasrao Deshmukh Foundation Group of Institutions, Latur</x:v>
      </x:c>
      <x:c r="D251" s="72" t="n">
        <x:v>225424510</x:v>
      </x:c>
      <x:c r="E251" s="49" t="str">
        <x:v>Computer Engineering</x:v>
      </x:c>
      <x:c r="F251" s="73" t="n">
        <x:v>15</x:v>
      </x:c>
      <x:c r="G251" s="73" t="n">
        <x:v>14</x:v>
      </x:c>
      <x:c r="H251" s="73" t="n">
        <x:v>1</x:v>
      </x:c>
      <x:c r="I251" s="73"/>
      <x:c r="J251" s="73" t="n">
        <x:v>0</x:v>
      </x:c>
      <x:c r="K251" s="49" t="str">
        <x:v>Un-Aided</x:v>
      </x:c>
      <x:c r="L251" s="49" t="str">
        <x:v>MS Seats : 14+ EWS : 1</x:v>
      </x:c>
      <x:c r="M251" s="49" t="str">
        <x:v>https://dse2025.mahacet.org.in/dse25/admin/allotment/cap2/2254_4.pdf</x:v>
      </x:c>
    </x:row>
    <x:row r="252">
      <x:c r="A252" s="49" t="str">
        <x:v>2025-26</x:v>
      </x:c>
      <x:c r="B252" s="63" t="n">
        <x:v>2254</x:v>
      </x:c>
      <x:c r="C252" s="49" t="str">
        <x:v>Vilasrao Deshmukh Foundation Group of Institutions, Latur</x:v>
      </x:c>
      <x:c r="D252" s="72" t="n">
        <x:v>225424610</x:v>
      </x:c>
      <x:c r="E252" s="49" t="str">
        <x:v>Information Technology</x:v>
      </x:c>
      <x:c r="F252" s="73" t="n">
        <x:v>21</x:v>
      </x:c>
      <x:c r="G252" s="73" t="n">
        <x:v>19</x:v>
      </x:c>
      <x:c r="H252" s="73" t="n">
        <x:v>2</x:v>
      </x:c>
      <x:c r="I252" s="73"/>
      <x:c r="J252" s="73" t="n">
        <x:v>0</x:v>
      </x:c>
      <x:c r="K252" s="49" t="str">
        <x:v>Un-Aided</x:v>
      </x:c>
      <x:c r="L252" s="49" t="str">
        <x:v>MS Seats : 19+ EWS : 2</x:v>
      </x:c>
      <x:c r="M252" s="49" t="str">
        <x:v>https://dse2025.mahacet.org.in/dse25/admin/allotment/cap2/2254_4.pdf</x:v>
      </x:c>
    </x:row>
    <x:row r="253">
      <x:c r="A253" s="49" t="str">
        <x:v>2025-26</x:v>
      </x:c>
      <x:c r="B253" s="63" t="n">
        <x:v>2254</x:v>
      </x:c>
      <x:c r="C253" s="49" t="str">
        <x:v>Vilasrao Deshmukh Foundation Group of Institutions, Latur</x:v>
      </x:c>
      <x:c r="D253" s="72" t="n">
        <x:v>225429310</x:v>
      </x:c>
      <x:c r="E253" s="49" t="str">
        <x:v>Electrical Engineering</x:v>
      </x:c>
      <x:c r="F253" s="73" t="n">
        <x:v>67</x:v>
      </x:c>
      <x:c r="G253" s="73" t="n">
        <x:v>60</x:v>
      </x:c>
      <x:c r="H253" s="73" t="n">
        <x:v>7</x:v>
      </x:c>
      <x:c r="I253" s="73"/>
      <x:c r="J253" s="73" t="n">
        <x:v>0</x:v>
      </x:c>
      <x:c r="K253" s="49" t="str">
        <x:v>Un-Aided</x:v>
      </x:c>
      <x:c r="L253" s="49" t="str">
        <x:v>MS Seats : 60+ EWS : 7</x:v>
      </x:c>
      <x:c r="M253" s="49" t="str">
        <x:v>https://dse2025.mahacet.org.in/dse25/admin/allotment/cap2/2254_4.pdf</x:v>
      </x:c>
    </x:row>
    <x:row r="254">
      <x:c r="A254" s="49" t="str">
        <x:v>2025-26</x:v>
      </x:c>
      <x:c r="B254" s="63" t="n">
        <x:v>2254</x:v>
      </x:c>
      <x:c r="C254" s="49" t="str">
        <x:v>Vilasrao Deshmukh Foundation Group of Institutions, Latur</x:v>
      </x:c>
      <x:c r="D254" s="72" t="n">
        <x:v>225437210</x:v>
      </x:c>
      <x:c r="E254" s="49" t="str">
        <x:v>Electronics and Telecommunication Engg</x:v>
      </x:c>
      <x:c r="F254" s="73" t="n">
        <x:v>24</x:v>
      </x:c>
      <x:c r="G254" s="73" t="n">
        <x:v>23</x:v>
      </x:c>
      <x:c r="H254" s="73" t="n">
        <x:v>1</x:v>
      </x:c>
      <x:c r="I254" s="73"/>
      <x:c r="J254" s="73" t="n">
        <x:v>0</x:v>
      </x:c>
      <x:c r="K254" s="49" t="str">
        <x:v>Un-Aided</x:v>
      </x:c>
      <x:c r="L254" s="49" t="str">
        <x:v>MS Seats : 23+ EWS : 1</x:v>
      </x:c>
      <x:c r="M254" s="49" t="str">
        <x:v>https://dse2025.mahacet.org.in/dse25/admin/allotment/cap2/2254_4.pdf</x:v>
      </x:c>
    </x:row>
    <x:row r="255">
      <x:c r="A255" s="49" t="str">
        <x:v>2025-26</x:v>
      </x:c>
      <x:c r="B255" s="63" t="n">
        <x:v>2254</x:v>
      </x:c>
      <x:c r="C255" s="49" t="str">
        <x:v>Vilasrao Deshmukh Foundation Group of Institutions, Latur</x:v>
      </x:c>
      <x:c r="D255" s="72" t="n">
        <x:v>225461210</x:v>
      </x:c>
      <x:c r="E255" s="49" t="str">
        <x:v>Mechanical Engineering</x:v>
      </x:c>
      <x:c r="F255" s="73" t="n">
        <x:v>68</x:v>
      </x:c>
      <x:c r="G255" s="73" t="n">
        <x:v>61</x:v>
      </x:c>
      <x:c r="H255" s="73" t="n">
        <x:v>7</x:v>
      </x:c>
      <x:c r="I255" s="73"/>
      <x:c r="J255" s="73" t="n">
        <x:v>0</x:v>
      </x:c>
      <x:c r="K255" s="49" t="str">
        <x:v>Un-Aided</x:v>
      </x:c>
      <x:c r="L255" s="49" t="str">
        <x:v>MS Seats : 61+ EWS : 7</x:v>
      </x:c>
      <x:c r="M255" s="49" t="str">
        <x:v>https://dse2025.mahacet.org.in/dse25/admin/allotment/cap2/2254_4.pdf</x:v>
      </x:c>
    </x:row>
    <x:row r="256">
      <x:c r="A256" s="49" t="str">
        <x:v>2025-26</x:v>
      </x:c>
      <x:c r="B256" s="63" t="n">
        <x:v>2282</x:v>
      </x:c>
      <x:c r="C256" s="49" t="str">
        <x:v>Mitthulalji Sarada Institute Of Technology, Nalwandi Road, Beed</x:v>
      </x:c>
      <x:c r="D256" s="72" t="n">
        <x:v>228219110</x:v>
      </x:c>
      <x:c r="E256" s="49" t="str">
        <x:v>Civil Engineering</x:v>
      </x:c>
      <x:c r="F256" s="73" t="n">
        <x:v>44</x:v>
      </x:c>
      <x:c r="G256" s="73" t="n">
        <x:v>43</x:v>
      </x:c>
      <x:c r="H256" s="73" t="n">
        <x:v>1</x:v>
      </x:c>
      <x:c r="I256" s="73"/>
      <x:c r="J256" s="73" t="n">
        <x:v>0</x:v>
      </x:c>
      <x:c r="K256" s="49" t="str">
        <x:v>Un-Aided</x:v>
      </x:c>
      <x:c r="L256" s="49" t="str">
        <x:v>MS Seats : 43+ EWS : 1</x:v>
      </x:c>
      <x:c r="M256" s="49" t="str">
        <x:v>https://dse2025.mahacet.org.in/dse25/admin/allotment/cap2/2282_4.pdf</x:v>
      </x:c>
    </x:row>
    <x:row r="257">
      <x:c r="A257" s="49" t="str">
        <x:v>2025-26</x:v>
      </x:c>
      <x:c r="B257" s="63" t="n">
        <x:v>2282</x:v>
      </x:c>
      <x:c r="C257" s="49" t="str">
        <x:v>Mitthulalji Sarada Institute Of Technology, Nalwandi Road, Beed</x:v>
      </x:c>
      <x:c r="D257" s="72" t="n">
        <x:v>228224510</x:v>
      </x:c>
      <x:c r="E257" s="49" t="str">
        <x:v>Computer Engineering</x:v>
      </x:c>
      <x:c r="F257" s="73" t="n">
        <x:v>78</x:v>
      </x:c>
      <x:c r="G257" s="73" t="n">
        <x:v>69</x:v>
      </x:c>
      <x:c r="H257" s="73" t="n">
        <x:v>9</x:v>
      </x:c>
      <x:c r="I257" s="73"/>
      <x:c r="J257" s="73" t="n">
        <x:v>0</x:v>
      </x:c>
      <x:c r="K257" s="49" t="str">
        <x:v>Un-Aided</x:v>
      </x:c>
      <x:c r="L257" s="49" t="str">
        <x:v>MS Seats : 69+ EWS : 9</x:v>
      </x:c>
      <x:c r="M257" s="49" t="str">
        <x:v>https://dse2025.mahacet.org.in/dse25/admin/allotment/cap2/2282_4.pdf</x:v>
      </x:c>
    </x:row>
    <x:row r="258">
      <x:c r="A258" s="49" t="str">
        <x:v>2025-26</x:v>
      </x:c>
      <x:c r="B258" s="63" t="n">
        <x:v>2282</x:v>
      </x:c>
      <x:c r="C258" s="49" t="str">
        <x:v>Mitthulalji Sarada Institute Of Technology, Nalwandi Road, Beed</x:v>
      </x:c>
      <x:c r="D258" s="72" t="n">
        <x:v>228224610</x:v>
      </x:c>
      <x:c r="E258" s="49" t="str">
        <x:v>Information Technology</x:v>
      </x:c>
      <x:c r="F258" s="73" t="n">
        <x:v>22</x:v>
      </x:c>
      <x:c r="G258" s="73" t="n">
        <x:v>20</x:v>
      </x:c>
      <x:c r="H258" s="73" t="n">
        <x:v>2</x:v>
      </x:c>
      <x:c r="I258" s="73"/>
      <x:c r="J258" s="73" t="n">
        <x:v>0</x:v>
      </x:c>
      <x:c r="K258" s="49" t="str">
        <x:v>Un-Aided</x:v>
      </x:c>
      <x:c r="L258" s="49" t="str">
        <x:v>MS Seats : 20+ EWS : 2</x:v>
      </x:c>
      <x:c r="M258" s="49" t="str">
        <x:v>https://dse2025.mahacet.org.in/dse25/admin/allotment/cap2/2282_4.pdf</x:v>
      </x:c>
    </x:row>
    <x:row r="259">
      <x:c r="A259" s="49" t="str">
        <x:v>2025-26</x:v>
      </x:c>
      <x:c r="B259" s="63" t="n">
        <x:v>2282</x:v>
      </x:c>
      <x:c r="C259" s="49" t="str">
        <x:v>Mitthulalji Sarada Institute Of Technology, Nalwandi Road, Beed</x:v>
      </x:c>
      <x:c r="D259" s="72" t="n">
        <x:v>228229310</x:v>
      </x:c>
      <x:c r="E259" s="49" t="str">
        <x:v>Electrical Engineering</x:v>
      </x:c>
      <x:c r="F259" s="73" t="n">
        <x:v>102</x:v>
      </x:c>
      <x:c r="G259" s="73" t="n">
        <x:v>92</x:v>
      </x:c>
      <x:c r="H259" s="73" t="n">
        <x:v>10</x:v>
      </x:c>
      <x:c r="I259" s="73"/>
      <x:c r="J259" s="73" t="n">
        <x:v>0</x:v>
      </x:c>
      <x:c r="K259" s="49" t="str">
        <x:v>Un-Aided</x:v>
      </x:c>
      <x:c r="L259" s="49" t="str">
        <x:v>MS Seats : 92+ EWS : 10</x:v>
      </x:c>
      <x:c r="M259" s="49" t="str">
        <x:v>https://dse2025.mahacet.org.in/dse25/admin/allotment/cap2/2282_4.pdf</x:v>
      </x:c>
    </x:row>
    <x:row r="260">
      <x:c r="A260" s="49" t="str">
        <x:v>2025-26</x:v>
      </x:c>
      <x:c r="B260" s="63" t="n">
        <x:v>2282</x:v>
      </x:c>
      <x:c r="C260" s="49" t="str">
        <x:v>Mitthulalji Sarada Institute Of Technology, Nalwandi Road, Beed</x:v>
      </x:c>
      <x:c r="D260" s="72" t="n">
        <x:v>228261210</x:v>
      </x:c>
      <x:c r="E260" s="49" t="str">
        <x:v>Mechanical Engineering</x:v>
      </x:c>
      <x:c r="F260" s="73" t="n">
        <x:v>37</x:v>
      </x:c>
      <x:c r="G260" s="73" t="n">
        <x:v>34</x:v>
      </x:c>
      <x:c r="H260" s="73" t="n">
        <x:v>3</x:v>
      </x:c>
      <x:c r="I260" s="73"/>
      <x:c r="J260" s="73" t="n">
        <x:v>0</x:v>
      </x:c>
      <x:c r="K260" s="49" t="str">
        <x:v>Un-Aided</x:v>
      </x:c>
      <x:c r="L260" s="49" t="str">
        <x:v>MS Seats : 34+ EWS : 3</x:v>
      </x:c>
      <x:c r="M260" s="49" t="str">
        <x:v>https://dse2025.mahacet.org.in/dse25/admin/allotment/cap2/2282_4.pdf</x:v>
      </x:c>
    </x:row>
    <x:row r="261">
      <x:c r="A261" s="49" t="str">
        <x:v>2025-26</x:v>
      </x:c>
      <x:c r="B261" s="63" t="n">
        <x:v>2282</x:v>
      </x:c>
      <x:c r="C261" s="49" t="str">
        <x:v>Mitthulalji Sarada Institute Of Technology, Nalwandi Road, Beed</x:v>
      </x:c>
      <x:c r="D261" s="72" t="n">
        <x:v>228290010</x:v>
      </x:c>
      <x:c r="E261" s="49" t="str">
        <x:v>Electronics and Computer Science</x:v>
      </x:c>
      <x:c r="F261" s="73" t="n">
        <x:v>42</x:v>
      </x:c>
      <x:c r="G261" s="73" t="n">
        <x:v>39</x:v>
      </x:c>
      <x:c r="H261" s="73" t="n">
        <x:v>3</x:v>
      </x:c>
      <x:c r="I261" s="73"/>
      <x:c r="J261" s="73" t="n">
        <x:v>0</x:v>
      </x:c>
      <x:c r="K261" s="49" t="str">
        <x:v>Un-Aided</x:v>
      </x:c>
      <x:c r="L261" s="49" t="str">
        <x:v>MS Seats : 39+ EWS : 3</x:v>
      </x:c>
      <x:c r="M261" s="49" t="str">
        <x:v>https://dse2025.mahacet.org.in/dse25/admin/allotment/cap2/2282_4.pdf</x:v>
      </x:c>
    </x:row>
    <x:row r="262">
      <x:c r="A262" s="49" t="str">
        <x:v>2025-26</x:v>
      </x:c>
      <x:c r="B262" s="63" t="n">
        <x:v>2508</x:v>
      </x:c>
      <x:c r="C262" s="49" t="str">
        <x:v>GRAMIN TECHNICAL AND MANAGEMENT CAMPUS NANDED.</x:v>
      </x:c>
      <x:c r="D262" s="72" t="n">
        <x:v>250819110</x:v>
      </x:c>
      <x:c r="E262" s="49" t="str">
        <x:v>Civil Engineering</x:v>
      </x:c>
      <x:c r="F262" s="73" t="n">
        <x:v>24</x:v>
      </x:c>
      <x:c r="G262" s="73" t="n">
        <x:v>23</x:v>
      </x:c>
      <x:c r="H262" s="73" t="n">
        <x:v>1</x:v>
      </x:c>
      <x:c r="I262" s="73"/>
      <x:c r="J262" s="73" t="n">
        <x:v>0</x:v>
      </x:c>
      <x:c r="K262" s="49" t="str">
        <x:v>Un-Aided</x:v>
      </x:c>
      <x:c r="L262" s="49" t="str">
        <x:v>MS Seats : 23+ EWS : 1</x:v>
      </x:c>
      <x:c r="M262" s="49" t="str">
        <x:v>https://dse2025.mahacet.org.in/dse25/admin/allotment/cap2/2508_4.pdf</x:v>
      </x:c>
    </x:row>
    <x:row r="263">
      <x:c r="A263" s="49" t="str">
        <x:v>2025-26</x:v>
      </x:c>
      <x:c r="B263" s="63" t="n">
        <x:v>2508</x:v>
      </x:c>
      <x:c r="C263" s="49" t="str">
        <x:v>GRAMIN TECHNICAL AND MANAGEMENT CAMPUS NANDED.</x:v>
      </x:c>
      <x:c r="D263" s="72" t="n">
        <x:v>250824510</x:v>
      </x:c>
      <x:c r="E263" s="49" t="str">
        <x:v>Computer Engineering</x:v>
      </x:c>
      <x:c r="F263" s="73" t="n">
        <x:v>56</x:v>
      </x:c>
      <x:c r="G263" s="73" t="n">
        <x:v>53</x:v>
      </x:c>
      <x:c r="H263" s="73" t="n">
        <x:v>3</x:v>
      </x:c>
      <x:c r="I263" s="73"/>
      <x:c r="J263" s="73" t="n">
        <x:v>0</x:v>
      </x:c>
      <x:c r="K263" s="49" t="str">
        <x:v>Un-Aided</x:v>
      </x:c>
      <x:c r="L263" s="49" t="str">
        <x:v>MS Seats : 53+ EWS : 3</x:v>
      </x:c>
      <x:c r="M263" s="49" t="str">
        <x:v>https://dse2025.mahacet.org.in/dse25/admin/allotment/cap2/2508_4.pdf</x:v>
      </x:c>
    </x:row>
    <x:row r="264">
      <x:c r="A264" s="49" t="str">
        <x:v>2025-26</x:v>
      </x:c>
      <x:c r="B264" s="63" t="n">
        <x:v>2508</x:v>
      </x:c>
      <x:c r="C264" s="49" t="str">
        <x:v>GRAMIN TECHNICAL AND MANAGEMENT CAMPUS NANDED.</x:v>
      </x:c>
      <x:c r="D264" s="72" t="n">
        <x:v>250829310</x:v>
      </x:c>
      <x:c r="E264" s="49" t="str">
        <x:v>Electrical Engineering</x:v>
      </x:c>
      <x:c r="F264" s="73" t="n">
        <x:v>31</x:v>
      </x:c>
      <x:c r="G264" s="73" t="n">
        <x:v>25</x:v>
      </x:c>
      <x:c r="H264" s="73" t="n">
        <x:v>6</x:v>
      </x:c>
      <x:c r="I264" s="73"/>
      <x:c r="J264" s="73" t="n">
        <x:v>0</x:v>
      </x:c>
      <x:c r="K264" s="49" t="str">
        <x:v>Un-Aided</x:v>
      </x:c>
      <x:c r="L264" s="49" t="str">
        <x:v>MS Seats : 25+ EWS : 6</x:v>
      </x:c>
      <x:c r="M264" s="49" t="str">
        <x:v>https://dse2025.mahacet.org.in/dse25/admin/allotment/cap2/2508_4.pdf</x:v>
      </x:c>
    </x:row>
    <x:row r="265">
      <x:c r="A265" s="49" t="str">
        <x:v>2025-26</x:v>
      </x:c>
      <x:c r="B265" s="63" t="n">
        <x:v>2508</x:v>
      </x:c>
      <x:c r="C265" s="49" t="str">
        <x:v>GRAMIN TECHNICAL AND MANAGEMENT CAMPUS NANDED.</x:v>
      </x:c>
      <x:c r="D265" s="72" t="n">
        <x:v>250837210</x:v>
      </x:c>
      <x:c r="E265" s="49" t="str">
        <x:v>Electronics and Telecommunication Engg</x:v>
      </x:c>
      <x:c r="F265" s="73" t="n">
        <x:v>35</x:v>
      </x:c>
      <x:c r="G265" s="73" t="n">
        <x:v>28</x:v>
      </x:c>
      <x:c r="H265" s="73" t="n">
        <x:v>7</x:v>
      </x:c>
      <x:c r="I265" s="73"/>
      <x:c r="J265" s="73" t="n">
        <x:v>0</x:v>
      </x:c>
      <x:c r="K265" s="49" t="str">
        <x:v>Un-Aided</x:v>
      </x:c>
      <x:c r="L265" s="49" t="str">
        <x:v>MS Seats : 28+ EWS : 7</x:v>
      </x:c>
      <x:c r="M265" s="49" t="str">
        <x:v>https://dse2025.mahacet.org.in/dse25/admin/allotment/cap2/2508_4.pdf</x:v>
      </x:c>
    </x:row>
    <x:row r="266">
      <x:c r="A266" s="49" t="str">
        <x:v>2025-26</x:v>
      </x:c>
      <x:c r="B266" s="63" t="n">
        <x:v>2508</x:v>
      </x:c>
      <x:c r="C266" s="49" t="str">
        <x:v>GRAMIN TECHNICAL AND MANAGEMENT CAMPUS NANDED.</x:v>
      </x:c>
      <x:c r="D266" s="72" t="n">
        <x:v>250850310</x:v>
      </x:c>
      <x:c r="E266" s="49" t="str">
        <x:v>Food Technology</x:v>
      </x:c>
      <x:c r="F266" s="73" t="n">
        <x:v>23</x:v>
      </x:c>
      <x:c r="G266" s="73" t="n">
        <x:v>20</x:v>
      </x:c>
      <x:c r="H266" s="73" t="n">
        <x:v>3</x:v>
      </x:c>
      <x:c r="I266" s="73"/>
      <x:c r="J266" s="73" t="n">
        <x:v>0</x:v>
      </x:c>
      <x:c r="K266" s="49" t="str">
        <x:v>Un-Aided</x:v>
      </x:c>
      <x:c r="L266" s="49" t="str">
        <x:v>MS Seats : 20+ EWS : 3</x:v>
      </x:c>
      <x:c r="M266" s="49" t="str">
        <x:v>https://dse2025.mahacet.org.in/dse25/admin/allotment/cap2/2508_4.pdf</x:v>
      </x:c>
    </x:row>
    <x:row r="267">
      <x:c r="A267" s="49" t="str">
        <x:v>2025-26</x:v>
      </x:c>
      <x:c r="B267" s="63" t="n">
        <x:v>2508</x:v>
      </x:c>
      <x:c r="C267" s="49" t="str">
        <x:v>GRAMIN TECHNICAL AND MANAGEMENT CAMPUS NANDED.</x:v>
      </x:c>
      <x:c r="D267" s="72" t="n">
        <x:v>250861210</x:v>
      </x:c>
      <x:c r="E267" s="49" t="str">
        <x:v>Mechanical Engineering</x:v>
      </x:c>
      <x:c r="F267" s="73" t="n">
        <x:v>34</x:v>
      </x:c>
      <x:c r="G267" s="73" t="n">
        <x:v>32</x:v>
      </x:c>
      <x:c r="H267" s="73" t="n">
        <x:v>2</x:v>
      </x:c>
      <x:c r="I267" s="73"/>
      <x:c r="J267" s="73" t="n">
        <x:v>0</x:v>
      </x:c>
      <x:c r="K267" s="49" t="str">
        <x:v>Un-Aided</x:v>
      </x:c>
      <x:c r="L267" s="49" t="str">
        <x:v>MS Seats : 32+ EWS : 2</x:v>
      </x:c>
      <x:c r="M267" s="49" t="str">
        <x:v>https://dse2025.mahacet.org.in/dse25/admin/allotment/cap2/2508_4.pdf</x:v>
      </x:c>
    </x:row>
    <x:row r="268">
      <x:c r="A268" s="49" t="str">
        <x:v>2025-26</x:v>
      </x:c>
      <x:c r="B268" s="63" t="n">
        <x:v>2508</x:v>
      </x:c>
      <x:c r="C268" s="49" t="str">
        <x:v>GRAMIN TECHNICAL AND MANAGEMENT CAMPUS NANDED.</x:v>
      </x:c>
      <x:c r="D268" s="72" t="n">
        <x:v>250890610</x:v>
      </x:c>
      <x:c r="E268" s="49" t="str">
        <x:v>Civil Engineering (Structural Engineering)</x:v>
      </x:c>
      <x:c r="F268" s="73" t="n">
        <x:v>64</x:v>
      </x:c>
      <x:c r="G268" s="73" t="n">
        <x:v>57</x:v>
      </x:c>
      <x:c r="H268" s="73" t="n">
        <x:v>7</x:v>
      </x:c>
      <x:c r="I268" s="73"/>
      <x:c r="J268" s="73" t="n">
        <x:v>0</x:v>
      </x:c>
      <x:c r="K268" s="49" t="str">
        <x:v>Un-Aided</x:v>
      </x:c>
      <x:c r="L268" s="49" t="str">
        <x:v>MS Seats : 57+ EWS : 7</x:v>
      </x:c>
      <x:c r="M268" s="49" t="str">
        <x:v>https://dse2025.mahacet.org.in/dse25/admin/allotment/cap2/2508_4.pdf</x:v>
      </x:c>
    </x:row>
    <x:row r="269">
      <x:c r="A269" s="49" t="str">
        <x:v>2025-26</x:v>
      </x:c>
      <x:c r="B269" s="63" t="n">
        <x:v>2508</x:v>
      </x:c>
      <x:c r="C269" s="49" t="str">
        <x:v>GRAMIN TECHNICAL AND MANAGEMENT CAMPUS NANDED.</x:v>
      </x:c>
      <x:c r="D269" s="72" t="n">
        <x:v>250890710</x:v>
      </x:c>
      <x:c r="E269" s="49" t="str">
        <x:v>Food Engineering</x:v>
      </x:c>
      <x:c r="F269" s="73" t="n">
        <x:v>68</x:v>
      </x:c>
      <x:c r="G269" s="73" t="n">
        <x:v>62</x:v>
      </x:c>
      <x:c r="H269" s="73" t="n">
        <x:v>6</x:v>
      </x:c>
      <x:c r="I269" s="73"/>
      <x:c r="J269" s="73" t="n">
        <x:v>0</x:v>
      </x:c>
      <x:c r="K269" s="49" t="str">
        <x:v>Un-Aided</x:v>
      </x:c>
      <x:c r="L269" s="49" t="str">
        <x:v>MS Seats : 62+ EWS : 6</x:v>
      </x:c>
      <x:c r="M269" s="49" t="str">
        <x:v>https://dse2025.mahacet.org.in/dse25/admin/allotment/cap2/2508_4.pdf</x:v>
      </x:c>
    </x:row>
    <x:row r="270">
      <x:c r="A270" s="49" t="str">
        <x:v>2025-26</x:v>
      </x:c>
      <x:c r="B270" s="63" t="n">
        <x:v>2508</x:v>
      </x:c>
      <x:c r="C270" s="49" t="str">
        <x:v>GRAMIN TECHNICAL AND MANAGEMENT CAMPUS NANDED.</x:v>
      </x:c>
      <x:c r="D270" s="72" t="n">
        <x:v>250890810</x:v>
      </x:c>
      <x:c r="E270" s="49" t="str">
        <x:v>Mechanical and Automation Engineering</x:v>
      </x:c>
      <x:c r="F270" s="73" t="n">
        <x:v>69</x:v>
      </x:c>
      <x:c r="G270" s="73" t="n">
        <x:v>62</x:v>
      </x:c>
      <x:c r="H270" s="73" t="n">
        <x:v>7</x:v>
      </x:c>
      <x:c r="I270" s="73"/>
      <x:c r="J270" s="73" t="n">
        <x:v>0</x:v>
      </x:c>
      <x:c r="K270" s="49" t="str">
        <x:v>Un-Aided</x:v>
      </x:c>
      <x:c r="L270" s="49" t="str">
        <x:v>MS Seats : 62+ EWS : 7</x:v>
      </x:c>
      <x:c r="M270" s="49" t="str">
        <x:v>https://dse2025.mahacet.org.in/dse25/admin/allotment/cap2/2508_4.pdf</x:v>
      </x:c>
    </x:row>
    <x:row r="271">
      <x:c r="A271" s="49" t="str">
        <x:v>2025-26</x:v>
      </x:c>
      <x:c r="B271" s="63" t="n">
        <x:v>2508</x:v>
      </x:c>
      <x:c r="C271" s="49" t="str">
        <x:v>GRAMIN TECHNICAL AND MANAGEMENT CAMPUS NANDED.</x:v>
      </x:c>
      <x:c r="D271" s="72" t="n">
        <x:v>250891410</x:v>
      </x:c>
      <x:c r="E271" s="49" t="str">
        <x:v>Safety and Fire Engineering</x:v>
      </x:c>
      <x:c r="F271" s="73" t="n">
        <x:v>60</x:v>
      </x:c>
      <x:c r="G271" s="73" t="n">
        <x:v>54</x:v>
      </x:c>
      <x:c r="H271" s="73" t="n">
        <x:v>6</x:v>
      </x:c>
      <x:c r="I271" s="73"/>
      <x:c r="J271" s="73" t="n">
        <x:v>0</x:v>
      </x:c>
      <x:c r="K271" s="49" t="str">
        <x:v>Un-Aided</x:v>
      </x:c>
      <x:c r="L271" s="49" t="str">
        <x:v>MS Seats : 54+ EWS : 6</x:v>
      </x:c>
      <x:c r="M271" s="49" t="str">
        <x:v>https://dse2025.mahacet.org.in/dse25/admin/allotment/cap2/2508_4.pdf</x:v>
      </x:c>
    </x:row>
    <x:row r="272">
      <x:c r="A272" s="49" t="str">
        <x:v>2025-26</x:v>
      </x:c>
      <x:c r="B272" s="63" t="n">
        <x:v>2516</x:v>
      </x:c>
      <x:c r="C272" s="49" t="str">
        <x:v>International Centre Of Excellence In Engineering and Management (ICEEM)</x:v>
      </x:c>
      <x:c r="D272" s="72" t="n">
        <x:v>251619110</x:v>
      </x:c>
      <x:c r="E272" s="49" t="str">
        <x:v>Civil Engineering</x:v>
      </x:c>
      <x:c r="F272" s="73" t="n">
        <x:v>36</x:v>
      </x:c>
      <x:c r="G272" s="73" t="n">
        <x:v>33</x:v>
      </x:c>
      <x:c r="H272" s="73" t="n">
        <x:v>3</x:v>
      </x:c>
      <x:c r="I272" s="73"/>
      <x:c r="J272" s="73" t="n">
        <x:v>0</x:v>
      </x:c>
      <x:c r="K272" s="49" t="str">
        <x:v>Un-Aided</x:v>
      </x:c>
      <x:c r="L272" s="49" t="str">
        <x:v>MS Seats : 33+ EWS : 3</x:v>
      </x:c>
      <x:c r="M272" s="49" t="str">
        <x:v>https://dse2025.mahacet.org.in/dse25/admin/allotment/cap2/2516_4.pdf</x:v>
      </x:c>
    </x:row>
    <x:row r="273">
      <x:c r="A273" s="49" t="str">
        <x:v>2025-26</x:v>
      </x:c>
      <x:c r="B273" s="63" t="n">
        <x:v>2516</x:v>
      </x:c>
      <x:c r="C273" s="49" t="str">
        <x:v>International Centre Of Excellence In Engineering and Management (ICEEM)</x:v>
      </x:c>
      <x:c r="D273" s="72" t="n">
        <x:v>251624210</x:v>
      </x:c>
      <x:c r="E273" s="49" t="str">
        <x:v>Computer Science and Engineering</x:v>
      </x:c>
      <x:c r="F273" s="73" t="n">
        <x:v>51</x:v>
      </x:c>
      <x:c r="G273" s="73" t="n">
        <x:v>41</x:v>
      </x:c>
      <x:c r="H273" s="73" t="n">
        <x:v>10</x:v>
      </x:c>
      <x:c r="I273" s="73"/>
      <x:c r="J273" s="73" t="n">
        <x:v>0</x:v>
      </x:c>
      <x:c r="K273" s="49" t="str">
        <x:v>Un-Aided</x:v>
      </x:c>
      <x:c r="L273" s="49" t="str">
        <x:v>MS Seats : 41+ EWS : 10</x:v>
      </x:c>
      <x:c r="M273" s="49" t="str">
        <x:v>https://dse2025.mahacet.org.in/dse25/admin/allotment/cap2/2516_4.pdf</x:v>
      </x:c>
    </x:row>
    <x:row r="274">
      <x:c r="A274" s="49" t="str">
        <x:v>2025-26</x:v>
      </x:c>
      <x:c r="B274" s="63" t="n">
        <x:v>2516</x:v>
      </x:c>
      <x:c r="C274" s="49" t="str">
        <x:v>International Centre Of Excellence In Engineering and Management (ICEEM)</x:v>
      </x:c>
      <x:c r="D274" s="72" t="n">
        <x:v>251629710</x:v>
      </x:c>
      <x:c r="E274" s="49" t="str">
        <x:v>Electrical and Electronics Engineering</x:v>
      </x:c>
      <x:c r="F274" s="73" t="n">
        <x:v>23</x:v>
      </x:c>
      <x:c r="G274" s="73" t="n">
        <x:v>20</x:v>
      </x:c>
      <x:c r="H274" s="73" t="n">
        <x:v>3</x:v>
      </x:c>
      <x:c r="I274" s="73"/>
      <x:c r="J274" s="73" t="n">
        <x:v>0</x:v>
      </x:c>
      <x:c r="K274" s="49" t="str">
        <x:v>Un-Aided</x:v>
      </x:c>
      <x:c r="L274" s="49" t="str">
        <x:v>MS Seats : 20+ EWS : 3</x:v>
      </x:c>
      <x:c r="M274" s="49" t="str">
        <x:v>https://dse2025.mahacet.org.in/dse25/admin/allotment/cap2/2516_4.pdf</x:v>
      </x:c>
    </x:row>
    <x:row r="275">
      <x:c r="A275" s="49" t="str">
        <x:v>2025-26</x:v>
      </x:c>
      <x:c r="B275" s="63" t="n">
        <x:v>2516</x:v>
      </x:c>
      <x:c r="C275" s="49" t="str">
        <x:v>International Centre Of Excellence In Engineering and Management (ICEEM)</x:v>
      </x:c>
      <x:c r="D275" s="72" t="n">
        <x:v>251661210</x:v>
      </x:c>
      <x:c r="E275" s="49" t="str">
        <x:v>Mechanical Engineering</x:v>
      </x:c>
      <x:c r="F275" s="73" t="n">
        <x:v>28</x:v>
      </x:c>
      <x:c r="G275" s="73" t="n">
        <x:v>25</x:v>
      </x:c>
      <x:c r="H275" s="73" t="n">
        <x:v>3</x:v>
      </x:c>
      <x:c r="I275" s="73"/>
      <x:c r="J275" s="73" t="n">
        <x:v>0</x:v>
      </x:c>
      <x:c r="K275" s="49" t="str">
        <x:v>Un-Aided</x:v>
      </x:c>
      <x:c r="L275" s="49" t="str">
        <x:v>MS Seats : 25+ EWS : 3</x:v>
      </x:c>
      <x:c r="M275" s="49" t="str">
        <x:v>https://dse2025.mahacet.org.in/dse25/admin/allotment/cap2/2516_4.pdf</x:v>
      </x:c>
    </x:row>
    <x:row r="276">
      <x:c r="A276" s="49" t="str">
        <x:v>2025-26</x:v>
      </x:c>
      <x:c r="B276" s="63" t="n">
        <x:v>2516</x:v>
      </x:c>
      <x:c r="C276" s="49" t="str">
        <x:v>International Centre Of Excellence In Engineering and Management (ICEEM)</x:v>
      </x:c>
      <x:c r="D276" s="72" t="n">
        <x:v>251692110</x:v>
      </x:c>
      <x:c r="E276" s="49" t="str">
        <x:v>Artificial Intelligence and Machine Learning</x:v>
      </x:c>
      <x:c r="F276" s="73" t="n">
        <x:v>33</x:v>
      </x:c>
      <x:c r="G276" s="73" t="n">
        <x:v>26</x:v>
      </x:c>
      <x:c r="H276" s="73" t="n">
        <x:v>7</x:v>
      </x:c>
      <x:c r="I276" s="73"/>
      <x:c r="J276" s="73" t="n">
        <x:v>0</x:v>
      </x:c>
      <x:c r="K276" s="49" t="str">
        <x:v>Un-Aided</x:v>
      </x:c>
      <x:c r="L276" s="49" t="str">
        <x:v>MS Seats : 26+ EWS : 7</x:v>
      </x:c>
      <x:c r="M276" s="49" t="str">
        <x:v>https://dse2025.mahacet.org.in/dse25/admin/allotment/cap2/2516_4.pdf</x:v>
      </x:c>
    </x:row>
    <x:row r="277">
      <x:c r="A277" s="49" t="str">
        <x:v>2025-26</x:v>
      </x:c>
      <x:c r="B277" s="63" t="n">
        <x:v>2522</x:v>
      </x:c>
      <x:c r="C277" s="49" t="str">
        <x:v>STMEI's Sandipani Technical Campus-Faculty of Engineering, Latur.</x:v>
      </x:c>
      <x:c r="D277" s="72" t="n">
        <x:v>252219110</x:v>
      </x:c>
      <x:c r="E277" s="49" t="str">
        <x:v>Civil Engineering</x:v>
      </x:c>
      <x:c r="F277" s="73" t="n">
        <x:v>67</x:v>
      </x:c>
      <x:c r="G277" s="73" t="n">
        <x:v>60</x:v>
      </x:c>
      <x:c r="H277" s="73" t="n">
        <x:v>7</x:v>
      </x:c>
      <x:c r="I277" s="73"/>
      <x:c r="J277" s="73" t="n">
        <x:v>0</x:v>
      </x:c>
      <x:c r="K277" s="49" t="str">
        <x:v>Un-Aided</x:v>
      </x:c>
      <x:c r="L277" s="49" t="str">
        <x:v>MS Seats : 60+ EWS : 7</x:v>
      </x:c>
      <x:c r="M277" s="49" t="str">
        <x:v>https://dse2025.mahacet.org.in/dse25/admin/allotment/cap2/2522_4.pdf</x:v>
      </x:c>
    </x:row>
    <x:row r="278">
      <x:c r="A278" s="49" t="str">
        <x:v>2025-26</x:v>
      </x:c>
      <x:c r="B278" s="63" t="n">
        <x:v>2522</x:v>
      </x:c>
      <x:c r="C278" s="49" t="str">
        <x:v>STMEI's Sandipani Technical Campus-Faculty of Engineering, Latur.</x:v>
      </x:c>
      <x:c r="D278" s="72" t="n">
        <x:v>252224510</x:v>
      </x:c>
      <x:c r="E278" s="49" t="str">
        <x:v>Computer Engineering</x:v>
      </x:c>
      <x:c r="F278" s="73" t="n">
        <x:v>29</x:v>
      </x:c>
      <x:c r="G278" s="73" t="n">
        <x:v>26</x:v>
      </x:c>
      <x:c r="H278" s="73" t="n">
        <x:v>3</x:v>
      </x:c>
      <x:c r="I278" s="73"/>
      <x:c r="J278" s="73" t="n">
        <x:v>0</x:v>
      </x:c>
      <x:c r="K278" s="49" t="str">
        <x:v>Un-Aided</x:v>
      </x:c>
      <x:c r="L278" s="49" t="str">
        <x:v>MS Seats : 26+ EWS : 3</x:v>
      </x:c>
      <x:c r="M278" s="49" t="str">
        <x:v>https://dse2025.mahacet.org.in/dse25/admin/allotment/cap2/2522_4.pdf</x:v>
      </x:c>
    </x:row>
    <x:row r="279">
      <x:c r="A279" s="49" t="str">
        <x:v>2025-26</x:v>
      </x:c>
      <x:c r="B279" s="63" t="n">
        <x:v>2522</x:v>
      </x:c>
      <x:c r="C279" s="49" t="str">
        <x:v>STMEI's Sandipani Technical Campus-Faculty of Engineering, Latur.</x:v>
      </x:c>
      <x:c r="D279" s="72" t="n">
        <x:v>252237210</x:v>
      </x:c>
      <x:c r="E279" s="49" t="str">
        <x:v>Electronics and Telecommunication Engg</x:v>
      </x:c>
      <x:c r="F279" s="73" t="n">
        <x:v>47</x:v>
      </x:c>
      <x:c r="G279" s="73" t="n">
        <x:v>46</x:v>
      </x:c>
      <x:c r="H279" s="73" t="n">
        <x:v>1</x:v>
      </x:c>
      <x:c r="I279" s="73"/>
      <x:c r="J279" s="73" t="n">
        <x:v>0</x:v>
      </x:c>
      <x:c r="K279" s="49" t="str">
        <x:v>Un-Aided</x:v>
      </x:c>
      <x:c r="L279" s="49" t="str">
        <x:v>MS Seats : 46+ EWS : 1</x:v>
      </x:c>
      <x:c r="M279" s="49" t="str">
        <x:v>https://dse2025.mahacet.org.in/dse25/admin/allotment/cap2/2522_4.pdf</x:v>
      </x:c>
    </x:row>
    <x:row r="280">
      <x:c r="A280" s="49" t="str">
        <x:v>2025-26</x:v>
      </x:c>
      <x:c r="B280" s="63" t="n">
        <x:v>2522</x:v>
      </x:c>
      <x:c r="C280" s="49" t="str">
        <x:v>STMEI's Sandipani Technical Campus-Faculty of Engineering, Latur.</x:v>
      </x:c>
      <x:c r="D280" s="72" t="n">
        <x:v>252261210</x:v>
      </x:c>
      <x:c r="E280" s="49" t="str">
        <x:v>Mechanical Engineering</x:v>
      </x:c>
      <x:c r="F280" s="73" t="n">
        <x:v>72</x:v>
      </x:c>
      <x:c r="G280" s="73" t="n">
        <x:v>65</x:v>
      </x:c>
      <x:c r="H280" s="73" t="n">
        <x:v>7</x:v>
      </x:c>
      <x:c r="I280" s="73"/>
      <x:c r="J280" s="73" t="n">
        <x:v>0</x:v>
      </x:c>
      <x:c r="K280" s="49" t="str">
        <x:v>Un-Aided</x:v>
      </x:c>
      <x:c r="L280" s="49" t="str">
        <x:v>MS Seats : 65+ EWS : 7</x:v>
      </x:c>
      <x:c r="M280" s="49" t="str">
        <x:v>https://dse2025.mahacet.org.in/dse25/admin/allotment/cap2/2522_4.pdf</x:v>
      </x:c>
    </x:row>
    <x:row r="281">
      <x:c r="A281" s="49" t="str">
        <x:v>2025-26</x:v>
      </x:c>
      <x:c r="B281" s="63" t="n">
        <x:v>2522</x:v>
      </x:c>
      <x:c r="C281" s="49" t="str">
        <x:v>STMEI's Sandipani Technical Campus-Faculty of Engineering, Latur.</x:v>
      </x:c>
      <x:c r="D281" s="72" t="n">
        <x:v>252299510</x:v>
      </x:c>
      <x:c r="E281" s="49" t="str">
        <x:v>Artificial Intelligence and Data Science</x:v>
      </x:c>
      <x:c r="F281" s="73" t="n">
        <x:v>53</x:v>
      </x:c>
      <x:c r="G281" s="73" t="n">
        <x:v>49</x:v>
      </x:c>
      <x:c r="H281" s="73" t="n">
        <x:v>4</x:v>
      </x:c>
      <x:c r="I281" s="73"/>
      <x:c r="J281" s="73" t="n">
        <x:v>0</x:v>
      </x:c>
      <x:c r="K281" s="49" t="str">
        <x:v>Un-Aided</x:v>
      </x:c>
      <x:c r="L281" s="49" t="str">
        <x:v>MS Seats : 49+ EWS : 4</x:v>
      </x:c>
      <x:c r="M281" s="49" t="str">
        <x:v>https://dse2025.mahacet.org.in/dse25/admin/allotment/cap2/2522_4.pdf</x:v>
      </x:c>
    </x:row>
    <x:row r="282">
      <x:c r="A282" s="49" t="str">
        <x:v>2025-26</x:v>
      </x:c>
      <x:c r="B282" s="63" t="n">
        <x:v>2533</x:v>
      </x:c>
      <x:c r="C282" s="49" t="str">
        <x:v>CSMSS Chh. Shahu College of Engineering, Aurangabad</x:v>
      </x:c>
      <x:c r="D282" s="72" t="n">
        <x:v>253319110</x:v>
      </x:c>
      <x:c r="E282" s="49" t="str">
        <x:v>Civil Engineering</x:v>
      </x:c>
      <x:c r="F282" s="73" t="n">
        <x:v>17</x:v>
      </x:c>
      <x:c r="G282" s="73" t="n">
        <x:v>14</x:v>
      </x:c>
      <x:c r="H282" s="73" t="n">
        <x:v>3</x:v>
      </x:c>
      <x:c r="I282" s="73"/>
      <x:c r="J282" s="73" t="n">
        <x:v>0</x:v>
      </x:c>
      <x:c r="K282" s="49" t="str">
        <x:v>Un-Aided</x:v>
      </x:c>
      <x:c r="L282" s="49" t="str">
        <x:v>MS Seats : 14+ EWS : 3</x:v>
      </x:c>
      <x:c r="M282" s="49" t="str">
        <x:v>https://dse2025.mahacet.org.in/dse25/admin/allotment/cap2/2533_4.pdf</x:v>
      </x:c>
    </x:row>
    <x:row r="283">
      <x:c r="A283" s="49" t="str">
        <x:v>2025-26</x:v>
      </x:c>
      <x:c r="B283" s="63" t="n">
        <x:v>2533</x:v>
      </x:c>
      <x:c r="C283" s="49" t="str">
        <x:v>CSMSS Chh. Shahu College of Engineering, Aurangabad</x:v>
      </x:c>
      <x:c r="D283" s="72" t="n">
        <x:v>253324210</x:v>
      </x:c>
      <x:c r="E283" s="49" t="str">
        <x:v>Computer Science and Engineering</x:v>
      </x:c>
      <x:c r="F283" s="73" t="n">
        <x:v>29</x:v>
      </x:c>
      <x:c r="G283" s="73" t="n">
        <x:v>27</x:v>
      </x:c>
      <x:c r="H283" s="73" t="n">
        <x:v>2</x:v>
      </x:c>
      <x:c r="I283" s="73"/>
      <x:c r="J283" s="73" t="n">
        <x:v>0</x:v>
      </x:c>
      <x:c r="K283" s="49" t="str">
        <x:v>Un-Aided</x:v>
      </x:c>
      <x:c r="L283" s="49" t="str">
        <x:v>MS Seats : 27+ EWS : 2</x:v>
      </x:c>
      <x:c r="M283" s="49" t="str">
        <x:v>https://dse2025.mahacet.org.in/dse25/admin/allotment/cap2/2533_4.pdf</x:v>
      </x:c>
    </x:row>
    <x:row r="284">
      <x:c r="A284" s="49" t="str">
        <x:v>2025-26</x:v>
      </x:c>
      <x:c r="B284" s="63" t="n">
        <x:v>2533</x:v>
      </x:c>
      <x:c r="C284" s="49" t="str">
        <x:v>CSMSS Chh. Shahu College of Engineering, Aurangabad</x:v>
      </x:c>
      <x:c r="D284" s="72" t="n">
        <x:v>253329310</x:v>
      </x:c>
      <x:c r="E284" s="49" t="str">
        <x:v>Electrical Engineering</x:v>
      </x:c>
      <x:c r="F284" s="73" t="n">
        <x:v>18</x:v>
      </x:c>
      <x:c r="G284" s="73" t="n">
        <x:v>14</x:v>
      </x:c>
      <x:c r="H284" s="73" t="n">
        <x:v>4</x:v>
      </x:c>
      <x:c r="I284" s="73"/>
      <x:c r="J284" s="73" t="n">
        <x:v>0</x:v>
      </x:c>
      <x:c r="K284" s="49" t="str">
        <x:v>Un-Aided</x:v>
      </x:c>
      <x:c r="L284" s="49" t="str">
        <x:v>MS Seats : 14+ EWS : 4</x:v>
      </x:c>
      <x:c r="M284" s="49" t="str">
        <x:v>https://dse2025.mahacet.org.in/dse25/admin/allotment/cap2/2533_4.pdf</x:v>
      </x:c>
    </x:row>
    <x:row r="285">
      <x:c r="A285" s="49" t="str">
        <x:v>2025-26</x:v>
      </x:c>
      <x:c r="B285" s="63" t="n">
        <x:v>2533</x:v>
      </x:c>
      <x:c r="C285" s="49" t="str">
        <x:v>CSMSS Chh. Shahu College of Engineering, Aurangabad</x:v>
      </x:c>
      <x:c r="D285" s="72" t="n">
        <x:v>253337810</x:v>
      </x:c>
      <x:c r="E285" s="49" t="str">
        <x:v>Electronics Engineering ( VLSI Design and Technology)</x:v>
      </x:c>
      <x:c r="F285" s="73" t="n">
        <x:v>11</x:v>
      </x:c>
      <x:c r="G285" s="73" t="n">
        <x:v>9</x:v>
      </x:c>
      <x:c r="H285" s="73" t="n">
        <x:v>2</x:v>
      </x:c>
      <x:c r="I285" s="73"/>
      <x:c r="J285" s="73" t="n">
        <x:v>0</x:v>
      </x:c>
      <x:c r="K285" s="49" t="str">
        <x:v>Un-Aided</x:v>
      </x:c>
      <x:c r="L285" s="49" t="str">
        <x:v>MS Seats : 9+ EWS : 2</x:v>
      </x:c>
      <x:c r="M285" s="49" t="str">
        <x:v>https://dse2025.mahacet.org.in/dse25/admin/allotment/cap2/2533_4.pdf</x:v>
      </x:c>
    </x:row>
    <x:row r="286">
      <x:c r="A286" s="49" t="str">
        <x:v>2025-26</x:v>
      </x:c>
      <x:c r="B286" s="63" t="n">
        <x:v>2533</x:v>
      </x:c>
      <x:c r="C286" s="49" t="str">
        <x:v>CSMSS Chh. Shahu College of Engineering, Aurangabad</x:v>
      </x:c>
      <x:c r="D286" s="72" t="n">
        <x:v>253361210</x:v>
      </x:c>
      <x:c r="E286" s="49" t="str">
        <x:v>Mechanical Engineering</x:v>
      </x:c>
      <x:c r="F286" s="73" t="n">
        <x:v>37</x:v>
      </x:c>
      <x:c r="G286" s="73" t="n">
        <x:v>27</x:v>
      </x:c>
      <x:c r="H286" s="73" t="n">
        <x:v>10</x:v>
      </x:c>
      <x:c r="I286" s="73"/>
      <x:c r="J286" s="73" t="n">
        <x:v>0</x:v>
      </x:c>
      <x:c r="K286" s="49" t="str">
        <x:v>Un-Aided</x:v>
      </x:c>
      <x:c r="L286" s="49" t="str">
        <x:v>MS Seats : 27+ EWS : 10</x:v>
      </x:c>
      <x:c r="M286" s="49" t="str">
        <x:v>https://dse2025.mahacet.org.in/dse25/admin/allotment/cap2/2533_4.pdf</x:v>
      </x:c>
    </x:row>
    <x:row r="287">
      <x:c r="A287" s="49" t="str">
        <x:v>2025-26</x:v>
      </x:c>
      <x:c r="B287" s="63" t="n">
        <x:v>2533</x:v>
      </x:c>
      <x:c r="C287" s="49" t="str">
        <x:v>CSMSS Chh. Shahu College of Engineering, Aurangabad</x:v>
      </x:c>
      <x:c r="D287" s="72" t="n">
        <x:v>253384410</x:v>
      </x:c>
      <x:c r="E287" s="49" t="str">
        <x:v>Electronics and Computer Engineering</x:v>
      </x:c>
      <x:c r="F287" s="73" t="n">
        <x:v>21</x:v>
      </x:c>
      <x:c r="G287" s="73" t="n">
        <x:v>16</x:v>
      </x:c>
      <x:c r="H287" s="73" t="n">
        <x:v>5</x:v>
      </x:c>
      <x:c r="I287" s="73"/>
      <x:c r="J287" s="73" t="n">
        <x:v>0</x:v>
      </x:c>
      <x:c r="K287" s="49" t="str">
        <x:v>Un-Aided</x:v>
      </x:c>
      <x:c r="L287" s="49" t="str">
        <x:v>MS Seats : 16+ EWS : 5</x:v>
      </x:c>
      <x:c r="M287" s="49" t="str">
        <x:v>https://dse2025.mahacet.org.in/dse25/admin/allotment/cap2/2533_4.pdf</x:v>
      </x:c>
    </x:row>
    <x:row r="288">
      <x:c r="A288" s="49" t="str">
        <x:v>2025-26</x:v>
      </x:c>
      <x:c r="B288" s="63" t="n">
        <x:v>2533</x:v>
      </x:c>
      <x:c r="C288" s="49" t="str">
        <x:v>CSMSS Chh. Shahu College of Engineering, Aurangabad</x:v>
      </x:c>
      <x:c r="D288" s="72" t="n">
        <x:v>253392810</x:v>
      </x:c>
      <x:c r="E288" s="49" t="str">
        <x:v>Electronics and Communication(Advanced Communication Technology)</x:v>
      </x:c>
      <x:c r="F288" s="73" t="n">
        <x:v>11</x:v>
      </x:c>
      <x:c r="G288" s="73" t="n">
        <x:v>10</x:v>
      </x:c>
      <x:c r="H288" s="73" t="n">
        <x:v>1</x:v>
      </x:c>
      <x:c r="I288" s="73"/>
      <x:c r="J288" s="73" t="n">
        <x:v>0</x:v>
      </x:c>
      <x:c r="K288" s="49" t="str">
        <x:v>Un-Aided</x:v>
      </x:c>
      <x:c r="L288" s="49" t="str">
        <x:v>MS Seats : 10+ EWS : 1</x:v>
      </x:c>
      <x:c r="M288" s="49" t="str">
        <x:v>https://dse2025.mahacet.org.in/dse25/admin/allotment/cap2/2533_4.pdf</x:v>
      </x:c>
    </x:row>
    <x:row r="289">
      <x:c r="A289" s="49" t="str">
        <x:v>2025-26</x:v>
      </x:c>
      <x:c r="B289" s="63" t="n">
        <x:v>2533</x:v>
      </x:c>
      <x:c r="C289" s="49" t="str">
        <x:v>CSMSS Chh. Shahu College of Engineering, Aurangabad</x:v>
      </x:c>
      <x:c r="D289" s="72" t="n">
        <x:v>253399510</x:v>
      </x:c>
      <x:c r="E289" s="49" t="str">
        <x:v>Artificial Intelligence and Data Science</x:v>
      </x:c>
      <x:c r="F289" s="73" t="n">
        <x:v>38</x:v>
      </x:c>
      <x:c r="G289" s="73" t="n">
        <x:v>36</x:v>
      </x:c>
      <x:c r="H289" s="73" t="n">
        <x:v>2</x:v>
      </x:c>
      <x:c r="I289" s="73"/>
      <x:c r="J289" s="73" t="n">
        <x:v>0</x:v>
      </x:c>
      <x:c r="K289" s="49" t="str">
        <x:v>Un-Aided</x:v>
      </x:c>
      <x:c r="L289" s="49" t="str">
        <x:v>MS Seats : 36+ EWS : 2</x:v>
      </x:c>
      <x:c r="M289" s="49" t="str">
        <x:v>https://dse2025.mahacet.org.in/dse25/admin/allotment/cap2/2533_4.pdf</x:v>
      </x:c>
    </x:row>
    <x:row r="290">
      <x:c r="A290" s="49" t="str">
        <x:v>2025-26</x:v>
      </x:c>
      <x:c r="B290" s="63" t="n">
        <x:v>2637</x:v>
      </x:c>
      <x:c r="C290" s="49" t="str">
        <x:v>Jijau Institute of Engineering Technology and Management, Khandgaon (Bendri), Taluka Naigaon, District Nanded</x:v>
      </x:c>
      <x:c r="D290" s="72" t="n">
        <x:v>263719110</x:v>
      </x:c>
      <x:c r="E290" s="49" t="str">
        <x:v>Civil Engineering</x:v>
      </x:c>
      <x:c r="F290" s="73" t="n">
        <x:v>37</x:v>
      </x:c>
      <x:c r="G290" s="73" t="n">
        <x:v>34</x:v>
      </x:c>
      <x:c r="H290" s="73" t="n">
        <x:v>3</x:v>
      </x:c>
      <x:c r="I290" s="73"/>
      <x:c r="J290" s="73" t="n">
        <x:v>0</x:v>
      </x:c>
      <x:c r="K290" s="49" t="str">
        <x:v>Un-Aided</x:v>
      </x:c>
      <x:c r="L290" s="49" t="str">
        <x:v>MS Seats : 34+ EWS : 3</x:v>
      </x:c>
      <x:c r="M290" s="49" t="str">
        <x:v>https://dse2025.mahacet.org.in/dse25/admin/allotment/cap2/2637_4.pdf</x:v>
      </x:c>
    </x:row>
    <x:row r="291">
      <x:c r="A291" s="49" t="str">
        <x:v>2025-26</x:v>
      </x:c>
      <x:c r="B291" s="63" t="n">
        <x:v>2637</x:v>
      </x:c>
      <x:c r="C291" s="49" t="str">
        <x:v>Jijau Institute of Engineering Technology and Management, Khandgaon (Bendri), Taluka Naigaon, District Nanded</x:v>
      </x:c>
      <x:c r="D291" s="72" t="n">
        <x:v>263724510</x:v>
      </x:c>
      <x:c r="E291" s="49" t="str">
        <x:v>Computer Engineering</x:v>
      </x:c>
      <x:c r="F291" s="73" t="n">
        <x:v>139</x:v>
      </x:c>
      <x:c r="G291" s="73" t="n">
        <x:v>125</x:v>
      </x:c>
      <x:c r="H291" s="73" t="n">
        <x:v>14</x:v>
      </x:c>
      <x:c r="I291" s="73"/>
      <x:c r="J291" s="73" t="n">
        <x:v>0</x:v>
      </x:c>
      <x:c r="K291" s="49" t="str">
        <x:v>Un-Aided</x:v>
      </x:c>
      <x:c r="L291" s="49" t="str">
        <x:v>MS Seats : 125+ EWS : 14</x:v>
      </x:c>
      <x:c r="M291" s="49" t="str">
        <x:v>https://dse2025.mahacet.org.in/dse25/admin/allotment/cap2/2637_4.pdf</x:v>
      </x:c>
    </x:row>
    <x:row r="292">
      <x:c r="A292" s="49" t="str">
        <x:v>2025-26</x:v>
      </x:c>
      <x:c r="B292" s="63" t="n">
        <x:v>2637</x:v>
      </x:c>
      <x:c r="C292" s="49" t="str">
        <x:v>Jijau Institute of Engineering Technology and Management, Khandgaon (Bendri), Taluka Naigaon, District Nanded</x:v>
      </x:c>
      <x:c r="D292" s="72" t="n">
        <x:v>263724610</x:v>
      </x:c>
      <x:c r="E292" s="49" t="str">
        <x:v>Information Technology</x:v>
      </x:c>
      <x:c r="F292" s="73" t="n">
        <x:v>73</x:v>
      </x:c>
      <x:c r="G292" s="73" t="n">
        <x:v>66</x:v>
      </x:c>
      <x:c r="H292" s="73" t="n">
        <x:v>7</x:v>
      </x:c>
      <x:c r="I292" s="73"/>
      <x:c r="J292" s="73" t="n">
        <x:v>0</x:v>
      </x:c>
      <x:c r="K292" s="49" t="str">
        <x:v>Un-Aided</x:v>
      </x:c>
      <x:c r="L292" s="49" t="str">
        <x:v>MS Seats : 66+ EWS : 7</x:v>
      </x:c>
      <x:c r="M292" s="49" t="str">
        <x:v>https://dse2025.mahacet.org.in/dse25/admin/allotment/cap2/2637_4.pdf</x:v>
      </x:c>
    </x:row>
    <x:row r="293">
      <x:c r="A293" s="49" t="str">
        <x:v>2025-26</x:v>
      </x:c>
      <x:c r="B293" s="63" t="n">
        <x:v>2637</x:v>
      </x:c>
      <x:c r="C293" s="49" t="str">
        <x:v>Jijau Institute of Engineering Technology and Management, Khandgaon (Bendri), Taluka Naigaon, District Nanded</x:v>
      </x:c>
      <x:c r="D293" s="72" t="n">
        <x:v>263737210</x:v>
      </x:c>
      <x:c r="E293" s="49" t="str">
        <x:v>Electronics and Telecommunication Engg</x:v>
      </x:c>
      <x:c r="F293" s="73" t="n">
        <x:v>74</x:v>
      </x:c>
      <x:c r="G293" s="73" t="n">
        <x:v>67</x:v>
      </x:c>
      <x:c r="H293" s="73" t="n">
        <x:v>7</x:v>
      </x:c>
      <x:c r="I293" s="73"/>
      <x:c r="J293" s="73" t="n">
        <x:v>0</x:v>
      </x:c>
      <x:c r="K293" s="49" t="str">
        <x:v>Un-Aided</x:v>
      </x:c>
      <x:c r="L293" s="49" t="str">
        <x:v>MS Seats : 67+ EWS : 7</x:v>
      </x:c>
      <x:c r="M293" s="49" t="str">
        <x:v>https://dse2025.mahacet.org.in/dse25/admin/allotment/cap2/2637_4.pdf</x:v>
      </x:c>
    </x:row>
    <x:row r="294">
      <x:c r="A294" s="49" t="str">
        <x:v>2025-26</x:v>
      </x:c>
      <x:c r="B294" s="63" t="n">
        <x:v>2637</x:v>
      </x:c>
      <x:c r="C294" s="49" t="str">
        <x:v>Jijau Institute of Engineering Technology and Management, Khandgaon (Bendri), Taluka Naigaon, District Nanded</x:v>
      </x:c>
      <x:c r="D294" s="72" t="n">
        <x:v>263799710</x:v>
      </x:c>
      <x:c r="E294" s="49" t="str">
        <x:v>Artificial Intelligence</x:v>
      </x:c>
      <x:c r="F294" s="73" t="n">
        <x:v>71</x:v>
      </x:c>
      <x:c r="G294" s="73" t="n">
        <x:v>64</x:v>
      </x:c>
      <x:c r="H294" s="73" t="n">
        <x:v>7</x:v>
      </x:c>
      <x:c r="I294" s="73"/>
      <x:c r="J294" s="73" t="n">
        <x:v>0</x:v>
      </x:c>
      <x:c r="K294" s="49" t="str">
        <x:v>Un-Aided</x:v>
      </x:c>
      <x:c r="L294" s="49" t="str">
        <x:v>MS Seats : 64+ EWS : 7</x:v>
      </x:c>
      <x:c r="M294" s="49" t="str">
        <x:v>https://dse2025.mahacet.org.in/dse25/admin/allotment/cap2/2637_4.pdf</x:v>
      </x:c>
    </x:row>
    <x:row r="295">
      <x:c r="A295" s="49" t="str">
        <x:v>2025-26</x:v>
      </x:c>
      <x:c r="B295" s="63" t="n">
        <x:v>2641</x:v>
      </x:c>
      <x:c r="C295" s="49" t="str">
        <x:v>Dr. V.K. Patil College of Engineering &amp; Technology</x:v>
      </x:c>
      <x:c r="D295" s="72" t="n">
        <x:v>264119110</x:v>
      </x:c>
      <x:c r="E295" s="49" t="str">
        <x:v>Civil Engineering</x:v>
      </x:c>
      <x:c r="F295" s="73" t="n">
        <x:v>67</x:v>
      </x:c>
      <x:c r="G295" s="73" t="n">
        <x:v>61</x:v>
      </x:c>
      <x:c r="H295" s="73" t="n">
        <x:v>6</x:v>
      </x:c>
      <x:c r="I295" s="73"/>
      <x:c r="J295" s="73" t="n">
        <x:v>0</x:v>
      </x:c>
      <x:c r="K295" s="49" t="str">
        <x:v>Un-Aided</x:v>
      </x:c>
      <x:c r="L295" s="49" t="str">
        <x:v>MS Seats : 61+ EWS : 6</x:v>
      </x:c>
      <x:c r="M295" s="49" t="str">
        <x:v>https://dse2025.mahacet.org.in/dse25/admin/allotment/cap2/2641_4.pdf</x:v>
      </x:c>
    </x:row>
    <x:row r="296">
      <x:c r="A296" s="49" t="str">
        <x:v>2025-26</x:v>
      </x:c>
      <x:c r="B296" s="63" t="n">
        <x:v>2641</x:v>
      </x:c>
      <x:c r="C296" s="49" t="str">
        <x:v>Dr. V.K. Patil College of Engineering &amp; Technology</x:v>
      </x:c>
      <x:c r="D296" s="72" t="n">
        <x:v>264124210</x:v>
      </x:c>
      <x:c r="E296" s="49" t="str">
        <x:v>Computer Science and Engineering</x:v>
      </x:c>
      <x:c r="F296" s="73" t="n">
        <x:v>46</x:v>
      </x:c>
      <x:c r="G296" s="73" t="n">
        <x:v>45</x:v>
      </x:c>
      <x:c r="H296" s="73" t="n">
        <x:v>1</x:v>
      </x:c>
      <x:c r="I296" s="73"/>
      <x:c r="J296" s="73" t="n">
        <x:v>0</x:v>
      </x:c>
      <x:c r="K296" s="49" t="str">
        <x:v>Un-Aided</x:v>
      </x:c>
      <x:c r="L296" s="49" t="str">
        <x:v>MS Seats : 45+ EWS : 1</x:v>
      </x:c>
      <x:c r="M296" s="49" t="str">
        <x:v>https://dse2025.mahacet.org.in/dse25/admin/allotment/cap2/2641_4.pdf</x:v>
      </x:c>
    </x:row>
    <x:row r="297">
      <x:c r="A297" s="49" t="str">
        <x:v>2025-26</x:v>
      </x:c>
      <x:c r="B297" s="63" t="n">
        <x:v>2641</x:v>
      </x:c>
      <x:c r="C297" s="49" t="str">
        <x:v>Dr. V.K. Patil College of Engineering &amp; Technology</x:v>
      </x:c>
      <x:c r="D297" s="72" t="n">
        <x:v>264129310</x:v>
      </x:c>
      <x:c r="E297" s="49" t="str">
        <x:v>Electrical Engineering</x:v>
      </x:c>
      <x:c r="F297" s="73" t="n">
        <x:v>69</x:v>
      </x:c>
      <x:c r="G297" s="73" t="n">
        <x:v>62</x:v>
      </x:c>
      <x:c r="H297" s="73" t="n">
        <x:v>7</x:v>
      </x:c>
      <x:c r="I297" s="73"/>
      <x:c r="J297" s="73" t="n">
        <x:v>0</x:v>
      </x:c>
      <x:c r="K297" s="49" t="str">
        <x:v>Un-Aided</x:v>
      </x:c>
      <x:c r="L297" s="49" t="str">
        <x:v>MS Seats : 62+ EWS : 7</x:v>
      </x:c>
      <x:c r="M297" s="49" t="str">
        <x:v>https://dse2025.mahacet.org.in/dse25/admin/allotment/cap2/2641_4.pdf</x:v>
      </x:c>
    </x:row>
    <x:row r="298">
      <x:c r="A298" s="49" t="str">
        <x:v>2025-26</x:v>
      </x:c>
      <x:c r="B298" s="63" t="n">
        <x:v>2641</x:v>
      </x:c>
      <x:c r="C298" s="49" t="str">
        <x:v>Dr. V.K. Patil College of Engineering &amp; Technology</x:v>
      </x:c>
      <x:c r="D298" s="72" t="n">
        <x:v>264161210</x:v>
      </x:c>
      <x:c r="E298" s="49" t="str">
        <x:v>Mechanical Engineering</x:v>
      </x:c>
      <x:c r="F298" s="73" t="n">
        <x:v>35</x:v>
      </x:c>
      <x:c r="G298" s="73" t="n">
        <x:v>32</x:v>
      </x:c>
      <x:c r="H298" s="73" t="n">
        <x:v>3</x:v>
      </x:c>
      <x:c r="I298" s="73"/>
      <x:c r="J298" s="73" t="n">
        <x:v>0</x:v>
      </x:c>
      <x:c r="K298" s="49" t="str">
        <x:v>Un-Aided</x:v>
      </x:c>
      <x:c r="L298" s="49" t="str">
        <x:v>MS Seats : 32+ EWS : 3</x:v>
      </x:c>
      <x:c r="M298" s="49" t="str">
        <x:v>https://dse2025.mahacet.org.in/dse25/admin/allotment/cap2/2641_4.pdf</x:v>
      </x:c>
    </x:row>
    <x:row r="299">
      <x:c r="A299" s="49" t="str">
        <x:v>2025-26</x:v>
      </x:c>
      <x:c r="B299" s="63" t="n">
        <x:v>2641</x:v>
      </x:c>
      <x:c r="C299" s="49" t="str">
        <x:v>Dr. V.K. Patil College of Engineering &amp; Technology</x:v>
      </x:c>
      <x:c r="D299" s="72" t="n">
        <x:v>264199710</x:v>
      </x:c>
      <x:c r="E299" s="49" t="str">
        <x:v>Artificial Intelligence</x:v>
      </x:c>
      <x:c r="F299" s="73" t="n">
        <x:v>29</x:v>
      </x:c>
      <x:c r="G299" s="73" t="n">
        <x:v>27</x:v>
      </x:c>
      <x:c r="H299" s="73" t="n">
        <x:v>2</x:v>
      </x:c>
      <x:c r="I299" s="73"/>
      <x:c r="J299" s="73" t="n">
        <x:v>0</x:v>
      </x:c>
      <x:c r="K299" s="49" t="str">
        <x:v>Un-Aided</x:v>
      </x:c>
      <x:c r="L299" s="49" t="str">
        <x:v>MS Seats : 27+ EWS : 2</x:v>
      </x:c>
      <x:c r="M299" s="49" t="str">
        <x:v>https://dse2025.mahacet.org.in/dse25/admin/allotment/cap2/2641_4.pdf</x:v>
      </x:c>
    </x:row>
    <x:row r="300">
      <x:c r="A300" s="49" t="str">
        <x:v>2025-26</x:v>
      </x:c>
      <x:c r="B300" s="63" t="n">
        <x:v>2666</x:v>
      </x:c>
      <x:c r="C300" s="49" t="str">
        <x:v>Mangaldeep College of Engineering</x:v>
      </x:c>
      <x:c r="D300" s="72" t="n">
        <x:v>266624210</x:v>
      </x:c>
      <x:c r="E300" s="49" t="str">
        <x:v>Computer Science and Engineering</x:v>
      </x:c>
      <x:c r="F300" s="73" t="n">
        <x:v>122</x:v>
      </x:c>
      <x:c r="G300" s="73" t="n">
        <x:v>109</x:v>
      </x:c>
      <x:c r="H300" s="73" t="n">
        <x:v>13</x:v>
      </x:c>
      <x:c r="I300" s="73"/>
      <x:c r="J300" s="73" t="n">
        <x:v>0</x:v>
      </x:c>
      <x:c r="K300" s="49" t="str">
        <x:v>Un-Aided</x:v>
      </x:c>
      <x:c r="L300" s="49" t="str">
        <x:v>MS Seats : 109+ EWS : 13</x:v>
      </x:c>
      <x:c r="M300" s="49" t="str">
        <x:v>https://dse2025.mahacet.org.in/dse25/admin/allotment/cap2/2666_4.pdf</x:v>
      </x:c>
    </x:row>
    <x:row r="301">
      <x:c r="A301" s="49" t="str">
        <x:v>2025-26</x:v>
      </x:c>
      <x:c r="B301" s="63" t="n">
        <x:v>2666</x:v>
      </x:c>
      <x:c r="C301" s="49" t="str">
        <x:v>Mangaldeep College of Engineering</x:v>
      </x:c>
      <x:c r="D301" s="72" t="n">
        <x:v>266624610</x:v>
      </x:c>
      <x:c r="E301" s="49" t="str">
        <x:v>Information Technology</x:v>
      </x:c>
      <x:c r="F301" s="73" t="n">
        <x:v>32</x:v>
      </x:c>
      <x:c r="G301" s="73" t="n">
        <x:v>30</x:v>
      </x:c>
      <x:c r="H301" s="73" t="n">
        <x:v>2</x:v>
      </x:c>
      <x:c r="I301" s="73"/>
      <x:c r="J301" s="73" t="n">
        <x:v>0</x:v>
      </x:c>
      <x:c r="K301" s="49" t="str">
        <x:v>Un-Aided</x:v>
      </x:c>
      <x:c r="L301" s="49" t="str">
        <x:v>MS Seats : 30+ EWS : 2</x:v>
      </x:c>
      <x:c r="M301" s="49" t="str">
        <x:v>https://dse2025.mahacet.org.in/dse25/admin/allotment/cap2/2666_4.pdf</x:v>
      </x:c>
    </x:row>
    <x:row r="302">
      <x:c r="A302" s="49" t="str">
        <x:v>2025-26</x:v>
      </x:c>
      <x:c r="B302" s="63" t="n">
        <x:v>2666</x:v>
      </x:c>
      <x:c r="C302" s="49" t="str">
        <x:v>Mangaldeep College of Engineering</x:v>
      </x:c>
      <x:c r="D302" s="72" t="n">
        <x:v>266656610</x:v>
      </x:c>
      <x:c r="E302" s="49" t="str">
        <x:v>Computer Science</x:v>
      </x:c>
      <x:c r="F302" s="73" t="n">
        <x:v>129</x:v>
      </x:c>
      <x:c r="G302" s="73" t="n">
        <x:v>115</x:v>
      </x:c>
      <x:c r="H302" s="73" t="n">
        <x:v>14</x:v>
      </x:c>
      <x:c r="I302" s="73"/>
      <x:c r="J302" s="73" t="n">
        <x:v>0</x:v>
      </x:c>
      <x:c r="K302" s="49" t="str">
        <x:v>Un-Aided</x:v>
      </x:c>
      <x:c r="L302" s="49" t="str">
        <x:v>MS Seats : 115+ EWS : 14</x:v>
      </x:c>
      <x:c r="M302" s="49" t="str">
        <x:v>https://dse2025.mahacet.org.in/dse25/admin/allotment/cap2/2666_4.pdf</x:v>
      </x:c>
    </x:row>
    <x:row r="303">
      <x:c r="A303" s="49" t="str">
        <x:v>2025-26</x:v>
      </x:c>
      <x:c r="B303" s="63" t="n">
        <x:v>2666</x:v>
      </x:c>
      <x:c r="C303" s="49" t="str">
        <x:v>Mangaldeep College of Engineering</x:v>
      </x:c>
      <x:c r="D303" s="72" t="n">
        <x:v>266692110</x:v>
      </x:c>
      <x:c r="E303" s="49" t="str">
        <x:v>Artificial Intelligence and Machine Learning</x:v>
      </x:c>
      <x:c r="F303" s="73" t="n">
        <x:v>33</x:v>
      </x:c>
      <x:c r="G303" s="73" t="n">
        <x:v>30</x:v>
      </x:c>
      <x:c r="H303" s="73" t="n">
        <x:v>3</x:v>
      </x:c>
      <x:c r="I303" s="73"/>
      <x:c r="J303" s="73" t="n">
        <x:v>0</x:v>
      </x:c>
      <x:c r="K303" s="49" t="str">
        <x:v>Un-Aided</x:v>
      </x:c>
      <x:c r="L303" s="49" t="str">
        <x:v>MS Seats : 30+ EWS : 3</x:v>
      </x:c>
      <x:c r="M303" s="49" t="str">
        <x:v>https://dse2025.mahacet.org.in/dse25/admin/allotment/cap2/2666_4.pdf</x:v>
      </x:c>
    </x:row>
    <x:row r="304">
      <x:c r="A304" s="49" t="str">
        <x:v>2025-26</x:v>
      </x:c>
      <x:c r="B304" s="63" t="n">
        <x:v>2758</x:v>
      </x:c>
      <x:c r="C304" s="49" t="str">
        <x:v>Sant Eknath College of Engineering</x:v>
      </x:c>
      <x:c r="D304" s="72" t="n">
        <x:v>275824210</x:v>
      </x:c>
      <x:c r="E304" s="49" t="str">
        <x:v>Computer Science and Engineering</x:v>
      </x:c>
      <x:c r="F304" s="73" t="n">
        <x:v>138</x:v>
      </x:c>
      <x:c r="G304" s="73" t="n">
        <x:v>124</x:v>
      </x:c>
      <x:c r="H304" s="73" t="n">
        <x:v>14</x:v>
      </x:c>
      <x:c r="I304" s="73"/>
      <x:c r="J304" s="73" t="n">
        <x:v>0</x:v>
      </x:c>
      <x:c r="K304" s="49" t="str">
        <x:v>Un-Aided</x:v>
      </x:c>
      <x:c r="L304" s="49" t="str">
        <x:v>MS Seats : 124+ EWS : 14</x:v>
      </x:c>
      <x:c r="M304" s="49" t="str">
        <x:v>https://dse2025.mahacet.org.in/dse25/admin/allotment/cap2/2758_4.pdf</x:v>
      </x:c>
    </x:row>
    <x:row r="305">
      <x:c r="A305" s="49" t="str">
        <x:v>2025-26</x:v>
      </x:c>
      <x:c r="B305" s="63" t="n">
        <x:v>2758</x:v>
      </x:c>
      <x:c r="C305" s="49" t="str">
        <x:v>Sant Eknath College of Engineering</x:v>
      </x:c>
      <x:c r="D305" s="72" t="n">
        <x:v>275829310</x:v>
      </x:c>
      <x:c r="E305" s="49" t="str">
        <x:v>Electrical Engineering</x:v>
      </x:c>
      <x:c r="F305" s="73" t="n">
        <x:v>72</x:v>
      </x:c>
      <x:c r="G305" s="73" t="n">
        <x:v>65</x:v>
      </x:c>
      <x:c r="H305" s="73" t="n">
        <x:v>7</x:v>
      </x:c>
      <x:c r="I305" s="73"/>
      <x:c r="J305" s="73" t="n">
        <x:v>0</x:v>
      </x:c>
      <x:c r="K305" s="49" t="str">
        <x:v>Un-Aided</x:v>
      </x:c>
      <x:c r="L305" s="49" t="str">
        <x:v>MS Seats : 65+ EWS : 7</x:v>
      </x:c>
      <x:c r="M305" s="49" t="str">
        <x:v>https://dse2025.mahacet.org.in/dse25/admin/allotment/cap2/2758_4.pdf</x:v>
      </x:c>
    </x:row>
    <x:row r="306">
      <x:c r="A306" s="49" t="str">
        <x:v>2025-26</x:v>
      </x:c>
      <x:c r="B306" s="63" t="n">
        <x:v>2758</x:v>
      </x:c>
      <x:c r="C306" s="49" t="str">
        <x:v>Sant Eknath College of Engineering</x:v>
      </x:c>
      <x:c r="D306" s="72" t="n">
        <x:v>275861210</x:v>
      </x:c>
      <x:c r="E306" s="49" t="str">
        <x:v>Mechanical Engineering</x:v>
      </x:c>
      <x:c r="F306" s="73" t="n">
        <x:v>71</x:v>
      </x:c>
      <x:c r="G306" s="73" t="n">
        <x:v>64</x:v>
      </x:c>
      <x:c r="H306" s="73" t="n">
        <x:v>7</x:v>
      </x:c>
      <x:c r="I306" s="73"/>
      <x:c r="J306" s="73" t="n">
        <x:v>0</x:v>
      </x:c>
      <x:c r="K306" s="49" t="str">
        <x:v>Un-Aided</x:v>
      </x:c>
      <x:c r="L306" s="49" t="str">
        <x:v>MS Seats : 64+ EWS : 7</x:v>
      </x:c>
      <x:c r="M306" s="49" t="str">
        <x:v>https://dse2025.mahacet.org.in/dse25/admin/allotment/cap2/2758_4.pdf</x:v>
      </x:c>
    </x:row>
    <x:row r="307">
      <x:c r="A307" s="49" t="str">
        <x:v>2025-26</x:v>
      </x:c>
      <x:c r="B307" s="63" t="n">
        <x:v>2758</x:v>
      </x:c>
      <x:c r="C307" s="49" t="str">
        <x:v>Sant Eknath College of Engineering</x:v>
      </x:c>
      <x:c r="D307" s="72" t="n">
        <x:v>275899710</x:v>
      </x:c>
      <x:c r="E307" s="49" t="str">
        <x:v>Artificial Intelligence</x:v>
      </x:c>
      <x:c r="F307" s="73" t="n">
        <x:v>70</x:v>
      </x:c>
      <x:c r="G307" s="73" t="n">
        <x:v>63</x:v>
      </x:c>
      <x:c r="H307" s="73" t="n">
        <x:v>7</x:v>
      </x:c>
      <x:c r="I307" s="73"/>
      <x:c r="J307" s="73" t="n">
        <x:v>0</x:v>
      </x:c>
      <x:c r="K307" s="49" t="str">
        <x:v>Un-Aided</x:v>
      </x:c>
      <x:c r="L307" s="49" t="str">
        <x:v>MS Seats : 63+ EWS : 7</x:v>
      </x:c>
      <x:c r="M307" s="49" t="str">
        <x:v>https://dse2025.mahacet.org.in/dse25/admin/allotment/cap2/2758_4.pdf</x:v>
      </x:c>
    </x:row>
    <x:row r="308">
      <x:c r="A308" s="49" t="str">
        <x:v>2025-26</x:v>
      </x:c>
      <x:c r="B308" s="63" t="n">
        <x:v>3012</x:v>
      </x:c>
      <x:c r="C308" s="49" t="str">
        <x:v>Veermata Jijabai Technological Institute(VJTI), Matunga, Mumbai</x:v>
      </x:c>
      <x:c r="D308" s="72" t="n">
        <x:v>301219110</x:v>
      </x:c>
      <x:c r="E308" s="49" t="str">
        <x:v>Civil Engineering</x:v>
      </x:c>
      <x:c r="F308" s="73" t="n">
        <x:v>8</x:v>
      </x:c>
      <x:c r="G308" s="73" t="n">
        <x:v>7</x:v>
      </x:c>
      <x:c r="H308" s="73" t="n">
        <x:v>1</x:v>
      </x:c>
      <x:c r="I308" s="73"/>
      <x:c r="J308" s="73" t="n">
        <x:v>0</x:v>
      </x:c>
      <x:c r="K308" s="49" t="str">
        <x:v>Government-Aided Autonomous</x:v>
      </x:c>
      <x:c r="L308" s="49" t="str">
        <x:v>MS Seats : 7+ EWS : 1</x:v>
      </x:c>
      <x:c r="M308" s="49" t="str">
        <x:v>https://dse2025.mahacet.org.in/dse25/admin/allotment/cap2/3012_4.pdf</x:v>
      </x:c>
    </x:row>
    <x:row r="309">
      <x:c r="A309" s="49" t="str">
        <x:v>2025-26</x:v>
      </x:c>
      <x:c r="B309" s="63" t="n">
        <x:v>3012</x:v>
      </x:c>
      <x:c r="C309" s="49" t="str">
        <x:v>Veermata Jijabai Technological Institute(VJTI), Matunga, Mumbai</x:v>
      </x:c>
      <x:c r="D309" s="72" t="n">
        <x:v>301224510</x:v>
      </x:c>
      <x:c r="E309" s="49" t="str">
        <x:v>Computer Engineering</x:v>
      </x:c>
      <x:c r="F309" s="73" t="n">
        <x:v>8</x:v>
      </x:c>
      <x:c r="G309" s="73" t="n">
        <x:v>7</x:v>
      </x:c>
      <x:c r="H309" s="73" t="n">
        <x:v>1</x:v>
      </x:c>
      <x:c r="I309" s="73"/>
      <x:c r="J309" s="73" t="n">
        <x:v>0</x:v>
      </x:c>
      <x:c r="K309" s="49" t="str">
        <x:v>Government-Aided Autonomous</x:v>
      </x:c>
      <x:c r="L309" s="49" t="str">
        <x:v>MS Seats : 7+ EWS : 1</x:v>
      </x:c>
      <x:c r="M309" s="49" t="str">
        <x:v>https://dse2025.mahacet.org.in/dse25/admin/allotment/cap2/3012_4.pdf</x:v>
      </x:c>
    </x:row>
    <x:row r="310">
      <x:c r="A310" s="49" t="str">
        <x:v>2025-26</x:v>
      </x:c>
      <x:c r="B310" s="63" t="n">
        <x:v>3012</x:v>
      </x:c>
      <x:c r="C310" s="49" t="str">
        <x:v>Veermata Jijabai Technological Institute(VJTI), Matunga, Mumbai</x:v>
      </x:c>
      <x:c r="D310" s="72" t="n">
        <x:v>301224610</x:v>
      </x:c>
      <x:c r="E310" s="49" t="str">
        <x:v>Information Technology</x:v>
      </x:c>
      <x:c r="F310" s="73" t="n">
        <x:v>8</x:v>
      </x:c>
      <x:c r="G310" s="73" t="n">
        <x:v>7</x:v>
      </x:c>
      <x:c r="H310" s="73" t="n">
        <x:v>1</x:v>
      </x:c>
      <x:c r="I310" s="73"/>
      <x:c r="J310" s="73" t="n">
        <x:v>0</x:v>
      </x:c>
      <x:c r="K310" s="49" t="str">
        <x:v>Government-Aided Autonomous</x:v>
      </x:c>
      <x:c r="L310" s="49" t="str">
        <x:v>MS Seats : 7+ EWS : 1</x:v>
      </x:c>
      <x:c r="M310" s="49" t="str">
        <x:v>https://dse2025.mahacet.org.in/dse25/admin/allotment/cap2/3012_4.pdf</x:v>
      </x:c>
    </x:row>
    <x:row r="311">
      <x:c r="A311" s="49" t="str">
        <x:v>2025-26</x:v>
      </x:c>
      <x:c r="B311" s="63" t="n">
        <x:v>3012</x:v>
      </x:c>
      <x:c r="C311" s="49" t="str">
        <x:v>Veermata Jijabai Technological Institute(VJTI), Matunga, Mumbai</x:v>
      </x:c>
      <x:c r="D311" s="72" t="n">
        <x:v>301229310</x:v>
      </x:c>
      <x:c r="E311" s="49" t="str">
        <x:v>Electrical Engineering</x:v>
      </x:c>
      <x:c r="F311" s="73" t="n">
        <x:v>9</x:v>
      </x:c>
      <x:c r="G311" s="73" t="n">
        <x:v>7</x:v>
      </x:c>
      <x:c r="H311" s="73" t="n">
        <x:v>2</x:v>
      </x:c>
      <x:c r="I311" s="73"/>
      <x:c r="J311" s="73" t="n">
        <x:v>0</x:v>
      </x:c>
      <x:c r="K311" s="49" t="str">
        <x:v>Government-Aided Autonomous</x:v>
      </x:c>
      <x:c r="L311" s="49" t="str">
        <x:v>MS Seats : 7+ EWS : 2</x:v>
      </x:c>
      <x:c r="M311" s="49" t="str">
        <x:v>https://dse2025.mahacet.org.in/dse25/admin/allotment/cap2/3012_4.pdf</x:v>
      </x:c>
    </x:row>
    <x:row r="312">
      <x:c r="A312" s="49" t="str">
        <x:v>2025-26</x:v>
      </x:c>
      <x:c r="B312" s="63" t="n">
        <x:v>3012</x:v>
      </x:c>
      <x:c r="C312" s="49" t="str">
        <x:v>Veermata Jijabai Technological Institute(VJTI), Matunga, Mumbai</x:v>
      </x:c>
      <x:c r="D312" s="72" t="n">
        <x:v>301237210</x:v>
      </x:c>
      <x:c r="E312" s="49" t="str">
        <x:v>Electronics and Telecommunication Engg</x:v>
      </x:c>
      <x:c r="F312" s="73" t="n">
        <x:v>8</x:v>
      </x:c>
      <x:c r="G312" s="73" t="n">
        <x:v>7</x:v>
      </x:c>
      <x:c r="H312" s="73" t="n">
        <x:v>1</x:v>
      </x:c>
      <x:c r="I312" s="73"/>
      <x:c r="J312" s="73" t="n">
        <x:v>0</x:v>
      </x:c>
      <x:c r="K312" s="49" t="str">
        <x:v>Government-Aided Autonomous</x:v>
      </x:c>
      <x:c r="L312" s="49" t="str">
        <x:v>MS Seats : 7+ EWS : 1</x:v>
      </x:c>
      <x:c r="M312" s="49" t="str">
        <x:v>https://dse2025.mahacet.org.in/dse25/admin/allotment/cap2/3012_4.pdf</x:v>
      </x:c>
    </x:row>
    <x:row r="313">
      <x:c r="A313" s="49" t="str">
        <x:v>2025-26</x:v>
      </x:c>
      <x:c r="B313" s="63" t="n">
        <x:v>3012</x:v>
      </x:c>
      <x:c r="C313" s="49" t="str">
        <x:v>Veermata Jijabai Technological Institute(VJTI), Matunga, Mumbai</x:v>
      </x:c>
      <x:c r="D313" s="72" t="n">
        <x:v>301237610</x:v>
      </x:c>
      <x:c r="E313" s="49" t="str">
        <x:v>Electronics Engineering</x:v>
      </x:c>
      <x:c r="F313" s="73" t="n">
        <x:v>10</x:v>
      </x:c>
      <x:c r="G313" s="73" t="n">
        <x:v>7</x:v>
      </x:c>
      <x:c r="H313" s="73" t="n">
        <x:v>3</x:v>
      </x:c>
      <x:c r="I313" s="73"/>
      <x:c r="J313" s="73" t="n">
        <x:v>0</x:v>
      </x:c>
      <x:c r="K313" s="49" t="str">
        <x:v>Government-Aided Autonomous</x:v>
      </x:c>
      <x:c r="L313" s="49" t="str">
        <x:v>MS Seats : 7+ EWS : 3</x:v>
      </x:c>
      <x:c r="M313" s="49" t="str">
        <x:v>https://dse2025.mahacet.org.in/dse25/admin/allotment/cap2/3012_4.pdf</x:v>
      </x:c>
    </x:row>
    <x:row r="314">
      <x:c r="A314" s="49" t="str">
        <x:v>2025-26</x:v>
      </x:c>
      <x:c r="B314" s="63" t="n">
        <x:v>3012</x:v>
      </x:c>
      <x:c r="C314" s="49" t="str">
        <x:v>Veermata Jijabai Technological Institute(VJTI), Matunga, Mumbai</x:v>
      </x:c>
      <x:c r="D314" s="72" t="n">
        <x:v>301261210</x:v>
      </x:c>
      <x:c r="E314" s="49" t="str">
        <x:v>Mechanical Engineering</x:v>
      </x:c>
      <x:c r="F314" s="73" t="n">
        <x:v>8</x:v>
      </x:c>
      <x:c r="G314" s="73" t="n">
        <x:v>7</x:v>
      </x:c>
      <x:c r="H314" s="73" t="n">
        <x:v>1</x:v>
      </x:c>
      <x:c r="I314" s="73"/>
      <x:c r="J314" s="73" t="n">
        <x:v>0</x:v>
      </x:c>
      <x:c r="K314" s="49" t="str">
        <x:v>Government-Aided Autonomous</x:v>
      </x:c>
      <x:c r="L314" s="49" t="str">
        <x:v>MS Seats : 7+ EWS : 1</x:v>
      </x:c>
      <x:c r="M314" s="49" t="str">
        <x:v>https://dse2025.mahacet.org.in/dse25/admin/allotment/cap2/3012_4.pdf</x:v>
      </x:c>
    </x:row>
    <x:row r="315">
      <x:c r="A315" s="49" t="str">
        <x:v>2025-26</x:v>
      </x:c>
      <x:c r="B315" s="63" t="n">
        <x:v>3012</x:v>
      </x:c>
      <x:c r="C315" s="49" t="str">
        <x:v>Veermata Jijabai Technological Institute(VJTI), Matunga, Mumbai</x:v>
      </x:c>
      <x:c r="D315" s="72" t="n">
        <x:v>301262610</x:v>
      </x:c>
      <x:c r="E315" s="49" t="str">
        <x:v>Production Engineering[Sandwich]</x:v>
      </x:c>
      <x:c r="F315" s="73" t="n">
        <x:v>8</x:v>
      </x:c>
      <x:c r="G315" s="73" t="n">
        <x:v>7</x:v>
      </x:c>
      <x:c r="H315" s="73" t="n">
        <x:v>1</x:v>
      </x:c>
      <x:c r="I315" s="73"/>
      <x:c r="J315" s="73" t="n">
        <x:v>0</x:v>
      </x:c>
      <x:c r="K315" s="49" t="str">
        <x:v>Government-Aided Autonomous</x:v>
      </x:c>
      <x:c r="L315" s="49" t="str">
        <x:v>MS Seats : 7+ EWS : 1</x:v>
      </x:c>
      <x:c r="M315" s="49" t="str">
        <x:v>https://dse2025.mahacet.org.in/dse25/admin/allotment/cap2/3012_4.pdf</x:v>
      </x:c>
    </x:row>
    <x:row r="316">
      <x:c r="A316" s="49" t="str">
        <x:v>2025-26</x:v>
      </x:c>
      <x:c r="B316" s="63" t="n">
        <x:v>3012</x:v>
      </x:c>
      <x:c r="C316" s="49" t="str">
        <x:v>Veermata Jijabai Technological Institute(VJTI), Matunga, Mumbai</x:v>
      </x:c>
      <x:c r="D316" s="72" t="n">
        <x:v>301289610</x:v>
      </x:c>
      <x:c r="E316" s="49" t="str">
        <x:v>Textile Technology</x:v>
      </x:c>
      <x:c r="F316" s="73" t="n">
        <x:v>14</x:v>
      </x:c>
      <x:c r="G316" s="73" t="n">
        <x:v>11</x:v>
      </x:c>
      <x:c r="H316" s="73" t="n">
        <x:v>3</x:v>
      </x:c>
      <x:c r="I316" s="73"/>
      <x:c r="J316" s="73" t="n">
        <x:v>0</x:v>
      </x:c>
      <x:c r="K316" s="49" t="str">
        <x:v>Government-Aided Autonomous</x:v>
      </x:c>
      <x:c r="L316" s="49" t="str">
        <x:v>MS Seats : 11+ EWS : 3</x:v>
      </x:c>
      <x:c r="M316" s="49" t="str">
        <x:v>https://dse2025.mahacet.org.in/dse25/admin/allotment/cap2/3012_4.pdf</x:v>
      </x:c>
    </x:row>
    <x:row r="317">
      <x:c r="A317" s="49" t="str">
        <x:v>2025-26</x:v>
      </x:c>
      <x:c r="B317" s="63" t="n">
        <x:v>3014</x:v>
      </x:c>
      <x:c r="C317" s="49" t="str">
        <x:v>Sardar Patel College of Engineering, Andheri</x:v>
      </x:c>
      <x:c r="D317" s="72" t="n">
        <x:v>301419110</x:v>
      </x:c>
      <x:c r="E317" s="49" t="str">
        <x:v>Civil Engineering</x:v>
      </x:c>
      <x:c r="F317" s="73" t="n">
        <x:v>11</x:v>
      </x:c>
      <x:c r="G317" s="73" t="n">
        <x:v>9</x:v>
      </x:c>
      <x:c r="H317" s="73" t="n">
        <x:v>2</x:v>
      </x:c>
      <x:c r="I317" s="73"/>
      <x:c r="J317" s="73" t="n">
        <x:v>0</x:v>
      </x:c>
      <x:c r="K317" s="49" t="str">
        <x:v>Government-Aided Autonomous</x:v>
      </x:c>
      <x:c r="L317" s="49" t="str">
        <x:v>MS Seats : 9+ EWS : 2</x:v>
      </x:c>
      <x:c r="M317" s="49" t="str">
        <x:v>https://dse2025.mahacet.org.in/dse25/admin/allotment/cap2/3014_4.pdf</x:v>
      </x:c>
    </x:row>
    <x:row r="318">
      <x:c r="A318" s="49" t="str">
        <x:v>2025-26</x:v>
      </x:c>
      <x:c r="B318" s="63" t="n">
        <x:v>3014</x:v>
      </x:c>
      <x:c r="C318" s="49" t="str">
        <x:v>Sardar Patel College of Engineering, Andheri</x:v>
      </x:c>
      <x:c r="D318" s="72" t="n">
        <x:v>301429310</x:v>
      </x:c>
      <x:c r="E318" s="49" t="str">
        <x:v>Electrical Engineering</x:v>
      </x:c>
      <x:c r="F318" s="73" t="n">
        <x:v>11</x:v>
      </x:c>
      <x:c r="G318" s="73" t="n">
        <x:v>7</x:v>
      </x:c>
      <x:c r="H318" s="73" t="n">
        <x:v>4</x:v>
      </x:c>
      <x:c r="I318" s="73"/>
      <x:c r="J318" s="73" t="n">
        <x:v>0</x:v>
      </x:c>
      <x:c r="K318" s="49" t="str">
        <x:v>Government-Aided Autonomous</x:v>
      </x:c>
      <x:c r="L318" s="49" t="str">
        <x:v>MS Seats : 7+ EWS : 4</x:v>
      </x:c>
      <x:c r="M318" s="49" t="str">
        <x:v>https://dse2025.mahacet.org.in/dse25/admin/allotment/cap2/3014_4.pdf</x:v>
      </x:c>
    </x:row>
    <x:row r="319">
      <x:c r="A319" s="49" t="str">
        <x:v>2025-26</x:v>
      </x:c>
      <x:c r="B319" s="63" t="n">
        <x:v>3014</x:v>
      </x:c>
      <x:c r="C319" s="49" t="str">
        <x:v>Sardar Patel College of Engineering, Andheri</x:v>
      </x:c>
      <x:c r="D319" s="72" t="n">
        <x:v>301461210</x:v>
      </x:c>
      <x:c r="E319" s="49" t="str">
        <x:v>Mechanical Engineering</x:v>
      </x:c>
      <x:c r="F319" s="73" t="n">
        <x:v>9</x:v>
      </x:c>
      <x:c r="G319" s="73" t="n">
        <x:v>7</x:v>
      </x:c>
      <x:c r="H319" s="73" t="n">
        <x:v>2</x:v>
      </x:c>
      <x:c r="I319" s="73"/>
      <x:c r="J319" s="73" t="n">
        <x:v>0</x:v>
      </x:c>
      <x:c r="K319" s="49" t="str">
        <x:v>Government-Aided Autonomous</x:v>
      </x:c>
      <x:c r="L319" s="49" t="str">
        <x:v>MS Seats : 7+ EWS : 2</x:v>
      </x:c>
      <x:c r="M319" s="49" t="str">
        <x:v>https://dse2025.mahacet.org.in/dse25/admin/allotment/cap2/3014_4.pdf</x:v>
      </x:c>
    </x:row>
    <x:row r="320">
      <x:c r="A320" s="49" t="str">
        <x:v>2025-26</x:v>
      </x:c>
      <x:c r="B320" s="63" t="n">
        <x:v>3025</x:v>
      </x:c>
      <x:c r="C320" s="49" t="str">
        <x:v>Svkm's Shri Bhagubhai Mafatlal Polytechnic &amp; College of Engineering</x:v>
      </x:c>
      <x:c r="D320" s="72" t="n">
        <x:v>302524270</x:v>
      </x:c>
      <x:c r="E320" s="49" t="str">
        <x:v>Computer Science and Engineering</x:v>
      </x:c>
      <x:c r="F320" s="73" t="n">
        <x:v>7</x:v>
      </x:c>
      <x:c r="G320" s="73" t="n">
        <x:v>3</x:v>
      </x:c>
      <x:c r="H320" s="73"/>
      <x:c r="I320" s="73" t="n">
        <x:v>4</x:v>
      </x:c>
      <x:c r="J320" s="73" t="n">
        <x:v>0</x:v>
      </x:c>
      <x:c r="K320" s="49" t="str">
        <x:v>Government-Aided Linguistic Minority - Gujarathi</x:v>
      </x:c>
      <x:c r="L320" s="49" t="str">
        <x:v>MS Seats : 3 + Minority Seats : 4</x:v>
      </x:c>
      <x:c r="M320" s="49" t="str">
        <x:v>https://dse2025.mahacet.org.in/dse25/admin/allotment/cap2/3025_4.pdf</x:v>
      </x:c>
    </x:row>
    <x:row r="321">
      <x:c r="A321" s="49" t="str">
        <x:v>2025-26</x:v>
      </x:c>
      <x:c r="B321" s="63" t="n">
        <x:v>3025</x:v>
      </x:c>
      <x:c r="C321" s="49" t="str">
        <x:v>Svkm's Shri Bhagubhai Mafatlal Polytechnic &amp; College of Engineering</x:v>
      </x:c>
      <x:c r="D321" s="72" t="n">
        <x:v>302524570</x:v>
      </x:c>
      <x:c r="E321" s="49" t="str">
        <x:v>Computer Engineering</x:v>
      </x:c>
      <x:c r="F321" s="73" t="n">
        <x:v>6</x:v>
      </x:c>
      <x:c r="G321" s="73" t="n">
        <x:v>2</x:v>
      </x:c>
      <x:c r="H321" s="73"/>
      <x:c r="I321" s="73" t="n">
        <x:v>4</x:v>
      </x:c>
      <x:c r="J321" s="73" t="n">
        <x:v>0</x:v>
      </x:c>
      <x:c r="K321" s="49" t="str">
        <x:v>Government-Aided Linguistic Minority - Gujarathi</x:v>
      </x:c>
      <x:c r="L321" s="49" t="str">
        <x:v>MS Seats : 2 + Minority Seats : 4</x:v>
      </x:c>
      <x:c r="M321" s="49" t="str">
        <x:v>https://dse2025.mahacet.org.in/dse25/admin/allotment/cap2/3025_4.pdf</x:v>
      </x:c>
    </x:row>
    <x:row r="322">
      <x:c r="A322" s="49" t="str">
        <x:v>2025-26</x:v>
      </x:c>
      <x:c r="B322" s="63" t="n">
        <x:v>3025</x:v>
      </x:c>
      <x:c r="C322" s="49" t="str">
        <x:v>Svkm's Shri Bhagubhai Mafatlal Polytechnic &amp; College of Engineering</x:v>
      </x:c>
      <x:c r="D322" s="72" t="n">
        <x:v>302524670</x:v>
      </x:c>
      <x:c r="E322" s="49" t="str">
        <x:v>Information Technology</x:v>
      </x:c>
      <x:c r="F322" s="73" t="n">
        <x:v>8</x:v>
      </x:c>
      <x:c r="G322" s="73" t="n">
        <x:v>3</x:v>
      </x:c>
      <x:c r="H322" s="73"/>
      <x:c r="I322" s="73" t="n">
        <x:v>5</x:v>
      </x:c>
      <x:c r="J322" s="73" t="n">
        <x:v>0</x:v>
      </x:c>
      <x:c r="K322" s="49" t="str">
        <x:v>Government-Aided Linguistic Minority - Gujarathi</x:v>
      </x:c>
      <x:c r="L322" s="49" t="str">
        <x:v>MS Seats : 3 + Minority Seats : 5</x:v>
      </x:c>
      <x:c r="M322" s="49" t="str">
        <x:v>https://dse2025.mahacet.org.in/dse25/admin/allotment/cap2/3025_4.pdf</x:v>
      </x:c>
    </x:row>
    <x:row r="323">
      <x:c r="A323" s="49" t="str">
        <x:v>2025-26</x:v>
      </x:c>
      <x:c r="B323" s="63" t="n">
        <x:v>3025</x:v>
      </x:c>
      <x:c r="C323" s="49" t="str">
        <x:v>Svkm's Shri Bhagubhai Mafatlal Polytechnic &amp; College of Engineering</x:v>
      </x:c>
      <x:c r="D323" s="72" t="n">
        <x:v>302591170</x:v>
      </x:c>
      <x:c r="E323" s="49" t="str">
        <x:v>Computer Science and Engineering(Artificial Intelligence and Machine Learning)</x:v>
      </x:c>
      <x:c r="F323" s="73" t="n">
        <x:v>6</x:v>
      </x:c>
      <x:c r="G323" s="73" t="n">
        <x:v>2</x:v>
      </x:c>
      <x:c r="H323" s="73"/>
      <x:c r="I323" s="73" t="n">
        <x:v>4</x:v>
      </x:c>
      <x:c r="J323" s="73" t="n">
        <x:v>0</x:v>
      </x:c>
      <x:c r="K323" s="49" t="str">
        <x:v>Government-Aided Linguistic Minority - Gujarathi</x:v>
      </x:c>
      <x:c r="L323" s="49" t="str">
        <x:v>MS Seats : 2 + Minority Seats : 4</x:v>
      </x:c>
      <x:c r="M323" s="49" t="str">
        <x:v>https://dse2025.mahacet.org.in/dse25/admin/allotment/cap2/3025_4.pdf</x:v>
      </x:c>
    </x:row>
    <x:row r="324">
      <x:c r="A324" s="49" t="str">
        <x:v>2025-26</x:v>
      </x:c>
      <x:c r="B324" s="63" t="n">
        <x:v>3033</x:v>
      </x:c>
      <x:c r="C324" s="49" t="str">
        <x:v>Dr. Babasaheb Ambedkar Technological University, Lonere</x:v>
      </x:c>
      <x:c r="D324" s="72" t="n">
        <x:v>303319110</x:v>
      </x:c>
      <x:c r="E324" s="49" t="str">
        <x:v>Civil Engineering</x:v>
      </x:c>
      <x:c r="F324" s="73" t="n">
        <x:v>22</x:v>
      </x:c>
      <x:c r="G324" s="73" t="n">
        <x:v>17</x:v>
      </x:c>
      <x:c r="H324" s="73" t="n">
        <x:v>5</x:v>
      </x:c>
      <x:c r="I324" s="73"/>
      <x:c r="J324" s="73" t="n">
        <x:v>0</x:v>
      </x:c>
      <x:c r="K324" s="49" t="str">
        <x:v>University</x:v>
      </x:c>
      <x:c r="L324" s="49" t="str">
        <x:v>MS Seats : 17+ EWS : 5</x:v>
      </x:c>
      <x:c r="M324" s="49" t="str">
        <x:v>https://dse2025.mahacet.org.in/dse25/admin/allotment/cap2/3033_4.pdf</x:v>
      </x:c>
    </x:row>
    <x:row r="325">
      <x:c r="A325" s="49" t="str">
        <x:v>2025-26</x:v>
      </x:c>
      <x:c r="B325" s="63" t="n">
        <x:v>3033</x:v>
      </x:c>
      <x:c r="C325" s="49" t="str">
        <x:v>Dr. Babasaheb Ambedkar Technological University, Lonere</x:v>
      </x:c>
      <x:c r="D325" s="72" t="n">
        <x:v>303324510</x:v>
      </x:c>
      <x:c r="E325" s="49" t="str">
        <x:v>Computer Engineering</x:v>
      </x:c>
      <x:c r="F325" s="73" t="n">
        <x:v>8</x:v>
      </x:c>
      <x:c r="G325" s="73" t="n">
        <x:v>6</x:v>
      </x:c>
      <x:c r="H325" s="73" t="n">
        <x:v>2</x:v>
      </x:c>
      <x:c r="I325" s="73"/>
      <x:c r="J325" s="73" t="n">
        <x:v>0</x:v>
      </x:c>
      <x:c r="K325" s="49" t="str">
        <x:v>University</x:v>
      </x:c>
      <x:c r="L325" s="49" t="str">
        <x:v>MS Seats : 6+ EWS : 2</x:v>
      </x:c>
      <x:c r="M325" s="49" t="str">
        <x:v>https://dse2025.mahacet.org.in/dse25/admin/allotment/cap2/3033_4.pdf</x:v>
      </x:c>
    </x:row>
    <x:row r="326">
      <x:c r="A326" s="49" t="str">
        <x:v>2025-26</x:v>
      </x:c>
      <x:c r="B326" s="63" t="n">
        <x:v>3033</x:v>
      </x:c>
      <x:c r="C326" s="49" t="str">
        <x:v>Dr. Babasaheb Ambedkar Technological University, Lonere</x:v>
      </x:c>
      <x:c r="D326" s="72" t="n">
        <x:v>303324610</x:v>
      </x:c>
      <x:c r="E326" s="49" t="str">
        <x:v>Information Technology</x:v>
      </x:c>
      <x:c r="F326" s="73" t="n">
        <x:v>7</x:v>
      </x:c>
      <x:c r="G326" s="73" t="n">
        <x:v>6</x:v>
      </x:c>
      <x:c r="H326" s="73" t="n">
        <x:v>1</x:v>
      </x:c>
      <x:c r="I326" s="73"/>
      <x:c r="J326" s="73" t="n">
        <x:v>0</x:v>
      </x:c>
      <x:c r="K326" s="49" t="str">
        <x:v>University</x:v>
      </x:c>
      <x:c r="L326" s="49" t="str">
        <x:v>MS Seats : 6+ EWS : 1</x:v>
      </x:c>
      <x:c r="M326" s="49" t="str">
        <x:v>https://dse2025.mahacet.org.in/dse25/admin/allotment/cap2/3033_4.pdf</x:v>
      </x:c>
    </x:row>
    <x:row r="327">
      <x:c r="A327" s="49" t="str">
        <x:v>2025-26</x:v>
      </x:c>
      <x:c r="B327" s="63" t="n">
        <x:v>3033</x:v>
      </x:c>
      <x:c r="C327" s="49" t="str">
        <x:v>Dr. Babasaheb Ambedkar Technological University, Lonere</x:v>
      </x:c>
      <x:c r="D327" s="72" t="n">
        <x:v>303329310</x:v>
      </x:c>
      <x:c r="E327" s="49" t="str">
        <x:v>Electrical Engineering</x:v>
      </x:c>
      <x:c r="F327" s="73" t="n">
        <x:v>16</x:v>
      </x:c>
      <x:c r="G327" s="73" t="n">
        <x:v>12</x:v>
      </x:c>
      <x:c r="H327" s="73" t="n">
        <x:v>4</x:v>
      </x:c>
      <x:c r="I327" s="73"/>
      <x:c r="J327" s="73" t="n">
        <x:v>0</x:v>
      </x:c>
      <x:c r="K327" s="49" t="str">
        <x:v>University</x:v>
      </x:c>
      <x:c r="L327" s="49" t="str">
        <x:v>MS Seats : 12+ EWS : 4</x:v>
      </x:c>
      <x:c r="M327" s="49" t="str">
        <x:v>https://dse2025.mahacet.org.in/dse25/admin/allotment/cap2/3033_4.pdf</x:v>
      </x:c>
    </x:row>
    <x:row r="328">
      <x:c r="A328" s="49" t="str">
        <x:v>2025-26</x:v>
      </x:c>
      <x:c r="B328" s="63" t="n">
        <x:v>3033</x:v>
      </x:c>
      <x:c r="C328" s="49" t="str">
        <x:v>Dr. Babasaheb Ambedkar Technological University, Lonere</x:v>
      </x:c>
      <x:c r="D328" s="72" t="n">
        <x:v>303337210</x:v>
      </x:c>
      <x:c r="E328" s="49" t="str">
        <x:v>Electronics and Telecommunication Engg</x:v>
      </x:c>
      <x:c r="F328" s="73" t="n">
        <x:v>10</x:v>
      </x:c>
      <x:c r="G328" s="73" t="n">
        <x:v>7</x:v>
      </x:c>
      <x:c r="H328" s="73" t="n">
        <x:v>3</x:v>
      </x:c>
      <x:c r="I328" s="73"/>
      <x:c r="J328" s="73" t="n">
        <x:v>0</x:v>
      </x:c>
      <x:c r="K328" s="49" t="str">
        <x:v>University</x:v>
      </x:c>
      <x:c r="L328" s="49" t="str">
        <x:v>MS Seats : 7+ EWS : 3</x:v>
      </x:c>
      <x:c r="M328" s="49" t="str">
        <x:v>https://dse2025.mahacet.org.in/dse25/admin/allotment/cap2/3033_4.pdf</x:v>
      </x:c>
    </x:row>
    <x:row r="329">
      <x:c r="A329" s="49" t="str">
        <x:v>2025-26</x:v>
      </x:c>
      <x:c r="B329" s="63" t="n">
        <x:v>3033</x:v>
      </x:c>
      <x:c r="C329" s="49" t="str">
        <x:v>Dr. Babasaheb Ambedkar Technological University, Lonere</x:v>
      </x:c>
      <x:c r="D329" s="72" t="n">
        <x:v>303337290</x:v>
      </x:c>
      <x:c r="E329" s="49" t="str">
        <x:v>Electronics and Telecommunication Engg</x:v>
      </x:c>
      <x:c r="F329" s="73" t="n">
        <x:v>25</x:v>
      </x:c>
      <x:c r="G329" s="73" t="n">
        <x:v>24</x:v>
      </x:c>
      <x:c r="H329" s="73" t="n">
        <x:v>1</x:v>
      </x:c>
      <x:c r="I329" s="73"/>
      <x:c r="J329" s="73" t="n">
        <x:v>0</x:v>
      </x:c>
      <x:c r="K329" s="49" t="str">
        <x:v>University</x:v>
      </x:c>
      <x:c r="L329" s="49" t="str">
        <x:v>MS Seats : 24+ EWS : 1</x:v>
      </x:c>
      <x:c r="M329" s="49" t="str">
        <x:v>https://dse2025.mahacet.org.in/dse25/admin/allotment/cap2/3033_4.pdf</x:v>
      </x:c>
    </x:row>
    <x:row r="330">
      <x:c r="A330" s="49" t="str">
        <x:v>2025-26</x:v>
      </x:c>
      <x:c r="B330" s="63" t="n">
        <x:v>3033</x:v>
      </x:c>
      <x:c r="C330" s="49" t="str">
        <x:v>Dr. Babasaheb Ambedkar Technological University, Lonere</x:v>
      </x:c>
      <x:c r="D330" s="72" t="n">
        <x:v>303337810</x:v>
      </x:c>
      <x:c r="E330" s="49" t="str">
        <x:v>Electronics Engineering ( VLSI Design and Technology)</x:v>
      </x:c>
      <x:c r="F330" s="73" t="n">
        <x:v>6</x:v>
      </x:c>
      <x:c r="G330" s="73" t="n">
        <x:v>4</x:v>
      </x:c>
      <x:c r="H330" s="73" t="n">
        <x:v>2</x:v>
      </x:c>
      <x:c r="I330" s="73"/>
      <x:c r="J330" s="73" t="n">
        <x:v>0</x:v>
      </x:c>
      <x:c r="K330" s="49" t="str">
        <x:v>University</x:v>
      </x:c>
      <x:c r="L330" s="49" t="str">
        <x:v>MS Seats : 4+ EWS : 2</x:v>
      </x:c>
      <x:c r="M330" s="49" t="str">
        <x:v>https://dse2025.mahacet.org.in/dse25/admin/allotment/cap2/3033_4.pdf</x:v>
      </x:c>
    </x:row>
    <x:row r="331">
      <x:c r="A331" s="49" t="str">
        <x:v>2025-26</x:v>
      </x:c>
      <x:c r="B331" s="63" t="n">
        <x:v>3033</x:v>
      </x:c>
      <x:c r="C331" s="49" t="str">
        <x:v>Dr. Babasaheb Ambedkar Technological University, Lonere</x:v>
      </x:c>
      <x:c r="D331" s="72" t="n">
        <x:v>303350710</x:v>
      </x:c>
      <x:c r="E331" s="49" t="str">
        <x:v>Chemical Engineering</x:v>
      </x:c>
      <x:c r="F331" s="73" t="n">
        <x:v>7</x:v>
      </x:c>
      <x:c r="G331" s="73" t="n">
        <x:v>5</x:v>
      </x:c>
      <x:c r="H331" s="73" t="n">
        <x:v>2</x:v>
      </x:c>
      <x:c r="I331" s="73"/>
      <x:c r="J331" s="73" t="n">
        <x:v>0</x:v>
      </x:c>
      <x:c r="K331" s="49" t="str">
        <x:v>University</x:v>
      </x:c>
      <x:c r="L331" s="49" t="str">
        <x:v>MS Seats : 5+ EWS : 2</x:v>
      </x:c>
      <x:c r="M331" s="49" t="str">
        <x:v>https://dse2025.mahacet.org.in/dse25/admin/allotment/cap2/3033_4.pdf</x:v>
      </x:c>
    </x:row>
    <x:row r="332">
      <x:c r="A332" s="49" t="str">
        <x:v>2025-26</x:v>
      </x:c>
      <x:c r="B332" s="63" t="n">
        <x:v>3033</x:v>
      </x:c>
      <x:c r="C332" s="49" t="str">
        <x:v>Dr. Babasaheb Ambedkar Technological University, Lonere</x:v>
      </x:c>
      <x:c r="D332" s="72" t="n">
        <x:v>303352710</x:v>
      </x:c>
      <x:c r="E332" s="49" t="str">
        <x:v>Petro Chemical Engineering</x:v>
      </x:c>
      <x:c r="F332" s="73" t="n">
        <x:v>34</x:v>
      </x:c>
      <x:c r="G332" s="73" t="n">
        <x:v>29</x:v>
      </x:c>
      <x:c r="H332" s="73" t="n">
        <x:v>5</x:v>
      </x:c>
      <x:c r="I332" s="73"/>
      <x:c r="J332" s="73" t="n">
        <x:v>0</x:v>
      </x:c>
      <x:c r="K332" s="49" t="str">
        <x:v>University</x:v>
      </x:c>
      <x:c r="L332" s="49" t="str">
        <x:v>MS Seats : 29+ EWS : 5</x:v>
      </x:c>
      <x:c r="M332" s="49" t="str">
        <x:v>https://dse2025.mahacet.org.in/dse25/admin/allotment/cap2/3033_4.pdf</x:v>
      </x:c>
    </x:row>
    <x:row r="333">
      <x:c r="A333" s="49" t="str">
        <x:v>2025-26</x:v>
      </x:c>
      <x:c r="B333" s="63" t="n">
        <x:v>3033</x:v>
      </x:c>
      <x:c r="C333" s="49" t="str">
        <x:v>Dr. Babasaheb Ambedkar Technological University, Lonere</x:v>
      </x:c>
      <x:c r="D333" s="72" t="n">
        <x:v>303361210</x:v>
      </x:c>
      <x:c r="E333" s="49" t="str">
        <x:v>Mechanical Engineering</x:v>
      </x:c>
      <x:c r="F333" s="73" t="n">
        <x:v>11</x:v>
      </x:c>
      <x:c r="G333" s="73" t="n">
        <x:v>8</x:v>
      </x:c>
      <x:c r="H333" s="73" t="n">
        <x:v>3</x:v>
      </x:c>
      <x:c r="I333" s="73"/>
      <x:c r="J333" s="73" t="n">
        <x:v>0</x:v>
      </x:c>
      <x:c r="K333" s="49" t="str">
        <x:v>University</x:v>
      </x:c>
      <x:c r="L333" s="49" t="str">
        <x:v>MS Seats : 8+ EWS : 3</x:v>
      </x:c>
      <x:c r="M333" s="49" t="str">
        <x:v>https://dse2025.mahacet.org.in/dse25/admin/allotment/cap2/3033_4.pdf</x:v>
      </x:c>
    </x:row>
    <x:row r="334">
      <x:c r="A334" s="49" t="str">
        <x:v>2025-26</x:v>
      </x:c>
      <x:c r="B334" s="63" t="n">
        <x:v>3033</x:v>
      </x:c>
      <x:c r="C334" s="49" t="str">
        <x:v>Dr. Babasaheb Ambedkar Technological University, Lonere</x:v>
      </x:c>
      <x:c r="D334" s="72" t="n">
        <x:v>303390510</x:v>
      </x:c>
      <x:c r="E334" s="49" t="str">
        <x:v>Computer Science and Engineering</x:v>
      </x:c>
      <x:c r="F334" s="73" t="n">
        <x:v>10</x:v>
      </x:c>
      <x:c r="G334" s="73" t="n">
        <x:v>8</x:v>
      </x:c>
      <x:c r="H334" s="73" t="n">
        <x:v>2</x:v>
      </x:c>
      <x:c r="I334" s="73"/>
      <x:c r="J334" s="73" t="n">
        <x:v>0</x:v>
      </x:c>
      <x:c r="K334" s="49" t="str">
        <x:v>University</x:v>
      </x:c>
      <x:c r="L334" s="49" t="str">
        <x:v>MS Seats : 8+ EWS : 2</x:v>
      </x:c>
      <x:c r="M334" s="49" t="str">
        <x:v>https://dse2025.mahacet.org.in/dse25/admin/allotment/cap2/3033_4.pdf</x:v>
      </x:c>
    </x:row>
    <x:row r="335">
      <x:c r="A335" s="49" t="str">
        <x:v>2025-26</x:v>
      </x:c>
      <x:c r="B335" s="63" t="n">
        <x:v>3042</x:v>
      </x:c>
      <x:c r="C335" s="49" t="str">
        <x:v>Loknete Shamrao Peje Government College of Engineering, Ratnagiri</x:v>
      </x:c>
      <x:c r="D335" s="72" t="n">
        <x:v>304229310</x:v>
      </x:c>
      <x:c r="E335" s="49" t="str">
        <x:v>Electrical Engineering</x:v>
      </x:c>
      <x:c r="F335" s="73" t="n">
        <x:v>35</x:v>
      </x:c>
      <x:c r="G335" s="73" t="n">
        <x:v>32</x:v>
      </x:c>
      <x:c r="H335" s="73" t="n">
        <x:v>3</x:v>
      </x:c>
      <x:c r="I335" s="73"/>
      <x:c r="J335" s="73" t="n">
        <x:v>0</x:v>
      </x:c>
      <x:c r="K335" s="49" t="str">
        <x:v>Government</x:v>
      </x:c>
      <x:c r="L335" s="49" t="str">
        <x:v>MS Seats : 32+ EWS : 3</x:v>
      </x:c>
      <x:c r="M335" s="49" t="str">
        <x:v>https://dse2025.mahacet.org.in/dse25/admin/allotment/cap2/3042_4.pdf</x:v>
      </x:c>
    </x:row>
    <x:row r="336">
      <x:c r="A336" s="49" t="str">
        <x:v>2025-26</x:v>
      </x:c>
      <x:c r="B336" s="63" t="n">
        <x:v>3042</x:v>
      </x:c>
      <x:c r="C336" s="49" t="str">
        <x:v>Loknete Shamrao Peje Government College of Engineering, Ratnagiri</x:v>
      </x:c>
      <x:c r="D336" s="72" t="n">
        <x:v>304250410</x:v>
      </x:c>
      <x:c r="E336" s="49" t="str">
        <x:v>Food Technology And Management</x:v>
      </x:c>
      <x:c r="F336" s="73" t="n">
        <x:v>58</x:v>
      </x:c>
      <x:c r="G336" s="73" t="n">
        <x:v>51</x:v>
      </x:c>
      <x:c r="H336" s="73" t="n">
        <x:v>7</x:v>
      </x:c>
      <x:c r="I336" s="73"/>
      <x:c r="J336" s="73" t="n">
        <x:v>0</x:v>
      </x:c>
      <x:c r="K336" s="49" t="str">
        <x:v>Government</x:v>
      </x:c>
      <x:c r="L336" s="49" t="str">
        <x:v>MS Seats : 51+ EWS : 7</x:v>
      </x:c>
      <x:c r="M336" s="49" t="str">
        <x:v>https://dse2025.mahacet.org.in/dse25/admin/allotment/cap2/3042_4.pdf</x:v>
      </x:c>
    </x:row>
    <x:row r="337">
      <x:c r="A337" s="49" t="str">
        <x:v>2025-26</x:v>
      </x:c>
      <x:c r="B337" s="63" t="n">
        <x:v>3042</x:v>
      </x:c>
      <x:c r="C337" s="49" t="str">
        <x:v>Loknete Shamrao Peje Government College of Engineering, Ratnagiri</x:v>
      </x:c>
      <x:c r="D337" s="72" t="n">
        <x:v>304262410</x:v>
      </x:c>
      <x:c r="E337" s="49" t="str">
        <x:v>Mechatronics Engineering</x:v>
      </x:c>
      <x:c r="F337" s="73" t="n">
        <x:v>44</x:v>
      </x:c>
      <x:c r="G337" s="73" t="n">
        <x:v>37</x:v>
      </x:c>
      <x:c r="H337" s="73" t="n">
        <x:v>7</x:v>
      </x:c>
      <x:c r="I337" s="73"/>
      <x:c r="J337" s="73" t="n">
        <x:v>0</x:v>
      </x:c>
      <x:c r="K337" s="49" t="str">
        <x:v>Government</x:v>
      </x:c>
      <x:c r="L337" s="49" t="str">
        <x:v>MS Seats : 37+ EWS : 7</x:v>
      </x:c>
      <x:c r="M337" s="49" t="str">
        <x:v>https://dse2025.mahacet.org.in/dse25/admin/allotment/cap2/3042_4.pdf</x:v>
      </x:c>
    </x:row>
    <x:row r="338">
      <x:c r="A338" s="49" t="str">
        <x:v>2025-26</x:v>
      </x:c>
      <x:c r="B338" s="63" t="n">
        <x:v>3042</x:v>
      </x:c>
      <x:c r="C338" s="49" t="str">
        <x:v>Loknete Shamrao Peje Government College of Engineering, Ratnagiri</x:v>
      </x:c>
      <x:c r="D338" s="72" t="n">
        <x:v>304291810</x:v>
      </x:c>
      <x:c r="E338" s="49" t="str">
        <x:v>Civil and infrastructure Engineering</x:v>
      </x:c>
      <x:c r="F338" s="73" t="n">
        <x:v>47</x:v>
      </x:c>
      <x:c r="G338" s="73" t="n">
        <x:v>41</x:v>
      </x:c>
      <x:c r="H338" s="73" t="n">
        <x:v>6</x:v>
      </x:c>
      <x:c r="I338" s="73"/>
      <x:c r="J338" s="73" t="n">
        <x:v>0</x:v>
      </x:c>
      <x:c r="K338" s="49" t="str">
        <x:v>Government</x:v>
      </x:c>
      <x:c r="L338" s="49" t="str">
        <x:v>MS Seats : 41+ EWS : 6</x:v>
      </x:c>
      <x:c r="M338" s="49" t="str">
        <x:v>https://dse2025.mahacet.org.in/dse25/admin/allotment/cap2/3042_4.pdf</x:v>
      </x:c>
    </x:row>
    <x:row r="339">
      <x:c r="A339" s="49" t="str">
        <x:v>2025-26</x:v>
      </x:c>
      <x:c r="B339" s="63" t="n">
        <x:v>3042</x:v>
      </x:c>
      <x:c r="C339" s="49" t="str">
        <x:v>Loknete Shamrao Peje Government College of Engineering, Ratnagiri</x:v>
      </x:c>
      <x:c r="D339" s="72" t="n">
        <x:v>304299510</x:v>
      </x:c>
      <x:c r="E339" s="49" t="str">
        <x:v>Artificial Intelligence and Data Science</x:v>
      </x:c>
      <x:c r="F339" s="73" t="n">
        <x:v>13</x:v>
      </x:c>
      <x:c r="G339" s="73" t="n">
        <x:v>11</x:v>
      </x:c>
      <x:c r="H339" s="73" t="n">
        <x:v>2</x:v>
      </x:c>
      <x:c r="I339" s="73"/>
      <x:c r="J339" s="73" t="n">
        <x:v>0</x:v>
      </x:c>
      <x:c r="K339" s="49" t="str">
        <x:v>Government</x:v>
      </x:c>
      <x:c r="L339" s="49" t="str">
        <x:v>MS Seats : 11+ EWS : 2</x:v>
      </x:c>
      <x:c r="M339" s="49" t="str">
        <x:v>https://dse2025.mahacet.org.in/dse25/admin/allotment/cap2/3042_4.pdf</x:v>
      </x:c>
    </x:row>
    <x:row r="340">
      <x:c r="A340" s="49" t="str">
        <x:v>2025-26</x:v>
      </x:c>
      <x:c r="B340" s="63" t="n">
        <x:v>3135</x:v>
      </x:c>
      <x:c r="C340" s="49" t="str">
        <x:v>Manjara Charitable Trust's Rajiv Gandhi Institute of Technology, Mumbai</x:v>
      </x:c>
      <x:c r="D340" s="72" t="n">
        <x:v>313524510</x:v>
      </x:c>
      <x:c r="E340" s="49" t="str">
        <x:v>Computer Engineering</x:v>
      </x:c>
      <x:c r="F340" s="73" t="n">
        <x:v>17</x:v>
      </x:c>
      <x:c r="G340" s="73" t="n">
        <x:v>13</x:v>
      </x:c>
      <x:c r="H340" s="73" t="n">
        <x:v>4</x:v>
      </x:c>
      <x:c r="I340" s="73"/>
      <x:c r="J340" s="73" t="n">
        <x:v>0</x:v>
      </x:c>
      <x:c r="K340" s="49" t="str">
        <x:v>Un-Aided</x:v>
      </x:c>
      <x:c r="L340" s="49" t="str">
        <x:v>MS Seats : 13+ EWS : 4</x:v>
      </x:c>
      <x:c r="M340" s="49" t="str">
        <x:v>https://dse2025.mahacet.org.in/dse25/admin/allotment/cap2/3135_4.pdf</x:v>
      </x:c>
    </x:row>
    <x:row r="341">
      <x:c r="A341" s="49" t="str">
        <x:v>2025-26</x:v>
      </x:c>
      <x:c r="B341" s="63" t="n">
        <x:v>3135</x:v>
      </x:c>
      <x:c r="C341" s="49" t="str">
        <x:v>Manjara Charitable Trust's Rajiv Gandhi Institute of Technology, Mumbai</x:v>
      </x:c>
      <x:c r="D341" s="72" t="n">
        <x:v>313524610</x:v>
      </x:c>
      <x:c r="E341" s="49" t="str">
        <x:v>Information Technology</x:v>
      </x:c>
      <x:c r="F341" s="73" t="n">
        <x:v>18</x:v>
      </x:c>
      <x:c r="G341" s="73" t="n">
        <x:v>13</x:v>
      </x:c>
      <x:c r="H341" s="73" t="n">
        <x:v>5</x:v>
      </x:c>
      <x:c r="I341" s="73"/>
      <x:c r="J341" s="73" t="n">
        <x:v>0</x:v>
      </x:c>
      <x:c r="K341" s="49" t="str">
        <x:v>Un-Aided</x:v>
      </x:c>
      <x:c r="L341" s="49" t="str">
        <x:v>MS Seats : 13+ EWS : 5</x:v>
      </x:c>
      <x:c r="M341" s="49" t="str">
        <x:v>https://dse2025.mahacet.org.in/dse25/admin/allotment/cap2/3135_4.pdf</x:v>
      </x:c>
    </x:row>
    <x:row r="342">
      <x:c r="A342" s="49" t="str">
        <x:v>2025-26</x:v>
      </x:c>
      <x:c r="B342" s="63" t="n">
        <x:v>3135</x:v>
      </x:c>
      <x:c r="C342" s="49" t="str">
        <x:v>Manjara Charitable Trust's Rajiv Gandhi Institute of Technology, Mumbai</x:v>
      </x:c>
      <x:c r="D342" s="72" t="n">
        <x:v>313537210</x:v>
      </x:c>
      <x:c r="E342" s="49" t="str">
        <x:v>Electronics and Telecommunication Engg</x:v>
      </x:c>
      <x:c r="F342" s="73" t="n">
        <x:v>23</x:v>
      </x:c>
      <x:c r="G342" s="73" t="n">
        <x:v>15</x:v>
      </x:c>
      <x:c r="H342" s="73" t="n">
        <x:v>8</x:v>
      </x:c>
      <x:c r="I342" s="73"/>
      <x:c r="J342" s="73" t="n">
        <x:v>0</x:v>
      </x:c>
      <x:c r="K342" s="49" t="str">
        <x:v>Un-Aided</x:v>
      </x:c>
      <x:c r="L342" s="49" t="str">
        <x:v>MS Seats : 15+ EWS : 8</x:v>
      </x:c>
      <x:c r="M342" s="49" t="str">
        <x:v>https://dse2025.mahacet.org.in/dse25/admin/allotment/cap2/3135_4.pdf</x:v>
      </x:c>
    </x:row>
    <x:row r="343">
      <x:c r="A343" s="49" t="str">
        <x:v>2025-26</x:v>
      </x:c>
      <x:c r="B343" s="63" t="n">
        <x:v>3135</x:v>
      </x:c>
      <x:c r="C343" s="49" t="str">
        <x:v>Manjara Charitable Trust's Rajiv Gandhi Institute of Technology, Mumbai</x:v>
      </x:c>
      <x:c r="D343" s="72" t="n">
        <x:v>313561210</x:v>
      </x:c>
      <x:c r="E343" s="49" t="str">
        <x:v>Mechanical Engineering</x:v>
      </x:c>
      <x:c r="F343" s="73" t="n">
        <x:v>26</x:v>
      </x:c>
      <x:c r="G343" s="73" t="n">
        <x:v>21</x:v>
      </x:c>
      <x:c r="H343" s="73" t="n">
        <x:v>5</x:v>
      </x:c>
      <x:c r="I343" s="73"/>
      <x:c r="J343" s="73" t="n">
        <x:v>0</x:v>
      </x:c>
      <x:c r="K343" s="49" t="str">
        <x:v>Un-Aided</x:v>
      </x:c>
      <x:c r="L343" s="49" t="str">
        <x:v>MS Seats : 21+ EWS : 5</x:v>
      </x:c>
      <x:c r="M343" s="49" t="str">
        <x:v>https://dse2025.mahacet.org.in/dse25/admin/allotment/cap2/3135_4.pdf</x:v>
      </x:c>
    </x:row>
    <x:row r="344">
      <x:c r="A344" s="49" t="str">
        <x:v>2025-26</x:v>
      </x:c>
      <x:c r="B344" s="63" t="n">
        <x:v>3135</x:v>
      </x:c>
      <x:c r="C344" s="49" t="str">
        <x:v>Manjara Charitable Trust's Rajiv Gandhi Institute of Technology, Mumbai</x:v>
      </x:c>
      <x:c r="D344" s="72" t="n">
        <x:v>313599510</x:v>
      </x:c>
      <x:c r="E344" s="49" t="str">
        <x:v>Artificial Intelligence and Data Science</x:v>
      </x:c>
      <x:c r="F344" s="73" t="n">
        <x:v>8</x:v>
      </x:c>
      <x:c r="G344" s="73" t="n">
        <x:v>7</x:v>
      </x:c>
      <x:c r="H344" s="73" t="n">
        <x:v>1</x:v>
      </x:c>
      <x:c r="I344" s="73"/>
      <x:c r="J344" s="73" t="n">
        <x:v>0</x:v>
      </x:c>
      <x:c r="K344" s="49" t="str">
        <x:v>Un-Aided</x:v>
      </x:c>
      <x:c r="L344" s="49" t="str">
        <x:v>MS Seats : 7+ EWS : 1</x:v>
      </x:c>
      <x:c r="M344" s="49" t="str">
        <x:v>https://dse2025.mahacet.org.in/dse25/admin/allotment/cap2/3135_4.pdf</x:v>
      </x:c>
    </x:row>
    <x:row r="345">
      <x:c r="A345" s="49" t="str">
        <x:v>2025-26</x:v>
      </x:c>
      <x:c r="B345" s="63" t="n">
        <x:v>3139</x:v>
      </x:c>
      <x:c r="C345" s="49" t="str">
        <x:v>Vidyalankar Institute of Technology,Wadala, Mumbai</x:v>
      </x:c>
      <x:c r="D345" s="72" t="n">
        <x:v>313924510</x:v>
      </x:c>
      <x:c r="E345" s="49" t="str">
        <x:v>Computer Engineering</x:v>
      </x:c>
      <x:c r="F345" s="73" t="n">
        <x:v>32</x:v>
      </x:c>
      <x:c r="G345" s="73" t="n">
        <x:v>22</x:v>
      </x:c>
      <x:c r="H345" s="73" t="n">
        <x:v>10</x:v>
      </x:c>
      <x:c r="I345" s="73"/>
      <x:c r="J345" s="73" t="n">
        <x:v>0</x:v>
      </x:c>
      <x:c r="K345" s="49" t="str">
        <x:v>Un-Aided Autonomous</x:v>
      </x:c>
      <x:c r="L345" s="49" t="str">
        <x:v>MS Seats : 22+ EWS : 10</x:v>
      </x:c>
      <x:c r="M345" s="49" t="str">
        <x:v>https://dse2025.mahacet.org.in/dse25/admin/allotment/cap2/3139_4.pdf</x:v>
      </x:c>
    </x:row>
    <x:row r="346">
      <x:c r="A346" s="49" t="str">
        <x:v>2025-26</x:v>
      </x:c>
      <x:c r="B346" s="63" t="n">
        <x:v>3139</x:v>
      </x:c>
      <x:c r="C346" s="49" t="str">
        <x:v>Vidyalankar Institute of Technology,Wadala, Mumbai</x:v>
      </x:c>
      <x:c r="D346" s="72" t="n">
        <x:v>313924610</x:v>
      </x:c>
      <x:c r="E346" s="49" t="str">
        <x:v>Information Technology</x:v>
      </x:c>
      <x:c r="F346" s="73" t="n">
        <x:v>26</x:v>
      </x:c>
      <x:c r="G346" s="73" t="n">
        <x:v>22</x:v>
      </x:c>
      <x:c r="H346" s="73" t="n">
        <x:v>4</x:v>
      </x:c>
      <x:c r="I346" s="73"/>
      <x:c r="J346" s="73" t="n">
        <x:v>0</x:v>
      </x:c>
      <x:c r="K346" s="49" t="str">
        <x:v>Un-Aided Autonomous</x:v>
      </x:c>
      <x:c r="L346" s="49" t="str">
        <x:v>MS Seats : 22+ EWS : 4</x:v>
      </x:c>
      <x:c r="M346" s="49" t="str">
        <x:v>https://dse2025.mahacet.org.in/dse25/admin/allotment/cap2/3139_4.pdf</x:v>
      </x:c>
    </x:row>
    <x:row r="347">
      <x:c r="A347" s="49" t="str">
        <x:v>2025-26</x:v>
      </x:c>
      <x:c r="B347" s="63" t="n">
        <x:v>3139</x:v>
      </x:c>
      <x:c r="C347" s="49" t="str">
        <x:v>Vidyalankar Institute of Technology,Wadala, Mumbai</x:v>
      </x:c>
      <x:c r="D347" s="72" t="n">
        <x:v>313937210</x:v>
      </x:c>
      <x:c r="E347" s="49" t="str">
        <x:v>Electronics and Telecommunication Engg</x:v>
      </x:c>
      <x:c r="F347" s="73" t="n">
        <x:v>20</x:v>
      </x:c>
      <x:c r="G347" s="73" t="n">
        <x:v>13</x:v>
      </x:c>
      <x:c r="H347" s="73" t="n">
        <x:v>7</x:v>
      </x:c>
      <x:c r="I347" s="73"/>
      <x:c r="J347" s="73" t="n">
        <x:v>0</x:v>
      </x:c>
      <x:c r="K347" s="49" t="str">
        <x:v>Un-Aided Autonomous</x:v>
      </x:c>
      <x:c r="L347" s="49" t="str">
        <x:v>MS Seats : 13+ EWS : 7</x:v>
      </x:c>
      <x:c r="M347" s="49" t="str">
        <x:v>https://dse2025.mahacet.org.in/dse25/admin/allotment/cap2/3139_4.pdf</x:v>
      </x:c>
    </x:row>
    <x:row r="348">
      <x:c r="A348" s="49" t="str">
        <x:v>2025-26</x:v>
      </x:c>
      <x:c r="B348" s="63" t="n">
        <x:v>3139</x:v>
      </x:c>
      <x:c r="C348" s="49" t="str">
        <x:v>Vidyalankar Institute of Technology,Wadala, Mumbai</x:v>
      </x:c>
      <x:c r="D348" s="72" t="n">
        <x:v>313946110</x:v>
      </x:c>
      <x:c r="E348" s="49" t="str">
        <x:v>Bio Medical Engineering</x:v>
      </x:c>
      <x:c r="F348" s="73" t="n">
        <x:v>15</x:v>
      </x:c>
      <x:c r="G348" s="73" t="n">
        <x:v>8</x:v>
      </x:c>
      <x:c r="H348" s="73" t="n">
        <x:v>7</x:v>
      </x:c>
      <x:c r="I348" s="73"/>
      <x:c r="J348" s="73" t="n">
        <x:v>0</x:v>
      </x:c>
      <x:c r="K348" s="49" t="str">
        <x:v>Un-Aided Autonomous</x:v>
      </x:c>
      <x:c r="L348" s="49" t="str">
        <x:v>MS Seats : 8+ EWS : 7</x:v>
      </x:c>
      <x:c r="M348" s="49" t="str">
        <x:v>https://dse2025.mahacet.org.in/dse25/admin/allotment/cap2/3139_4.pdf</x:v>
      </x:c>
    </x:row>
    <x:row r="349">
      <x:c r="A349" s="49" t="str">
        <x:v>2025-26</x:v>
      </x:c>
      <x:c r="B349" s="63" t="n">
        <x:v>3139</x:v>
      </x:c>
      <x:c r="C349" s="49" t="str">
        <x:v>Vidyalankar Institute of Technology,Wadala, Mumbai</x:v>
      </x:c>
      <x:c r="D349" s="72" t="n">
        <x:v>313990010</x:v>
      </x:c>
      <x:c r="E349" s="49" t="str">
        <x:v>Electronics and Computer Science</x:v>
      </x:c>
      <x:c r="F349" s="73" t="n">
        <x:v>18</x:v>
      </x:c>
      <x:c r="G349" s="73" t="n">
        <x:v>13</x:v>
      </x:c>
      <x:c r="H349" s="73" t="n">
        <x:v>5</x:v>
      </x:c>
      <x:c r="I349" s="73"/>
      <x:c r="J349" s="73" t="n">
        <x:v>0</x:v>
      </x:c>
      <x:c r="K349" s="49" t="str">
        <x:v>Un-Aided Autonomous</x:v>
      </x:c>
      <x:c r="L349" s="49" t="str">
        <x:v>MS Seats : 13+ EWS : 5</x:v>
      </x:c>
      <x:c r="M349" s="49" t="str">
        <x:v>https://dse2025.mahacet.org.in/dse25/admin/allotment/cap2/3139_4.pdf</x:v>
      </x:c>
    </x:row>
    <x:row r="350">
      <x:c r="A350" s="49" t="str">
        <x:v>2025-26</x:v>
      </x:c>
      <x:c r="B350" s="63" t="n">
        <x:v>3143</x:v>
      </x:c>
      <x:c r="C350" s="49" t="str">
        <x:v>Thakur Shyamnarayan Engineering College, Mumbai</x:v>
      </x:c>
      <x:c r="D350" s="72" t="n">
        <x:v>314324510</x:v>
      </x:c>
      <x:c r="E350" s="49" t="str">
        <x:v>Computer Engineering</x:v>
      </x:c>
      <x:c r="F350" s="73" t="n">
        <x:v>6</x:v>
      </x:c>
      <x:c r="G350" s="73" t="n">
        <x:v>2</x:v>
      </x:c>
      <x:c r="H350" s="73"/>
      <x:c r="I350" s="73" t="n">
        <x:v>4</x:v>
      </x:c>
      <x:c r="J350" s="73" t="n">
        <x:v>0</x:v>
      </x:c>
      <x:c r="K350" s="49" t="str">
        <x:v>Un-Aided Linguistic Minority - Hindi</x:v>
      </x:c>
      <x:c r="L350" s="49" t="str">
        <x:v>MS Seats : 2 + Minority Seats : 4</x:v>
      </x:c>
      <x:c r="M350" s="49" t="str">
        <x:v>https://dse2025.mahacet.org.in/dse25/admin/allotment/cap2/3143_4.pdf</x:v>
      </x:c>
    </x:row>
    <x:row r="351">
      <x:c r="A351" s="49" t="str">
        <x:v>2025-26</x:v>
      </x:c>
      <x:c r="B351" s="63" t="n">
        <x:v>3143</x:v>
      </x:c>
      <x:c r="C351" s="49" t="str">
        <x:v>Thakur Shyamnarayan Engineering College, Mumbai</x:v>
      </x:c>
      <x:c r="D351" s="72" t="n">
        <x:v>314324610</x:v>
      </x:c>
      <x:c r="E351" s="49" t="str">
        <x:v>Information Technology</x:v>
      </x:c>
      <x:c r="F351" s="73" t="n">
        <x:v>6</x:v>
      </x:c>
      <x:c r="G351" s="73" t="n">
        <x:v>2</x:v>
      </x:c>
      <x:c r="H351" s="73"/>
      <x:c r="I351" s="73" t="n">
        <x:v>4</x:v>
      </x:c>
      <x:c r="J351" s="73" t="n">
        <x:v>0</x:v>
      </x:c>
      <x:c r="K351" s="49" t="str">
        <x:v>Un-Aided Linguistic Minority - Hindi</x:v>
      </x:c>
      <x:c r="L351" s="49" t="str">
        <x:v>MS Seats : 2 + Minority Seats : 4</x:v>
      </x:c>
      <x:c r="M351" s="49" t="str">
        <x:v>https://dse2025.mahacet.org.in/dse25/admin/allotment/cap2/3143_4.pdf</x:v>
      </x:c>
    </x:row>
    <x:row r="352">
      <x:c r="A352" s="49" t="str">
        <x:v>2025-26</x:v>
      </x:c>
      <x:c r="B352" s="63" t="n">
        <x:v>3143</x:v>
      </x:c>
      <x:c r="C352" s="49" t="str">
        <x:v>Thakur Shyamnarayan Engineering College, Mumbai</x:v>
      </x:c>
      <x:c r="D352" s="72" t="n">
        <x:v>314361210</x:v>
      </x:c>
      <x:c r="E352" s="49" t="str">
        <x:v>Mechanical Engineering</x:v>
      </x:c>
      <x:c r="F352" s="73" t="n">
        <x:v>23</x:v>
      </x:c>
      <x:c r="G352" s="73" t="n">
        <x:v>11</x:v>
      </x:c>
      <x:c r="H352" s="73"/>
      <x:c r="I352" s="73" t="n">
        <x:v>12</x:v>
      </x:c>
      <x:c r="J352" s="73" t="n">
        <x:v>0</x:v>
      </x:c>
      <x:c r="K352" s="49" t="str">
        <x:v>Un-Aided Linguistic Minority - Hindi</x:v>
      </x:c>
      <x:c r="L352" s="49" t="str">
        <x:v>MS Seats : 11 + Minority Seats : 12</x:v>
      </x:c>
      <x:c r="M352" s="49" t="str">
        <x:v>https://dse2025.mahacet.org.in/dse25/admin/allotment/cap2/3143_4.pdf</x:v>
      </x:c>
    </x:row>
    <x:row r="353">
      <x:c r="A353" s="49" t="str">
        <x:v>2025-26</x:v>
      </x:c>
      <x:c r="B353" s="63" t="n">
        <x:v>3143</x:v>
      </x:c>
      <x:c r="C353" s="49" t="str">
        <x:v>Thakur Shyamnarayan Engineering College, Mumbai</x:v>
      </x:c>
      <x:c r="D353" s="72" t="n">
        <x:v>314384410</x:v>
      </x:c>
      <x:c r="E353" s="49" t="str">
        <x:v>Electronics and Computer Engineering</x:v>
      </x:c>
      <x:c r="F353" s="73" t="n">
        <x:v>6</x:v>
      </x:c>
      <x:c r="G353" s="73" t="n">
        <x:v>2</x:v>
      </x:c>
      <x:c r="H353" s="73"/>
      <x:c r="I353" s="73" t="n">
        <x:v>4</x:v>
      </x:c>
      <x:c r="J353" s="73" t="n">
        <x:v>0</x:v>
      </x:c>
      <x:c r="K353" s="49" t="str">
        <x:v>Un-Aided Linguistic Minority - Hindi</x:v>
      </x:c>
      <x:c r="L353" s="49" t="str">
        <x:v>MS Seats : 2 + Minority Seats : 4</x:v>
      </x:c>
      <x:c r="M353" s="49" t="str">
        <x:v>https://dse2025.mahacet.org.in/dse25/admin/allotment/cap2/3143_4.pdf</x:v>
      </x:c>
    </x:row>
    <x:row r="354">
      <x:c r="A354" s="49" t="str">
        <x:v>2025-26</x:v>
      </x:c>
      <x:c r="B354" s="63" t="n">
        <x:v>3143</x:v>
      </x:c>
      <x:c r="C354" s="49" t="str">
        <x:v>Thakur Shyamnarayan Engineering College, Mumbai</x:v>
      </x:c>
      <x:c r="D354" s="72" t="n">
        <x:v>314391110</x:v>
      </x:c>
      <x:c r="E354" s="49" t="str">
        <x:v>Computer Science and Engineering(Artificial Intelligence and Machine Learning)</x:v>
      </x:c>
      <x:c r="F354" s="73" t="n">
        <x:v>6</x:v>
      </x:c>
      <x:c r="G354" s="73" t="n">
        <x:v>2</x:v>
      </x:c>
      <x:c r="H354" s="73"/>
      <x:c r="I354" s="73" t="n">
        <x:v>4</x:v>
      </x:c>
      <x:c r="J354" s="73" t="n">
        <x:v>0</x:v>
      </x:c>
      <x:c r="K354" s="49" t="str">
        <x:v>Un-Aided Linguistic Minority - Hindi</x:v>
      </x:c>
      <x:c r="L354" s="49" t="str">
        <x:v>MS Seats : 2 + Minority Seats : 4</x:v>
      </x:c>
      <x:c r="M354" s="49" t="str">
        <x:v>https://dse2025.mahacet.org.in/dse25/admin/allotment/cap2/3143_4.pdf</x:v>
      </x:c>
    </x:row>
    <x:row r="355">
      <x:c r="A355" s="49" t="str">
        <x:v>2025-26</x:v>
      </x:c>
      <x:c r="B355" s="63" t="n">
        <x:v>3146</x:v>
      </x:c>
      <x:c r="C355" s="49" t="str">
        <x:v>Jawahar Education Society's Annasaheb Chudaman Patil College of Engineering,Kharghar, Navi Mumbai</x:v>
      </x:c>
      <x:c r="D355" s="72" t="n">
        <x:v>314624510</x:v>
      </x:c>
      <x:c r="E355" s="49" t="str">
        <x:v>Computer Engineering</x:v>
      </x:c>
      <x:c r="F355" s="73" t="n">
        <x:v>16</x:v>
      </x:c>
      <x:c r="G355" s="73" t="n">
        <x:v>13</x:v>
      </x:c>
      <x:c r="H355" s="73" t="n">
        <x:v>3</x:v>
      </x:c>
      <x:c r="I355" s="73"/>
      <x:c r="J355" s="73" t="n">
        <x:v>0</x:v>
      </x:c>
      <x:c r="K355" s="49" t="str">
        <x:v>Un-Aided</x:v>
      </x:c>
      <x:c r="L355" s="49" t="str">
        <x:v>MS Seats : 13+ EWS : 3</x:v>
      </x:c>
      <x:c r="M355" s="49" t="str">
        <x:v>https://dse2025.mahacet.org.in/dse25/admin/allotment/cap2/3146_4.pdf</x:v>
      </x:c>
    </x:row>
    <x:row r="356">
      <x:c r="A356" s="49" t="str">
        <x:v>2025-26</x:v>
      </x:c>
      <x:c r="B356" s="63" t="n">
        <x:v>3146</x:v>
      </x:c>
      <x:c r="C356" s="49" t="str">
        <x:v>Jawahar Education Society's Annasaheb Chudaman Patil College of Engineering,Kharghar, Navi Mumbai</x:v>
      </x:c>
      <x:c r="D356" s="72" t="n">
        <x:v>314624610</x:v>
      </x:c>
      <x:c r="E356" s="49" t="str">
        <x:v>Information Technology</x:v>
      </x:c>
      <x:c r="F356" s="73" t="n">
        <x:v>13</x:v>
      </x:c>
      <x:c r="G356" s="73" t="n">
        <x:v>10</x:v>
      </x:c>
      <x:c r="H356" s="73" t="n">
        <x:v>3</x:v>
      </x:c>
      <x:c r="I356" s="73"/>
      <x:c r="J356" s="73" t="n">
        <x:v>0</x:v>
      </x:c>
      <x:c r="K356" s="49" t="str">
        <x:v>Un-Aided</x:v>
      </x:c>
      <x:c r="L356" s="49" t="str">
        <x:v>MS Seats : 10+ EWS : 3</x:v>
      </x:c>
      <x:c r="M356" s="49" t="str">
        <x:v>https://dse2025.mahacet.org.in/dse25/admin/allotment/cap2/3146_4.pdf</x:v>
      </x:c>
    </x:row>
    <x:row r="357">
      <x:c r="A357" s="49" t="str">
        <x:v>2025-26</x:v>
      </x:c>
      <x:c r="B357" s="63" t="n">
        <x:v>3146</x:v>
      </x:c>
      <x:c r="C357" s="49" t="str">
        <x:v>Jawahar Education Society's Annasaheb Chudaman Patil College of Engineering,Kharghar, Navi Mumbai</x:v>
      </x:c>
      <x:c r="D357" s="72" t="n">
        <x:v>314629310</x:v>
      </x:c>
      <x:c r="E357" s="49" t="str">
        <x:v>Electrical Engineering</x:v>
      </x:c>
      <x:c r="F357" s="73" t="n">
        <x:v>22</x:v>
      </x:c>
      <x:c r="G357" s="73" t="n">
        <x:v>15</x:v>
      </x:c>
      <x:c r="H357" s="73" t="n">
        <x:v>7</x:v>
      </x:c>
      <x:c r="I357" s="73"/>
      <x:c r="J357" s="73" t="n">
        <x:v>0</x:v>
      </x:c>
      <x:c r="K357" s="49" t="str">
        <x:v>Un-Aided</x:v>
      </x:c>
      <x:c r="L357" s="49" t="str">
        <x:v>MS Seats : 15+ EWS : 7</x:v>
      </x:c>
      <x:c r="M357" s="49" t="str">
        <x:v>https://dse2025.mahacet.org.in/dse25/admin/allotment/cap2/3146_4.pdf</x:v>
      </x:c>
    </x:row>
    <x:row r="358">
      <x:c r="A358" s="49" t="str">
        <x:v>2025-26</x:v>
      </x:c>
      <x:c r="B358" s="63" t="n">
        <x:v>3146</x:v>
      </x:c>
      <x:c r="C358" s="49" t="str">
        <x:v>Jawahar Education Society's Annasaheb Chudaman Patil College of Engineering,Kharghar, Navi Mumbai</x:v>
      </x:c>
      <x:c r="D358" s="72" t="n">
        <x:v>314637210</x:v>
      </x:c>
      <x:c r="E358" s="49" t="str">
        <x:v>Electronics and Telecommunication Engg</x:v>
      </x:c>
      <x:c r="F358" s="73" t="n">
        <x:v>13</x:v>
      </x:c>
      <x:c r="G358" s="73" t="n">
        <x:v>9</x:v>
      </x:c>
      <x:c r="H358" s="73" t="n">
        <x:v>4</x:v>
      </x:c>
      <x:c r="I358" s="73"/>
      <x:c r="J358" s="73" t="n">
        <x:v>0</x:v>
      </x:c>
      <x:c r="K358" s="49" t="str">
        <x:v>Un-Aided</x:v>
      </x:c>
      <x:c r="L358" s="49" t="str">
        <x:v>MS Seats : 9+ EWS : 4</x:v>
      </x:c>
      <x:c r="M358" s="49" t="str">
        <x:v>https://dse2025.mahacet.org.in/dse25/admin/allotment/cap2/3146_4.pdf</x:v>
      </x:c>
    </x:row>
    <x:row r="359">
      <x:c r="A359" s="49" t="str">
        <x:v>2025-26</x:v>
      </x:c>
      <x:c r="B359" s="63" t="n">
        <x:v>3146</x:v>
      </x:c>
      <x:c r="C359" s="49" t="str">
        <x:v>Jawahar Education Society's Annasaheb Chudaman Patil College of Engineering,Kharghar, Navi Mumbai</x:v>
      </x:c>
      <x:c r="D359" s="72" t="n">
        <x:v>314661210</x:v>
      </x:c>
      <x:c r="E359" s="49" t="str">
        <x:v>Mechanical Engineering</x:v>
      </x:c>
      <x:c r="F359" s="73" t="n">
        <x:v>14</x:v>
      </x:c>
      <x:c r="G359" s="73" t="n">
        <x:v>11</x:v>
      </x:c>
      <x:c r="H359" s="73" t="n">
        <x:v>3</x:v>
      </x:c>
      <x:c r="I359" s="73"/>
      <x:c r="J359" s="73" t="n">
        <x:v>0</x:v>
      </x:c>
      <x:c r="K359" s="49" t="str">
        <x:v>Un-Aided</x:v>
      </x:c>
      <x:c r="L359" s="49" t="str">
        <x:v>MS Seats : 11+ EWS : 3</x:v>
      </x:c>
      <x:c r="M359" s="49" t="str">
        <x:v>https://dse2025.mahacet.org.in/dse25/admin/allotment/cap2/3146_4.pdf</x:v>
      </x:c>
    </x:row>
    <x:row r="360">
      <x:c r="A360" s="49" t="str">
        <x:v>2025-26</x:v>
      </x:c>
      <x:c r="B360" s="63" t="n">
        <x:v>3146</x:v>
      </x:c>
      <x:c r="C360" s="49" t="str">
        <x:v>Jawahar Education Society's Annasaheb Chudaman Patil College of Engineering,Kharghar, Navi Mumbai</x:v>
      </x:c>
      <x:c r="D360" s="72" t="n">
        <x:v>314692010</x:v>
      </x:c>
      <x:c r="E360" s="49" t="str">
        <x:v>Computer Science and Engineering (Internet of Things and Cyber Security Including Block Chain Technology)</x:v>
      </x:c>
      <x:c r="F360" s="73" t="n">
        <x:v>12</x:v>
      </x:c>
      <x:c r="G360" s="73" t="n">
        <x:v>7</x:v>
      </x:c>
      <x:c r="H360" s="73" t="n">
        <x:v>5</x:v>
      </x:c>
      <x:c r="I360" s="73"/>
      <x:c r="J360" s="73" t="n">
        <x:v>0</x:v>
      </x:c>
      <x:c r="K360" s="49" t="str">
        <x:v>Un-Aided</x:v>
      </x:c>
      <x:c r="L360" s="49" t="str">
        <x:v>MS Seats : 7+ EWS : 5</x:v>
      </x:c>
      <x:c r="M360" s="49" t="str">
        <x:v>https://dse2025.mahacet.org.in/dse25/admin/allotment/cap2/3146_4.pdf</x:v>
      </x:c>
    </x:row>
    <x:row r="361">
      <x:c r="A361" s="49" t="str">
        <x:v>2025-26</x:v>
      </x:c>
      <x:c r="B361" s="63" t="n">
        <x:v>3146</x:v>
      </x:c>
      <x:c r="C361" s="49" t="str">
        <x:v>Jawahar Education Society's Annasaheb Chudaman Patil College of Engineering,Kharghar, Navi Mumbai</x:v>
      </x:c>
      <x:c r="D361" s="72" t="n">
        <x:v>314699510</x:v>
      </x:c>
      <x:c r="E361" s="49" t="str">
        <x:v>Artificial Intelligence and Data Science</x:v>
      </x:c>
      <x:c r="F361" s="73" t="n">
        <x:v>19</x:v>
      </x:c>
      <x:c r="G361" s="73" t="n">
        <x:v>14</x:v>
      </x:c>
      <x:c r="H361" s="73" t="n">
        <x:v>5</x:v>
      </x:c>
      <x:c r="I361" s="73"/>
      <x:c r="J361" s="73" t="n">
        <x:v>0</x:v>
      </x:c>
      <x:c r="K361" s="49" t="str">
        <x:v>Un-Aided</x:v>
      </x:c>
      <x:c r="L361" s="49" t="str">
        <x:v>MS Seats : 14+ EWS : 5</x:v>
      </x:c>
      <x:c r="M361" s="49" t="str">
        <x:v>https://dse2025.mahacet.org.in/dse25/admin/allotment/cap2/3146_4.pdf</x:v>
      </x:c>
    </x:row>
    <x:row r="362">
      <x:c r="A362" s="49" t="str">
        <x:v>2025-26</x:v>
      </x:c>
      <x:c r="B362" s="63" t="n">
        <x:v>3147</x:v>
      </x:c>
      <x:c r="C362" s="49" t="str">
        <x:v>Saraswati Education Society, Yadavrao Tasgaonkar Institute of Engineering &amp; Technology, Karjat</x:v>
      </x:c>
      <x:c r="D362" s="72" t="n">
        <x:v>314719110</x:v>
      </x:c>
      <x:c r="E362" s="49" t="str">
        <x:v>Civil Engineering</x:v>
      </x:c>
      <x:c r="F362" s="73" t="n">
        <x:v>35</x:v>
      </x:c>
      <x:c r="G362" s="73" t="n">
        <x:v>32</x:v>
      </x:c>
      <x:c r="H362" s="73" t="n">
        <x:v>3</x:v>
      </x:c>
      <x:c r="I362" s="73"/>
      <x:c r="J362" s="73" t="n">
        <x:v>0</x:v>
      </x:c>
      <x:c r="K362" s="49" t="str">
        <x:v>Un-Aided</x:v>
      </x:c>
      <x:c r="L362" s="49" t="str">
        <x:v>MS Seats : 32+ EWS : 3</x:v>
      </x:c>
      <x:c r="M362" s="49" t="str">
        <x:v>https://dse2025.mahacet.org.in/dse25/admin/allotment/cap2/3147_4.pdf</x:v>
      </x:c>
    </x:row>
    <x:row r="363">
      <x:c r="A363" s="49" t="str">
        <x:v>2025-26</x:v>
      </x:c>
      <x:c r="B363" s="63" t="n">
        <x:v>3147</x:v>
      </x:c>
      <x:c r="C363" s="49" t="str">
        <x:v>Saraswati Education Society, Yadavrao Tasgaonkar Institute of Engineering &amp; Technology, Karjat</x:v>
      </x:c>
      <x:c r="D363" s="72" t="n">
        <x:v>314724510</x:v>
      </x:c>
      <x:c r="E363" s="49" t="str">
        <x:v>Computer Engineering</x:v>
      </x:c>
      <x:c r="F363" s="73" t="n">
        <x:v>45</x:v>
      </x:c>
      <x:c r="G363" s="73" t="n">
        <x:v>38</x:v>
      </x:c>
      <x:c r="H363" s="73" t="n">
        <x:v>7</x:v>
      </x:c>
      <x:c r="I363" s="73"/>
      <x:c r="J363" s="73" t="n">
        <x:v>0</x:v>
      </x:c>
      <x:c r="K363" s="49" t="str">
        <x:v>Un-Aided</x:v>
      </x:c>
      <x:c r="L363" s="49" t="str">
        <x:v>MS Seats : 38+ EWS : 7</x:v>
      </x:c>
      <x:c r="M363" s="49" t="str">
        <x:v>https://dse2025.mahacet.org.in/dse25/admin/allotment/cap2/3147_4.pdf</x:v>
      </x:c>
    </x:row>
    <x:row r="364">
      <x:c r="A364" s="49" t="str">
        <x:v>2025-26</x:v>
      </x:c>
      <x:c r="B364" s="63" t="n">
        <x:v>3147</x:v>
      </x:c>
      <x:c r="C364" s="49" t="str">
        <x:v>Saraswati Education Society, Yadavrao Tasgaonkar Institute of Engineering &amp; Technology, Karjat</x:v>
      </x:c>
      <x:c r="D364" s="72" t="n">
        <x:v>314724610</x:v>
      </x:c>
      <x:c r="E364" s="49" t="str">
        <x:v>Information Technology</x:v>
      </x:c>
      <x:c r="F364" s="73" t="n">
        <x:v>59</x:v>
      </x:c>
      <x:c r="G364" s="73" t="n">
        <x:v>52</x:v>
      </x:c>
      <x:c r="H364" s="73" t="n">
        <x:v>7</x:v>
      </x:c>
      <x:c r="I364" s="73"/>
      <x:c r="J364" s="73" t="n">
        <x:v>0</x:v>
      </x:c>
      <x:c r="K364" s="49" t="str">
        <x:v>Un-Aided</x:v>
      </x:c>
      <x:c r="L364" s="49" t="str">
        <x:v>MS Seats : 52+ EWS : 7</x:v>
      </x:c>
      <x:c r="M364" s="49" t="str">
        <x:v>https://dse2025.mahacet.org.in/dse25/admin/allotment/cap2/3147_4.pdf</x:v>
      </x:c>
    </x:row>
    <x:row r="365">
      <x:c r="A365" s="49" t="str">
        <x:v>2025-26</x:v>
      </x:c>
      <x:c r="B365" s="63" t="n">
        <x:v>3147</x:v>
      </x:c>
      <x:c r="C365" s="49" t="str">
        <x:v>Saraswati Education Society, Yadavrao Tasgaonkar Institute of Engineering &amp; Technology, Karjat</x:v>
      </x:c>
      <x:c r="D365" s="72" t="n">
        <x:v>314729310</x:v>
      </x:c>
      <x:c r="E365" s="49" t="str">
        <x:v>Electrical Engineering</x:v>
      </x:c>
      <x:c r="F365" s="73" t="n">
        <x:v>30</x:v>
      </x:c>
      <x:c r="G365" s="73" t="n">
        <x:v>27</x:v>
      </x:c>
      <x:c r="H365" s="73" t="n">
        <x:v>3</x:v>
      </x:c>
      <x:c r="I365" s="73"/>
      <x:c r="J365" s="73" t="n">
        <x:v>0</x:v>
      </x:c>
      <x:c r="K365" s="49" t="str">
        <x:v>Un-Aided</x:v>
      </x:c>
      <x:c r="L365" s="49" t="str">
        <x:v>MS Seats : 27+ EWS : 3</x:v>
      </x:c>
      <x:c r="M365" s="49" t="str">
        <x:v>https://dse2025.mahacet.org.in/dse25/admin/allotment/cap2/3147_4.pdf</x:v>
      </x:c>
    </x:row>
    <x:row r="366">
      <x:c r="A366" s="49" t="str">
        <x:v>2025-26</x:v>
      </x:c>
      <x:c r="B366" s="63" t="n">
        <x:v>3147</x:v>
      </x:c>
      <x:c r="C366" s="49" t="str">
        <x:v>Saraswati Education Society, Yadavrao Tasgaonkar Institute of Engineering &amp; Technology, Karjat</x:v>
      </x:c>
      <x:c r="D366" s="72" t="n">
        <x:v>314761210</x:v>
      </x:c>
      <x:c r="E366" s="49" t="str">
        <x:v>Mechanical Engineering</x:v>
      </x:c>
      <x:c r="F366" s="73" t="n">
        <x:v>73</x:v>
      </x:c>
      <x:c r="G366" s="73" t="n">
        <x:v>66</x:v>
      </x:c>
      <x:c r="H366" s="73" t="n">
        <x:v>7</x:v>
      </x:c>
      <x:c r="I366" s="73"/>
      <x:c r="J366" s="73" t="n">
        <x:v>0</x:v>
      </x:c>
      <x:c r="K366" s="49" t="str">
        <x:v>Un-Aided</x:v>
      </x:c>
      <x:c r="L366" s="49" t="str">
        <x:v>MS Seats : 66+ EWS : 7</x:v>
      </x:c>
      <x:c r="M366" s="49" t="str">
        <x:v>https://dse2025.mahacet.org.in/dse25/admin/allotment/cap2/3147_4.pdf</x:v>
      </x:c>
    </x:row>
    <x:row r="367">
      <x:c r="A367" s="49" t="str">
        <x:v>2025-26</x:v>
      </x:c>
      <x:c r="B367" s="63" t="n">
        <x:v>3147</x:v>
      </x:c>
      <x:c r="C367" s="49" t="str">
        <x:v>Saraswati Education Society, Yadavrao Tasgaonkar Institute of Engineering &amp; Technology, Karjat</x:v>
      </x:c>
      <x:c r="D367" s="72" t="n">
        <x:v>314791710</x:v>
      </x:c>
      <x:c r="E367" s="49" t="str">
        <x:v>Data Science</x:v>
      </x:c>
      <x:c r="F367" s="73" t="n">
        <x:v>28</x:v>
      </x:c>
      <x:c r="G367" s="73" t="n">
        <x:v>25</x:v>
      </x:c>
      <x:c r="H367" s="73" t="n">
        <x:v>3</x:v>
      </x:c>
      <x:c r="I367" s="73"/>
      <x:c r="J367" s="73" t="n">
        <x:v>0</x:v>
      </x:c>
      <x:c r="K367" s="49" t="str">
        <x:v>Un-Aided</x:v>
      </x:c>
      <x:c r="L367" s="49" t="str">
        <x:v>MS Seats : 25+ EWS : 3</x:v>
      </x:c>
      <x:c r="M367" s="49" t="str">
        <x:v>https://dse2025.mahacet.org.in/dse25/admin/allotment/cap2/3147_4.pdf</x:v>
      </x:c>
    </x:row>
    <x:row r="368">
      <x:c r="A368" s="49" t="str">
        <x:v>2025-26</x:v>
      </x:c>
      <x:c r="B368" s="63" t="n">
        <x:v>3147</x:v>
      </x:c>
      <x:c r="C368" s="49" t="str">
        <x:v>Saraswati Education Society, Yadavrao Tasgaonkar Institute of Engineering &amp; Technology, Karjat</x:v>
      </x:c>
      <x:c r="D368" s="72" t="n">
        <x:v>314792110</x:v>
      </x:c>
      <x:c r="E368" s="49" t="str">
        <x:v>Artificial Intelligence and Machine Learning</x:v>
      </x:c>
      <x:c r="F368" s="73" t="n">
        <x:v>23</x:v>
      </x:c>
      <x:c r="G368" s="73" t="n">
        <x:v>19</x:v>
      </x:c>
      <x:c r="H368" s="73" t="n">
        <x:v>4</x:v>
      </x:c>
      <x:c r="I368" s="73"/>
      <x:c r="J368" s="73" t="n">
        <x:v>0</x:v>
      </x:c>
      <x:c r="K368" s="49" t="str">
        <x:v>Un-Aided</x:v>
      </x:c>
      <x:c r="L368" s="49" t="str">
        <x:v>MS Seats : 19+ EWS : 4</x:v>
      </x:c>
      <x:c r="M368" s="49" t="str">
        <x:v>https://dse2025.mahacet.org.in/dse25/admin/allotment/cap2/3147_4.pdf</x:v>
      </x:c>
    </x:row>
    <x:row r="369">
      <x:c r="A369" s="49" t="str">
        <x:v>2025-26</x:v>
      </x:c>
      <x:c r="B369" s="63" t="n">
        <x:v>3148</x:v>
      </x:c>
      <x:c r="C369" s="49" t="str">
        <x:v>Mahavir Education Trust's Shah &amp; Anchor Kutchhi Engineering College, Mumbai</x:v>
      </x:c>
      <x:c r="D369" s="72" t="n">
        <x:v>314824510</x:v>
      </x:c>
      <x:c r="E369" s="49" t="str">
        <x:v>Computer Engineering</x:v>
      </x:c>
      <x:c r="F369" s="73" t="n">
        <x:v>18</x:v>
      </x:c>
      <x:c r="G369" s="73" t="n">
        <x:v>8</x:v>
      </x:c>
      <x:c r="H369" s="73"/>
      <x:c r="I369" s="73" t="n">
        <x:v>10</x:v>
      </x:c>
      <x:c r="J369" s="73" t="n">
        <x:v>0</x:v>
      </x:c>
      <x:c r="K369" s="49" t="str">
        <x:v>Un-Aided Autonomous Linguistic Minority - Gujarathi(Jain)</x:v>
      </x:c>
      <x:c r="L369" s="49" t="str">
        <x:v>MS Seats : 8 + Minority Seats : 10</x:v>
      </x:c>
      <x:c r="M369" s="49" t="str">
        <x:v>https://dse2025.mahacet.org.in/dse25/admin/allotment/cap2/3148_4.pdf</x:v>
      </x:c>
    </x:row>
    <x:row r="370">
      <x:c r="A370" s="49" t="str">
        <x:v>2025-26</x:v>
      </x:c>
      <x:c r="B370" s="63" t="n">
        <x:v>3148</x:v>
      </x:c>
      <x:c r="C370" s="49" t="str">
        <x:v>Mahavir Education Trust's Shah &amp; Anchor Kutchhi Engineering College, Mumbai</x:v>
      </x:c>
      <x:c r="D370" s="72" t="n">
        <x:v>314824610</x:v>
      </x:c>
      <x:c r="E370" s="49" t="str">
        <x:v>Information Technology</x:v>
      </x:c>
      <x:c r="F370" s="73" t="n">
        <x:v>13</x:v>
      </x:c>
      <x:c r="G370" s="73" t="n">
        <x:v>6</x:v>
      </x:c>
      <x:c r="H370" s="73"/>
      <x:c r="I370" s="73" t="n">
        <x:v>7</x:v>
      </x:c>
      <x:c r="J370" s="73" t="n">
        <x:v>0</x:v>
      </x:c>
      <x:c r="K370" s="49" t="str">
        <x:v>Un-Aided Autonomous Linguistic Minority - Gujarathi(Jain)</x:v>
      </x:c>
      <x:c r="L370" s="49" t="str">
        <x:v>MS Seats : 6 + Minority Seats : 7</x:v>
      </x:c>
      <x:c r="M370" s="49" t="str">
        <x:v>https://dse2025.mahacet.org.in/dse25/admin/allotment/cap2/3148_4.pdf</x:v>
      </x:c>
    </x:row>
    <x:row r="371">
      <x:c r="A371" s="49" t="str">
        <x:v>2025-26</x:v>
      </x:c>
      <x:c r="B371" s="63" t="n">
        <x:v>3148</x:v>
      </x:c>
      <x:c r="C371" s="49" t="str">
        <x:v>Mahavir Education Trust's Shah &amp; Anchor Kutchhi Engineering College, Mumbai</x:v>
      </x:c>
      <x:c r="D371" s="72" t="n">
        <x:v>314825210</x:v>
      </x:c>
      <x:c r="E371" s="49" t="str">
        <x:v>Cyber Security</x:v>
      </x:c>
      <x:c r="F371" s="73" t="n">
        <x:v>6</x:v>
      </x:c>
      <x:c r="G371" s="73" t="n">
        <x:v>2</x:v>
      </x:c>
      <x:c r="H371" s="73"/>
      <x:c r="I371" s="73" t="n">
        <x:v>4</x:v>
      </x:c>
      <x:c r="J371" s="73" t="n">
        <x:v>0</x:v>
      </x:c>
      <x:c r="K371" s="49" t="str">
        <x:v>Un-Aided Autonomous Linguistic Minority - Gujarathi(Jain)</x:v>
      </x:c>
      <x:c r="L371" s="49" t="str">
        <x:v>MS Seats : 2 + Minority Seats : 4</x:v>
      </x:c>
      <x:c r="M371" s="49" t="str">
        <x:v>https://dse2025.mahacet.org.in/dse25/admin/allotment/cap2/3148_4.pdf</x:v>
      </x:c>
    </x:row>
    <x:row r="372">
      <x:c r="A372" s="49" t="str">
        <x:v>2025-26</x:v>
      </x:c>
      <x:c r="B372" s="63" t="n">
        <x:v>3148</x:v>
      </x:c>
      <x:c r="C372" s="49" t="str">
        <x:v>Mahavir Education Trust's Shah &amp; Anchor Kutchhi Engineering College, Mumbai</x:v>
      </x:c>
      <x:c r="D372" s="72" t="n">
        <x:v>314837210</x:v>
      </x:c>
      <x:c r="E372" s="49" t="str">
        <x:v>Electronics and Telecommunication Engg</x:v>
      </x:c>
      <x:c r="F372" s="73" t="n">
        <x:v>6</x:v>
      </x:c>
      <x:c r="G372" s="73" t="n">
        <x:v>2</x:v>
      </x:c>
      <x:c r="H372" s="73"/>
      <x:c r="I372" s="73" t="n">
        <x:v>4</x:v>
      </x:c>
      <x:c r="J372" s="73" t="n">
        <x:v>0</x:v>
      </x:c>
      <x:c r="K372" s="49" t="str">
        <x:v>Un-Aided Autonomous Linguistic Minority - Gujarathi(Jain)</x:v>
      </x:c>
      <x:c r="L372" s="49" t="str">
        <x:v>MS Seats : 2 + Minority Seats : 4</x:v>
      </x:c>
      <x:c r="M372" s="49" t="str">
        <x:v>https://dse2025.mahacet.org.in/dse25/admin/allotment/cap2/3148_4.pdf</x:v>
      </x:c>
    </x:row>
    <x:row r="373">
      <x:c r="A373" s="49" t="str">
        <x:v>2025-26</x:v>
      </x:c>
      <x:c r="B373" s="63" t="n">
        <x:v>3148</x:v>
      </x:c>
      <x:c r="C373" s="49" t="str">
        <x:v>Mahavir Education Trust's Shah &amp; Anchor Kutchhi Engineering College, Mumbai</x:v>
      </x:c>
      <x:c r="D373" s="72" t="n">
        <x:v>314837810</x:v>
      </x:c>
      <x:c r="E373" s="49" t="str">
        <x:v>Electronics Engineering ( VLSI Design and Technology)</x:v>
      </x:c>
      <x:c r="F373" s="73" t="n">
        <x:v>6</x:v>
      </x:c>
      <x:c r="G373" s="73" t="n">
        <x:v>2</x:v>
      </x:c>
      <x:c r="H373" s="73"/>
      <x:c r="I373" s="73" t="n">
        <x:v>4</x:v>
      </x:c>
      <x:c r="J373" s="73" t="n">
        <x:v>0</x:v>
      </x:c>
      <x:c r="K373" s="49" t="str">
        <x:v>Un-Aided Autonomous Linguistic Minority - Gujarathi(Jain)</x:v>
      </x:c>
      <x:c r="L373" s="49" t="str">
        <x:v>MS Seats : 2 + Minority Seats : 4</x:v>
      </x:c>
      <x:c r="M373" s="49" t="str">
        <x:v>https://dse2025.mahacet.org.in/dse25/admin/allotment/cap2/3148_4.pdf</x:v>
      </x:c>
    </x:row>
    <x:row r="374">
      <x:c r="A374" s="49" t="str">
        <x:v>2025-26</x:v>
      </x:c>
      <x:c r="B374" s="63" t="n">
        <x:v>3148</x:v>
      </x:c>
      <x:c r="C374" s="49" t="str">
        <x:v>Mahavir Education Trust's Shah &amp; Anchor Kutchhi Engineering College, Mumbai</x:v>
      </x:c>
      <x:c r="D374" s="72" t="n">
        <x:v>314890010</x:v>
      </x:c>
      <x:c r="E374" s="49" t="str">
        <x:v>Electronics and Computer Science</x:v>
      </x:c>
      <x:c r="F374" s="73" t="n">
        <x:v>13</x:v>
      </x:c>
      <x:c r="G374" s="73" t="n">
        <x:v>6</x:v>
      </x:c>
      <x:c r="H374" s="73"/>
      <x:c r="I374" s="73" t="n">
        <x:v>7</x:v>
      </x:c>
      <x:c r="J374" s="73" t="n">
        <x:v>0</x:v>
      </x:c>
      <x:c r="K374" s="49" t="str">
        <x:v>Un-Aided Autonomous Linguistic Minority - Gujarathi(Jain)</x:v>
      </x:c>
      <x:c r="L374" s="49" t="str">
        <x:v>MS Seats : 6 + Minority Seats : 7</x:v>
      </x:c>
      <x:c r="M374" s="49" t="str">
        <x:v>https://dse2025.mahacet.org.in/dse25/admin/allotment/cap2/3148_4.pdf</x:v>
      </x:c>
    </x:row>
    <x:row r="375">
      <x:c r="A375" s="49" t="str">
        <x:v>2025-26</x:v>
      </x:c>
      <x:c r="B375" s="63" t="n">
        <x:v>3148</x:v>
      </x:c>
      <x:c r="C375" s="49" t="str">
        <x:v>Mahavir Education Trust's Shah &amp; Anchor Kutchhi Engineering College, Mumbai</x:v>
      </x:c>
      <x:c r="D375" s="72" t="n">
        <x:v>314893310</x:v>
      </x:c>
      <x:c r="E375" s="49" t="str">
        <x:v>Electronics and Communication (Advanced Communication Technology)</x:v>
      </x:c>
      <x:c r="F375" s="73" t="n">
        <x:v>6</x:v>
      </x:c>
      <x:c r="G375" s="73" t="n">
        <x:v>2</x:v>
      </x:c>
      <x:c r="H375" s="73"/>
      <x:c r="I375" s="73" t="n">
        <x:v>4</x:v>
      </x:c>
      <x:c r="J375" s="73" t="n">
        <x:v>0</x:v>
      </x:c>
      <x:c r="K375" s="49" t="str">
        <x:v>Un-Aided Autonomous Linguistic Minority - Gujarathi(Jain)</x:v>
      </x:c>
      <x:c r="L375" s="49" t="str">
        <x:v>MS Seats : 2 + Minority Seats : 4</x:v>
      </x:c>
      <x:c r="M375" s="49" t="str">
        <x:v>https://dse2025.mahacet.org.in/dse25/admin/allotment/cap2/3148_4.pdf</x:v>
      </x:c>
    </x:row>
    <x:row r="376">
      <x:c r="A376" s="49" t="str">
        <x:v>2025-26</x:v>
      </x:c>
      <x:c r="B376" s="63" t="n">
        <x:v>3148</x:v>
      </x:c>
      <x:c r="C376" s="49" t="str">
        <x:v>Mahavir Education Trust's Shah &amp; Anchor Kutchhi Engineering College, Mumbai</x:v>
      </x:c>
      <x:c r="D376" s="72" t="n">
        <x:v>314899510</x:v>
      </x:c>
      <x:c r="E376" s="49" t="str">
        <x:v>Artificial Intelligence and Data Science</x:v>
      </x:c>
      <x:c r="F376" s="73" t="n">
        <x:v>6</x:v>
      </x:c>
      <x:c r="G376" s="73" t="n">
        <x:v>2</x:v>
      </x:c>
      <x:c r="H376" s="73"/>
      <x:c r="I376" s="73" t="n">
        <x:v>4</x:v>
      </x:c>
      <x:c r="J376" s="73" t="n">
        <x:v>0</x:v>
      </x:c>
      <x:c r="K376" s="49" t="str">
        <x:v>Un-Aided Autonomous Linguistic Minority - Gujarathi(Jain)</x:v>
      </x:c>
      <x:c r="L376" s="49" t="str">
        <x:v>MS Seats : 2 + Minority Seats : 4</x:v>
      </x:c>
      <x:c r="M376" s="49" t="str">
        <x:v>https://dse2025.mahacet.org.in/dse25/admin/allotment/cap2/3148_4.pdf</x:v>
      </x:c>
    </x:row>
    <x:row r="377">
      <x:c r="A377" s="49" t="str">
        <x:v>2025-26</x:v>
      </x:c>
      <x:c r="B377" s="63" t="n">
        <x:v>3154</x:v>
      </x:c>
      <x:c r="C377" s="49" t="str">
        <x:v>Saraswati Education Society's Saraswati College of Engineering,Kharghar Navi Mumbai</x:v>
      </x:c>
      <x:c r="D377" s="72" t="n">
        <x:v>315419110</x:v>
      </x:c>
      <x:c r="E377" s="49" t="str">
        <x:v>Civil Engineering</x:v>
      </x:c>
      <x:c r="F377" s="73" t="n">
        <x:v>56</x:v>
      </x:c>
      <x:c r="G377" s="73" t="n">
        <x:v>48</x:v>
      </x:c>
      <x:c r="H377" s="73" t="n">
        <x:v>8</x:v>
      </x:c>
      <x:c r="I377" s="73"/>
      <x:c r="J377" s="73" t="n">
        <x:v>0</x:v>
      </x:c>
      <x:c r="K377" s="49" t="str">
        <x:v>Un-Aided</x:v>
      </x:c>
      <x:c r="L377" s="49" t="str">
        <x:v>MS Seats : 48+ EWS : 8</x:v>
      </x:c>
      <x:c r="M377" s="49" t="str">
        <x:v>https://dse2025.mahacet.org.in/dse25/admin/allotment/cap2/3154_4.pdf</x:v>
      </x:c>
    </x:row>
    <x:row r="378">
      <x:c r="A378" s="49" t="str">
        <x:v>2025-26</x:v>
      </x:c>
      <x:c r="B378" s="63" t="n">
        <x:v>3154</x:v>
      </x:c>
      <x:c r="C378" s="49" t="str">
        <x:v>Saraswati Education Society's Saraswati College of Engineering,Kharghar Navi Mumbai</x:v>
      </x:c>
      <x:c r="D378" s="72" t="n">
        <x:v>315424510</x:v>
      </x:c>
      <x:c r="E378" s="49" t="str">
        <x:v>Computer Engineering</x:v>
      </x:c>
      <x:c r="F378" s="73" t="n">
        <x:v>20</x:v>
      </x:c>
      <x:c r="G378" s="73" t="n">
        <x:v>13</x:v>
      </x:c>
      <x:c r="H378" s="73" t="n">
        <x:v>7</x:v>
      </x:c>
      <x:c r="I378" s="73"/>
      <x:c r="J378" s="73" t="n">
        <x:v>0</x:v>
      </x:c>
      <x:c r="K378" s="49" t="str">
        <x:v>Un-Aided</x:v>
      </x:c>
      <x:c r="L378" s="49" t="str">
        <x:v>MS Seats : 13+ EWS : 7</x:v>
      </x:c>
      <x:c r="M378" s="49" t="str">
        <x:v>https://dse2025.mahacet.org.in/dse25/admin/allotment/cap2/3154_4.pdf</x:v>
      </x:c>
    </x:row>
    <x:row r="379">
      <x:c r="A379" s="49" t="str">
        <x:v>2025-26</x:v>
      </x:c>
      <x:c r="B379" s="63" t="n">
        <x:v>3154</x:v>
      </x:c>
      <x:c r="C379" s="49" t="str">
        <x:v>Saraswati Education Society's Saraswati College of Engineering,Kharghar Navi Mumbai</x:v>
      </x:c>
      <x:c r="D379" s="72" t="n">
        <x:v>315424610</x:v>
      </x:c>
      <x:c r="E379" s="49" t="str">
        <x:v>Information Technology</x:v>
      </x:c>
      <x:c r="F379" s="73" t="n">
        <x:v>19</x:v>
      </x:c>
      <x:c r="G379" s="73" t="n">
        <x:v>14</x:v>
      </x:c>
      <x:c r="H379" s="73" t="n">
        <x:v>5</x:v>
      </x:c>
      <x:c r="I379" s="73"/>
      <x:c r="J379" s="73" t="n">
        <x:v>0</x:v>
      </x:c>
      <x:c r="K379" s="49" t="str">
        <x:v>Un-Aided</x:v>
      </x:c>
      <x:c r="L379" s="49" t="str">
        <x:v>MS Seats : 14+ EWS : 5</x:v>
      </x:c>
      <x:c r="M379" s="49" t="str">
        <x:v>https://dse2025.mahacet.org.in/dse25/admin/allotment/cap2/3154_4.pdf</x:v>
      </x:c>
    </x:row>
    <x:row r="380">
      <x:c r="A380" s="49" t="str">
        <x:v>2025-26</x:v>
      </x:c>
      <x:c r="B380" s="63" t="n">
        <x:v>3154</x:v>
      </x:c>
      <x:c r="C380" s="49" t="str">
        <x:v>Saraswati Education Society's Saraswati College of Engineering,Kharghar Navi Mumbai</x:v>
      </x:c>
      <x:c r="D380" s="72" t="n">
        <x:v>315460210</x:v>
      </x:c>
      <x:c r="E380" s="49" t="str">
        <x:v>Automobile Engineering</x:v>
      </x:c>
      <x:c r="F380" s="73" t="n">
        <x:v>13</x:v>
      </x:c>
      <x:c r="G380" s="73" t="n">
        <x:v>10</x:v>
      </x:c>
      <x:c r="H380" s="73" t="n">
        <x:v>3</x:v>
      </x:c>
      <x:c r="I380" s="73"/>
      <x:c r="J380" s="73" t="n">
        <x:v>0</x:v>
      </x:c>
      <x:c r="K380" s="49" t="str">
        <x:v>Un-Aided</x:v>
      </x:c>
      <x:c r="L380" s="49" t="str">
        <x:v>MS Seats : 10+ EWS : 3</x:v>
      </x:c>
      <x:c r="M380" s="49" t="str">
        <x:v>https://dse2025.mahacet.org.in/dse25/admin/allotment/cap2/3154_4.pdf</x:v>
      </x:c>
    </x:row>
    <x:row r="381">
      <x:c r="A381" s="49" t="str">
        <x:v>2025-26</x:v>
      </x:c>
      <x:c r="B381" s="63" t="n">
        <x:v>3154</x:v>
      </x:c>
      <x:c r="C381" s="49" t="str">
        <x:v>Saraswati Education Society's Saraswati College of Engineering,Kharghar Navi Mumbai</x:v>
      </x:c>
      <x:c r="D381" s="72" t="n">
        <x:v>315461210</x:v>
      </x:c>
      <x:c r="E381" s="49" t="str">
        <x:v>Mechanical Engineering</x:v>
      </x:c>
      <x:c r="F381" s="73" t="n">
        <x:v>27</x:v>
      </x:c>
      <x:c r="G381" s="73" t="n">
        <x:v>22</x:v>
      </x:c>
      <x:c r="H381" s="73" t="n">
        <x:v>5</x:v>
      </x:c>
      <x:c r="I381" s="73"/>
      <x:c r="J381" s="73" t="n">
        <x:v>0</x:v>
      </x:c>
      <x:c r="K381" s="49" t="str">
        <x:v>Un-Aided</x:v>
      </x:c>
      <x:c r="L381" s="49" t="str">
        <x:v>MS Seats : 22+ EWS : 5</x:v>
      </x:c>
      <x:c r="M381" s="49" t="str">
        <x:v>https://dse2025.mahacet.org.in/dse25/admin/allotment/cap2/3154_4.pdf</x:v>
      </x:c>
    </x:row>
    <x:row r="382">
      <x:c r="A382" s="49" t="str">
        <x:v>2025-26</x:v>
      </x:c>
      <x:c r="B382" s="63" t="n">
        <x:v>3154</x:v>
      </x:c>
      <x:c r="C382" s="49" t="str">
        <x:v>Saraswati Education Society's Saraswati College of Engineering,Kharghar Navi Mumbai</x:v>
      </x:c>
      <x:c r="D382" s="72" t="n">
        <x:v>315491110</x:v>
      </x:c>
      <x:c r="E382" s="49" t="str">
        <x:v>Computer Science and Engineering(Artificial Intelligence and Machine Learning)</x:v>
      </x:c>
      <x:c r="F382" s="73" t="n">
        <x:v>20</x:v>
      </x:c>
      <x:c r="G382" s="73" t="n">
        <x:v>13</x:v>
      </x:c>
      <x:c r="H382" s="73" t="n">
        <x:v>7</x:v>
      </x:c>
      <x:c r="I382" s="73"/>
      <x:c r="J382" s="73" t="n">
        <x:v>0</x:v>
      </x:c>
      <x:c r="K382" s="49" t="str">
        <x:v>Un-Aided</x:v>
      </x:c>
      <x:c r="L382" s="49" t="str">
        <x:v>MS Seats : 13+ EWS : 7</x:v>
      </x:c>
      <x:c r="M382" s="49" t="str">
        <x:v>https://dse2025.mahacet.org.in/dse25/admin/allotment/cap2/3154_4.pdf</x:v>
      </x:c>
    </x:row>
    <x:row r="383">
      <x:c r="A383" s="49" t="str">
        <x:v>2025-26</x:v>
      </x:c>
      <x:c r="B383" s="63" t="n">
        <x:v>3154</x:v>
      </x:c>
      <x:c r="C383" s="49" t="str">
        <x:v>Saraswati Education Society's Saraswati College of Engineering,Kharghar Navi Mumbai</x:v>
      </x:c>
      <x:c r="D383" s="72" t="n">
        <x:v>315491210</x:v>
      </x:c>
      <x:c r="E383" s="49" t="str">
        <x:v>Computer Science and Engineering(Data Science)</x:v>
      </x:c>
      <x:c r="F383" s="73" t="n">
        <x:v>12</x:v>
      </x:c>
      <x:c r="G383" s="73" t="n">
        <x:v>7</x:v>
      </x:c>
      <x:c r="H383" s="73" t="n">
        <x:v>5</x:v>
      </x:c>
      <x:c r="I383" s="73"/>
      <x:c r="J383" s="73" t="n">
        <x:v>0</x:v>
      </x:c>
      <x:c r="K383" s="49" t="str">
        <x:v>Un-Aided</x:v>
      </x:c>
      <x:c r="L383" s="49" t="str">
        <x:v>MS Seats : 7+ EWS : 5</x:v>
      </x:c>
      <x:c r="M383" s="49" t="str">
        <x:v>https://dse2025.mahacet.org.in/dse25/admin/allotment/cap2/3154_4.pdf</x:v>
      </x:c>
    </x:row>
    <x:row r="384">
      <x:c r="A384" s="49" t="str">
        <x:v>2025-26</x:v>
      </x:c>
      <x:c r="B384" s="63" t="n">
        <x:v>3175</x:v>
      </x:c>
      <x:c r="C384" s="49" t="str">
        <x:v>M.G.M.'s College of Engineering and Technology, Kamothe, Navi Mumbai</x:v>
      </x:c>
      <x:c r="D384" s="72" t="n">
        <x:v>317519110</x:v>
      </x:c>
      <x:c r="E384" s="49" t="str">
        <x:v>Civil Engineering</x:v>
      </x:c>
      <x:c r="F384" s="73" t="n">
        <x:v>37</x:v>
      </x:c>
      <x:c r="G384" s="73" t="n">
        <x:v>31</x:v>
      </x:c>
      <x:c r="H384" s="73" t="n">
        <x:v>6</x:v>
      </x:c>
      <x:c r="I384" s="73"/>
      <x:c r="J384" s="73" t="n">
        <x:v>0</x:v>
      </x:c>
      <x:c r="K384" s="49" t="str">
        <x:v>Un-Aided</x:v>
      </x:c>
      <x:c r="L384" s="49" t="str">
        <x:v>MS Seats : 31+ EWS : 6</x:v>
      </x:c>
      <x:c r="M384" s="49" t="str">
        <x:v>https://dse2025.mahacet.org.in/dse25/admin/allotment/cap2/3175_4.pdf</x:v>
      </x:c>
    </x:row>
    <x:row r="385">
      <x:c r="A385" s="49" t="str">
        <x:v>2025-26</x:v>
      </x:c>
      <x:c r="B385" s="63" t="n">
        <x:v>3175</x:v>
      </x:c>
      <x:c r="C385" s="49" t="str">
        <x:v>M.G.M.'s College of Engineering and Technology, Kamothe, Navi Mumbai</x:v>
      </x:c>
      <x:c r="D385" s="72" t="n">
        <x:v>317524510</x:v>
      </x:c>
      <x:c r="E385" s="49" t="str">
        <x:v>Computer Engineering</x:v>
      </x:c>
      <x:c r="F385" s="73" t="n">
        <x:v>28</x:v>
      </x:c>
      <x:c r="G385" s="73" t="n">
        <x:v>22</x:v>
      </x:c>
      <x:c r="H385" s="73" t="n">
        <x:v>6</x:v>
      </x:c>
      <x:c r="I385" s="73"/>
      <x:c r="J385" s="73" t="n">
        <x:v>0</x:v>
      </x:c>
      <x:c r="K385" s="49" t="str">
        <x:v>Un-Aided</x:v>
      </x:c>
      <x:c r="L385" s="49" t="str">
        <x:v>MS Seats : 22+ EWS : 6</x:v>
      </x:c>
      <x:c r="M385" s="49" t="str">
        <x:v>https://dse2025.mahacet.org.in/dse25/admin/allotment/cap2/3175_4.pdf</x:v>
      </x:c>
    </x:row>
    <x:row r="386">
      <x:c r="A386" s="49" t="str">
        <x:v>2025-26</x:v>
      </x:c>
      <x:c r="B386" s="63" t="n">
        <x:v>3175</x:v>
      </x:c>
      <x:c r="C386" s="49" t="str">
        <x:v>M.G.M.'s College of Engineering and Technology, Kamothe, Navi Mumbai</x:v>
      </x:c>
      <x:c r="D386" s="72" t="n">
        <x:v>317524610</x:v>
      </x:c>
      <x:c r="E386" s="49" t="str">
        <x:v>Information Technology</x:v>
      </x:c>
      <x:c r="F386" s="73" t="n">
        <x:v>14</x:v>
      </x:c>
      <x:c r="G386" s="73" t="n">
        <x:v>13</x:v>
      </x:c>
      <x:c r="H386" s="73" t="n">
        <x:v>1</x:v>
      </x:c>
      <x:c r="I386" s="73"/>
      <x:c r="J386" s="73" t="n">
        <x:v>0</x:v>
      </x:c>
      <x:c r="K386" s="49" t="str">
        <x:v>Un-Aided</x:v>
      </x:c>
      <x:c r="L386" s="49" t="str">
        <x:v>MS Seats : 13+ EWS : 1</x:v>
      </x:c>
      <x:c r="M386" s="49" t="str">
        <x:v>https://dse2025.mahacet.org.in/dse25/admin/allotment/cap2/3175_4.pdf</x:v>
      </x:c>
    </x:row>
    <x:row r="387">
      <x:c r="A387" s="49" t="str">
        <x:v>2025-26</x:v>
      </x:c>
      <x:c r="B387" s="63" t="n">
        <x:v>3175</x:v>
      </x:c>
      <x:c r="C387" s="49" t="str">
        <x:v>M.G.M.'s College of Engineering and Technology, Kamothe, Navi Mumbai</x:v>
      </x:c>
      <x:c r="D387" s="72" t="n">
        <x:v>317529310</x:v>
      </x:c>
      <x:c r="E387" s="49" t="str">
        <x:v>Electrical Engineering</x:v>
      </x:c>
      <x:c r="F387" s="73" t="n">
        <x:v>39</x:v>
      </x:c>
      <x:c r="G387" s="73" t="n">
        <x:v>36</x:v>
      </x:c>
      <x:c r="H387" s="73" t="n">
        <x:v>3</x:v>
      </x:c>
      <x:c r="I387" s="73"/>
      <x:c r="J387" s="73" t="n">
        <x:v>0</x:v>
      </x:c>
      <x:c r="K387" s="49" t="str">
        <x:v>Un-Aided</x:v>
      </x:c>
      <x:c r="L387" s="49" t="str">
        <x:v>MS Seats : 36+ EWS : 3</x:v>
      </x:c>
      <x:c r="M387" s="49" t="str">
        <x:v>https://dse2025.mahacet.org.in/dse25/admin/allotment/cap2/3175_4.pdf</x:v>
      </x:c>
    </x:row>
    <x:row r="388">
      <x:c r="A388" s="49" t="str">
        <x:v>2025-26</x:v>
      </x:c>
      <x:c r="B388" s="63" t="n">
        <x:v>3175</x:v>
      </x:c>
      <x:c r="C388" s="49" t="str">
        <x:v>M.G.M.'s College of Engineering and Technology, Kamothe, Navi Mumbai</x:v>
      </x:c>
      <x:c r="D388" s="72" t="n">
        <x:v>317537210</x:v>
      </x:c>
      <x:c r="E388" s="49" t="str">
        <x:v>Electronics and Telecommunication Engg</x:v>
      </x:c>
      <x:c r="F388" s="73" t="n">
        <x:v>31</x:v>
      </x:c>
      <x:c r="G388" s="73" t="n">
        <x:v>27</x:v>
      </x:c>
      <x:c r="H388" s="73" t="n">
        <x:v>4</x:v>
      </x:c>
      <x:c r="I388" s="73"/>
      <x:c r="J388" s="73" t="n">
        <x:v>0</x:v>
      </x:c>
      <x:c r="K388" s="49" t="str">
        <x:v>Un-Aided</x:v>
      </x:c>
      <x:c r="L388" s="49" t="str">
        <x:v>MS Seats : 27+ EWS : 4</x:v>
      </x:c>
      <x:c r="M388" s="49" t="str">
        <x:v>https://dse2025.mahacet.org.in/dse25/admin/allotment/cap2/3175_4.pdf</x:v>
      </x:c>
    </x:row>
    <x:row r="389">
      <x:c r="A389" s="49" t="str">
        <x:v>2025-26</x:v>
      </x:c>
      <x:c r="B389" s="63" t="n">
        <x:v>3175</x:v>
      </x:c>
      <x:c r="C389" s="49" t="str">
        <x:v>M.G.M.'s College of Engineering and Technology, Kamothe, Navi Mumbai</x:v>
      </x:c>
      <x:c r="D389" s="72" t="n">
        <x:v>317546110</x:v>
      </x:c>
      <x:c r="E389" s="49" t="str">
        <x:v>Bio Medical Engineering</x:v>
      </x:c>
      <x:c r="F389" s="73" t="n">
        <x:v>13</x:v>
      </x:c>
      <x:c r="G389" s="73" t="n">
        <x:v>11</x:v>
      </x:c>
      <x:c r="H389" s="73" t="n">
        <x:v>2</x:v>
      </x:c>
      <x:c r="I389" s="73"/>
      <x:c r="J389" s="73" t="n">
        <x:v>0</x:v>
      </x:c>
      <x:c r="K389" s="49" t="str">
        <x:v>Un-Aided</x:v>
      </x:c>
      <x:c r="L389" s="49" t="str">
        <x:v>MS Seats : 11+ EWS : 2</x:v>
      </x:c>
      <x:c r="M389" s="49" t="str">
        <x:v>https://dse2025.mahacet.org.in/dse25/admin/allotment/cap2/3175_4.pdf</x:v>
      </x:c>
    </x:row>
    <x:row r="390">
      <x:c r="A390" s="49" t="str">
        <x:v>2025-26</x:v>
      </x:c>
      <x:c r="B390" s="63" t="n">
        <x:v>3175</x:v>
      </x:c>
      <x:c r="C390" s="49" t="str">
        <x:v>M.G.M.'s College of Engineering and Technology, Kamothe, Navi Mumbai</x:v>
      </x:c>
      <x:c r="D390" s="72" t="n">
        <x:v>317550710</x:v>
      </x:c>
      <x:c r="E390" s="49" t="str">
        <x:v>Chemical Engineering</x:v>
      </x:c>
      <x:c r="F390" s="73" t="n">
        <x:v>39</x:v>
      </x:c>
      <x:c r="G390" s="73" t="n">
        <x:v>32</x:v>
      </x:c>
      <x:c r="H390" s="73" t="n">
        <x:v>7</x:v>
      </x:c>
      <x:c r="I390" s="73"/>
      <x:c r="J390" s="73" t="n">
        <x:v>0</x:v>
      </x:c>
      <x:c r="K390" s="49" t="str">
        <x:v>Un-Aided</x:v>
      </x:c>
      <x:c r="L390" s="49" t="str">
        <x:v>MS Seats : 32+ EWS : 7</x:v>
      </x:c>
      <x:c r="M390" s="49" t="str">
        <x:v>https://dse2025.mahacet.org.in/dse25/admin/allotment/cap2/3175_4.pdf</x:v>
      </x:c>
    </x:row>
    <x:row r="391">
      <x:c r="A391" s="49" t="str">
        <x:v>2025-26</x:v>
      </x:c>
      <x:c r="B391" s="63" t="n">
        <x:v>3175</x:v>
      </x:c>
      <x:c r="C391" s="49" t="str">
        <x:v>M.G.M.'s College of Engineering and Technology, Kamothe, Navi Mumbai</x:v>
      </x:c>
      <x:c r="D391" s="72" t="n">
        <x:v>317561210</x:v>
      </x:c>
      <x:c r="E391" s="49" t="str">
        <x:v>Mechanical Engineering</x:v>
      </x:c>
      <x:c r="F391" s="73" t="n">
        <x:v>41</x:v>
      </x:c>
      <x:c r="G391" s="73" t="n">
        <x:v>34</x:v>
      </x:c>
      <x:c r="H391" s="73" t="n">
        <x:v>7</x:v>
      </x:c>
      <x:c r="I391" s="73"/>
      <x:c r="J391" s="73" t="n">
        <x:v>0</x:v>
      </x:c>
      <x:c r="K391" s="49" t="str">
        <x:v>Un-Aided</x:v>
      </x:c>
      <x:c r="L391" s="49" t="str">
        <x:v>MS Seats : 34+ EWS : 7</x:v>
      </x:c>
      <x:c r="M391" s="49" t="str">
        <x:v>https://dse2025.mahacet.org.in/dse25/admin/allotment/cap2/3175_4.pdf</x:v>
      </x:c>
    </x:row>
    <x:row r="392">
      <x:c r="A392" s="49" t="str">
        <x:v>2025-26</x:v>
      </x:c>
      <x:c r="B392" s="63" t="n">
        <x:v>3175</x:v>
      </x:c>
      <x:c r="C392" s="49" t="str">
        <x:v>M.G.M.'s College of Engineering and Technology, Kamothe, Navi Mumbai</x:v>
      </x:c>
      <x:c r="D392" s="72" t="n">
        <x:v>317591110</x:v>
      </x:c>
      <x:c r="E392" s="49" t="str">
        <x:v>Computer Science and Engineering(Artificial Intelligence and Machine Learning)</x:v>
      </x:c>
      <x:c r="F392" s="73" t="n">
        <x:v>12</x:v>
      </x:c>
      <x:c r="G392" s="73" t="n">
        <x:v>7</x:v>
      </x:c>
      <x:c r="H392" s="73" t="n">
        <x:v>5</x:v>
      </x:c>
      <x:c r="I392" s="73"/>
      <x:c r="J392" s="73" t="n">
        <x:v>0</x:v>
      </x:c>
      <x:c r="K392" s="49" t="str">
        <x:v>Un-Aided</x:v>
      </x:c>
      <x:c r="L392" s="49" t="str">
        <x:v>MS Seats : 7+ EWS : 5</x:v>
      </x:c>
      <x:c r="M392" s="49" t="str">
        <x:v>https://dse2025.mahacet.org.in/dse25/admin/allotment/cap2/3175_4.pdf</x:v>
      </x:c>
    </x:row>
    <x:row r="393">
      <x:c r="A393" s="49" t="str">
        <x:v>2025-26</x:v>
      </x:c>
      <x:c r="B393" s="63" t="n">
        <x:v>3175</x:v>
      </x:c>
      <x:c r="C393" s="49" t="str">
        <x:v>M.G.M.'s College of Engineering and Technology, Kamothe, Navi Mumbai</x:v>
      </x:c>
      <x:c r="D393" s="72" t="n">
        <x:v>317591210</x:v>
      </x:c>
      <x:c r="E393" s="49" t="str">
        <x:v>Computer Science and Engineering(Data Science)</x:v>
      </x:c>
      <x:c r="F393" s="73" t="n">
        <x:v>14</x:v>
      </x:c>
      <x:c r="G393" s="73" t="n">
        <x:v>10</x:v>
      </x:c>
      <x:c r="H393" s="73" t="n">
        <x:v>4</x:v>
      </x:c>
      <x:c r="I393" s="73"/>
      <x:c r="J393" s="73" t="n">
        <x:v>0</x:v>
      </x:c>
      <x:c r="K393" s="49" t="str">
        <x:v>Un-Aided</x:v>
      </x:c>
      <x:c r="L393" s="49" t="str">
        <x:v>MS Seats : 10+ EWS : 4</x:v>
      </x:c>
      <x:c r="M393" s="49" t="str">
        <x:v>https://dse2025.mahacet.org.in/dse25/admin/allotment/cap2/3175_4.pdf</x:v>
      </x:c>
    </x:row>
    <x:row r="394">
      <x:c r="A394" s="49" t="str">
        <x:v>2025-26</x:v>
      </x:c>
      <x:c r="B394" s="63" t="n">
        <x:v>3175</x:v>
      </x:c>
      <x:c r="C394" s="49" t="str">
        <x:v>M.G.M.'s College of Engineering and Technology, Kamothe, Navi Mumbai</x:v>
      </x:c>
      <x:c r="D394" s="72" t="n">
        <x:v>317591610</x:v>
      </x:c>
      <x:c r="E394" s="49" t="str">
        <x:v>Automation and Robotics</x:v>
      </x:c>
      <x:c r="F394" s="73" t="n">
        <x:v>34</x:v>
      </x:c>
      <x:c r="G394" s="73" t="n">
        <x:v>27</x:v>
      </x:c>
      <x:c r="H394" s="73" t="n">
        <x:v>7</x:v>
      </x:c>
      <x:c r="I394" s="73"/>
      <x:c r="J394" s="73" t="n">
        <x:v>0</x:v>
      </x:c>
      <x:c r="K394" s="49" t="str">
        <x:v>Un-Aided</x:v>
      </x:c>
      <x:c r="L394" s="49" t="str">
        <x:v>MS Seats : 27+ EWS : 7</x:v>
      </x:c>
      <x:c r="M394" s="49" t="str">
        <x:v>https://dse2025.mahacet.org.in/dse25/admin/allotment/cap2/3175_4.pdf</x:v>
      </x:c>
    </x:row>
    <x:row r="395">
      <x:c r="A395" s="49" t="str">
        <x:v>2025-26</x:v>
      </x:c>
      <x:c r="B395" s="63" t="n">
        <x:v>3176</x:v>
      </x:c>
      <x:c r="C395" s="49" t="str">
        <x:v>Thakur College of Engineering and Technology, Kandivali, Mumbai</x:v>
      </x:c>
      <x:c r="D395" s="72" t="n">
        <x:v>317619110</x:v>
      </x:c>
      <x:c r="E395" s="49" t="str">
        <x:v>Civil Engineering</x:v>
      </x:c>
      <x:c r="F395" s="73" t="n">
        <x:v>6</x:v>
      </x:c>
      <x:c r="G395" s="73" t="n">
        <x:v>2</x:v>
      </x:c>
      <x:c r="H395" s="73"/>
      <x:c r="I395" s="73" t="n">
        <x:v>4</x:v>
      </x:c>
      <x:c r="J395" s="73" t="n">
        <x:v>0</x:v>
      </x:c>
      <x:c r="K395" s="49" t="str">
        <x:v>Un-Aided Autonomous Linguistic Minority - Hindi</x:v>
      </x:c>
      <x:c r="L395" s="49" t="str">
        <x:v>MS Seats : 2 + Minority Seats : 4</x:v>
      </x:c>
      <x:c r="M395" s="49" t="str">
        <x:v>https://dse2025.mahacet.org.in/dse25/admin/allotment/cap2/3176_4.pdf</x:v>
      </x:c>
    </x:row>
    <x:row r="396">
      <x:c r="A396" s="49" t="str">
        <x:v>2025-26</x:v>
      </x:c>
      <x:c r="B396" s="63" t="n">
        <x:v>3176</x:v>
      </x:c>
      <x:c r="C396" s="49" t="str">
        <x:v>Thakur College of Engineering and Technology, Kandivali, Mumbai</x:v>
      </x:c>
      <x:c r="D396" s="72" t="n">
        <x:v>317624510</x:v>
      </x:c>
      <x:c r="E396" s="49" t="str">
        <x:v>Computer Engineering</x:v>
      </x:c>
      <x:c r="F396" s="73" t="n">
        <x:v>24</x:v>
      </x:c>
      <x:c r="G396" s="73" t="n">
        <x:v>11</x:v>
      </x:c>
      <x:c r="H396" s="73"/>
      <x:c r="I396" s="73" t="n">
        <x:v>13</x:v>
      </x:c>
      <x:c r="J396" s="73" t="n">
        <x:v>0</x:v>
      </x:c>
      <x:c r="K396" s="49" t="str">
        <x:v>Un-Aided Autonomous Linguistic Minority - Hindi</x:v>
      </x:c>
      <x:c r="L396" s="49" t="str">
        <x:v>MS Seats : 11 + Minority Seats : 13</x:v>
      </x:c>
      <x:c r="M396" s="49" t="str">
        <x:v>https://dse2025.mahacet.org.in/dse25/admin/allotment/cap2/3176_4.pdf</x:v>
      </x:c>
    </x:row>
    <x:row r="397">
      <x:c r="A397" s="49" t="str">
        <x:v>2025-26</x:v>
      </x:c>
      <x:c r="B397" s="63" t="n">
        <x:v>3176</x:v>
      </x:c>
      <x:c r="C397" s="49" t="str">
        <x:v>Thakur College of Engineering and Technology, Kandivali, Mumbai</x:v>
      </x:c>
      <x:c r="D397" s="72" t="n">
        <x:v>317624610</x:v>
      </x:c>
      <x:c r="E397" s="49" t="str">
        <x:v>Information Technology</x:v>
      </x:c>
      <x:c r="F397" s="73" t="n">
        <x:v>18</x:v>
      </x:c>
      <x:c r="G397" s="73" t="n">
        <x:v>8</x:v>
      </x:c>
      <x:c r="H397" s="73"/>
      <x:c r="I397" s="73" t="n">
        <x:v>10</x:v>
      </x:c>
      <x:c r="J397" s="73" t="n">
        <x:v>0</x:v>
      </x:c>
      <x:c r="K397" s="49" t="str">
        <x:v>Un-Aided Autonomous Linguistic Minority - Hindi</x:v>
      </x:c>
      <x:c r="L397" s="49" t="str">
        <x:v>MS Seats : 8 + Minority Seats : 10</x:v>
      </x:c>
      <x:c r="M397" s="49" t="str">
        <x:v>https://dse2025.mahacet.org.in/dse25/admin/allotment/cap2/3176_4.pdf</x:v>
      </x:c>
    </x:row>
    <x:row r="398">
      <x:c r="A398" s="49" t="str">
        <x:v>2025-26</x:v>
      </x:c>
      <x:c r="B398" s="63" t="n">
        <x:v>3176</x:v>
      </x:c>
      <x:c r="C398" s="49" t="str">
        <x:v>Thakur College of Engineering and Technology, Kandivali, Mumbai</x:v>
      </x:c>
      <x:c r="D398" s="72" t="n">
        <x:v>317625310</x:v>
      </x:c>
      <x:c r="E398" s="49" t="str">
        <x:v>Internet of Things (IoT)</x:v>
      </x:c>
      <x:c r="F398" s="73" t="n">
        <x:v>3</x:v>
      </x:c>
      <x:c r="G398" s="73" t="n">
        <x:v>1</x:v>
      </x:c>
      <x:c r="H398" s="73"/>
      <x:c r="I398" s="73" t="n">
        <x:v>2</x:v>
      </x:c>
      <x:c r="J398" s="73" t="n">
        <x:v>0</x:v>
      </x:c>
      <x:c r="K398" s="49" t="str">
        <x:v>Un-Aided Autonomous Linguistic Minority - Hindi</x:v>
      </x:c>
      <x:c r="L398" s="49" t="str">
        <x:v>MS Seats : 1 + Minority Seats : 2</x:v>
      </x:c>
      <x:c r="M398" s="49" t="str">
        <x:v>https://dse2025.mahacet.org.in/dse25/admin/allotment/cap2/3176_4.pdf</x:v>
      </x:c>
    </x:row>
    <x:row r="399">
      <x:c r="A399" s="49" t="str">
        <x:v>2025-26</x:v>
      </x:c>
      <x:c r="B399" s="63" t="n">
        <x:v>3176</x:v>
      </x:c>
      <x:c r="C399" s="49" t="str">
        <x:v>Thakur College of Engineering and Technology, Kandivali, Mumbai</x:v>
      </x:c>
      <x:c r="D399" s="72" t="n">
        <x:v>317625910</x:v>
      </x:c>
      <x:c r="E399" s="49" t="str">
        <x:v>Mechanical and Mechatronics Engineering (Additive Manufacturing)</x:v>
      </x:c>
      <x:c r="F399" s="73" t="n">
        <x:v>7</x:v>
      </x:c>
      <x:c r="G399" s="73" t="n">
        <x:v>3</x:v>
      </x:c>
      <x:c r="H399" s="73"/>
      <x:c r="I399" s="73" t="n">
        <x:v>4</x:v>
      </x:c>
      <x:c r="J399" s="73" t="n">
        <x:v>0</x:v>
      </x:c>
      <x:c r="K399" s="49" t="str">
        <x:v>Un-Aided Autonomous Linguistic Minority - Hindi</x:v>
      </x:c>
      <x:c r="L399" s="49" t="str">
        <x:v>MS Seats : 3 + Minority Seats : 4</x:v>
      </x:c>
      <x:c r="M399" s="49" t="str">
        <x:v>https://dse2025.mahacet.org.in/dse25/admin/allotment/cap2/3176_4.pdf</x:v>
      </x:c>
    </x:row>
    <x:row r="400">
      <x:c r="A400" s="49" t="str">
        <x:v>2025-26</x:v>
      </x:c>
      <x:c r="B400" s="63" t="n">
        <x:v>3176</x:v>
      </x:c>
      <x:c r="C400" s="49" t="str">
        <x:v>Thakur College of Engineering and Technology, Kandivali, Mumbai</x:v>
      </x:c>
      <x:c r="D400" s="72" t="n">
        <x:v>317637210</x:v>
      </x:c>
      <x:c r="E400" s="49" t="str">
        <x:v>Electronics and Telecommunication Engg</x:v>
      </x:c>
      <x:c r="F400" s="73" t="n">
        <x:v>15</x:v>
      </x:c>
      <x:c r="G400" s="73" t="n">
        <x:v>7</x:v>
      </x:c>
      <x:c r="H400" s="73"/>
      <x:c r="I400" s="73" t="n">
        <x:v>8</x:v>
      </x:c>
      <x:c r="J400" s="73" t="n">
        <x:v>0</x:v>
      </x:c>
      <x:c r="K400" s="49" t="str">
        <x:v>Un-Aided Autonomous Linguistic Minority - Hindi</x:v>
      </x:c>
      <x:c r="L400" s="49" t="str">
        <x:v>MS Seats : 7 + Minority Seats : 8</x:v>
      </x:c>
      <x:c r="M400" s="49" t="str">
        <x:v>https://dse2025.mahacet.org.in/dse25/admin/allotment/cap2/3176_4.pdf</x:v>
      </x:c>
    </x:row>
    <x:row r="401">
      <x:c r="A401" s="49" t="str">
        <x:v>2025-26</x:v>
      </x:c>
      <x:c r="B401" s="63" t="n">
        <x:v>3176</x:v>
      </x:c>
      <x:c r="C401" s="49" t="str">
        <x:v>Thakur College of Engineering and Technology, Kandivali, Mumbai</x:v>
      </x:c>
      <x:c r="D401" s="72" t="n">
        <x:v>317661210</x:v>
      </x:c>
      <x:c r="E401" s="49" t="str">
        <x:v>Mechanical Engineering</x:v>
      </x:c>
      <x:c r="F401" s="73" t="n">
        <x:v>7</x:v>
      </x:c>
      <x:c r="G401" s="73" t="n">
        <x:v>3</x:v>
      </x:c>
      <x:c r="H401" s="73"/>
      <x:c r="I401" s="73" t="n">
        <x:v>4</x:v>
      </x:c>
      <x:c r="J401" s="73" t="n">
        <x:v>0</x:v>
      </x:c>
      <x:c r="K401" s="49" t="str">
        <x:v>Un-Aided Autonomous Linguistic Minority - Hindi</x:v>
      </x:c>
      <x:c r="L401" s="49" t="str">
        <x:v>MS Seats : 3 + Minority Seats : 4</x:v>
      </x:c>
      <x:c r="M401" s="49" t="str">
        <x:v>https://dse2025.mahacet.org.in/dse25/admin/allotment/cap2/3176_4.pdf</x:v>
      </x:c>
    </x:row>
    <x:row r="402">
      <x:c r="A402" s="49" t="str">
        <x:v>2025-26</x:v>
      </x:c>
      <x:c r="B402" s="63" t="n">
        <x:v>3176</x:v>
      </x:c>
      <x:c r="C402" s="49" t="str">
        <x:v>Thakur College of Engineering and Technology, Kandivali, Mumbai</x:v>
      </x:c>
      <x:c r="D402" s="72" t="n">
        <x:v>317690010</x:v>
      </x:c>
      <x:c r="E402" s="49" t="str">
        <x:v>Electronics and Computer Science</x:v>
      </x:c>
      <x:c r="F402" s="73" t="n">
        <x:v>6</x:v>
      </x:c>
      <x:c r="G402" s="73" t="n">
        <x:v>2</x:v>
      </x:c>
      <x:c r="H402" s="73"/>
      <x:c r="I402" s="73" t="n">
        <x:v>4</x:v>
      </x:c>
      <x:c r="J402" s="73" t="n">
        <x:v>0</x:v>
      </x:c>
      <x:c r="K402" s="49" t="str">
        <x:v>Un-Aided Autonomous Linguistic Minority - Hindi</x:v>
      </x:c>
      <x:c r="L402" s="49" t="str">
        <x:v>MS Seats : 2 + Minority Seats : 4</x:v>
      </x:c>
      <x:c r="M402" s="49" t="str">
        <x:v>https://dse2025.mahacet.org.in/dse25/admin/allotment/cap2/3176_4.pdf</x:v>
      </x:c>
    </x:row>
    <x:row r="403">
      <x:c r="A403" s="49" t="str">
        <x:v>2025-26</x:v>
      </x:c>
      <x:c r="B403" s="63" t="n">
        <x:v>3176</x:v>
      </x:c>
      <x:c r="C403" s="49" t="str">
        <x:v>Thakur College of Engineering and Technology, Kandivali, Mumbai</x:v>
      </x:c>
      <x:c r="D403" s="72" t="n">
        <x:v>317691010</x:v>
      </x:c>
      <x:c r="E403" s="49" t="str">
        <x:v>Computer Science and Engineering(Cyber Security)</x:v>
      </x:c>
      <x:c r="F403" s="73" t="n">
        <x:v>6</x:v>
      </x:c>
      <x:c r="G403" s="73" t="n">
        <x:v>2</x:v>
      </x:c>
      <x:c r="H403" s="73"/>
      <x:c r="I403" s="73" t="n">
        <x:v>4</x:v>
      </x:c>
      <x:c r="J403" s="73" t="n">
        <x:v>0</x:v>
      </x:c>
      <x:c r="K403" s="49" t="str">
        <x:v>Un-Aided Autonomous Linguistic Minority - Hindi</x:v>
      </x:c>
      <x:c r="L403" s="49" t="str">
        <x:v>MS Seats : 2 + Minority Seats : 4</x:v>
      </x:c>
      <x:c r="M403" s="49" t="str">
        <x:v>https://dse2025.mahacet.org.in/dse25/admin/allotment/cap2/3176_4.pdf</x:v>
      </x:c>
    </x:row>
    <x:row r="404">
      <x:c r="A404" s="49" t="str">
        <x:v>2025-26</x:v>
      </x:c>
      <x:c r="B404" s="63" t="n">
        <x:v>3176</x:v>
      </x:c>
      <x:c r="C404" s="49" t="str">
        <x:v>Thakur College of Engineering and Technology, Kandivali, Mumbai</x:v>
      </x:c>
      <x:c r="D404" s="72" t="n">
        <x:v>317692110</x:v>
      </x:c>
      <x:c r="E404" s="49" t="str">
        <x:v>Artificial Intelligence and Machine Learning</x:v>
      </x:c>
      <x:c r="F404" s="73" t="n">
        <x:v>19</x:v>
      </x:c>
      <x:c r="G404" s="73" t="n">
        <x:v>9</x:v>
      </x:c>
      <x:c r="H404" s="73"/>
      <x:c r="I404" s="73" t="n">
        <x:v>10</x:v>
      </x:c>
      <x:c r="J404" s="73" t="n">
        <x:v>0</x:v>
      </x:c>
      <x:c r="K404" s="49" t="str">
        <x:v>Un-Aided Autonomous Linguistic Minority - Hindi</x:v>
      </x:c>
      <x:c r="L404" s="49" t="str">
        <x:v>MS Seats : 9 + Minority Seats : 10</x:v>
      </x:c>
      <x:c r="M404" s="49" t="str">
        <x:v>https://dse2025.mahacet.org.in/dse25/admin/allotment/cap2/3176_4.pdf</x:v>
      </x:c>
    </x:row>
    <x:row r="405">
      <x:c r="A405" s="49" t="str">
        <x:v>2025-26</x:v>
      </x:c>
      <x:c r="B405" s="63" t="n">
        <x:v>3176</x:v>
      </x:c>
      <x:c r="C405" s="49" t="str">
        <x:v>Thakur College of Engineering and Technology, Kandivali, Mumbai</x:v>
      </x:c>
      <x:c r="D405" s="72" t="n">
        <x:v>317699510</x:v>
      </x:c>
      <x:c r="E405" s="49" t="str">
        <x:v>Artificial Intelligence and Data Science</x:v>
      </x:c>
      <x:c r="F405" s="73" t="n">
        <x:v>18</x:v>
      </x:c>
      <x:c r="G405" s="73" t="n">
        <x:v>8</x:v>
      </x:c>
      <x:c r="H405" s="73"/>
      <x:c r="I405" s="73" t="n">
        <x:v>10</x:v>
      </x:c>
      <x:c r="J405" s="73" t="n">
        <x:v>0</x:v>
      </x:c>
      <x:c r="K405" s="49" t="str">
        <x:v>Un-Aided Autonomous Linguistic Minority - Hindi</x:v>
      </x:c>
      <x:c r="L405" s="49" t="str">
        <x:v>MS Seats : 8 + Minority Seats : 10</x:v>
      </x:c>
      <x:c r="M405" s="49" t="str">
        <x:v>https://dse2025.mahacet.org.in/dse25/admin/allotment/cap2/3176_4.pdf</x:v>
      </x:c>
    </x:row>
    <x:row r="406">
      <x:c r="A406" s="49" t="str">
        <x:v>2025-26</x:v>
      </x:c>
      <x:c r="B406" s="63" t="n">
        <x:v>3182</x:v>
      </x:c>
      <x:c r="C406" s="49" t="str">
        <x:v>Thadomal Shahani Engineering College, Bandra, Mumbai</x:v>
      </x:c>
      <x:c r="D406" s="72" t="n">
        <x:v>318224510</x:v>
      </x:c>
      <x:c r="E406" s="49" t="str">
        <x:v>Computer Engineering</x:v>
      </x:c>
      <x:c r="F406" s="73" t="n">
        <x:v>22</x:v>
      </x:c>
      <x:c r="G406" s="73" t="n">
        <x:v>10</x:v>
      </x:c>
      <x:c r="H406" s="73"/>
      <x:c r="I406" s="73" t="n">
        <x:v>12</x:v>
      </x:c>
      <x:c r="J406" s="73" t="n">
        <x:v>0</x:v>
      </x:c>
      <x:c r="K406" s="49" t="str">
        <x:v>Un-Aided Linguistic Minority - Sindhi</x:v>
      </x:c>
      <x:c r="L406" s="49" t="str">
        <x:v>MS Seats : 10 + Minority Seats : 12</x:v>
      </x:c>
      <x:c r="M406" s="49" t="str">
        <x:v>https://dse2025.mahacet.org.in/dse25/admin/allotment/cap2/3182_4.pdf</x:v>
      </x:c>
    </x:row>
    <x:row r="407">
      <x:c r="A407" s="49" t="str">
        <x:v>2025-26</x:v>
      </x:c>
      <x:c r="B407" s="63" t="n">
        <x:v>3182</x:v>
      </x:c>
      <x:c r="C407" s="49" t="str">
        <x:v>Thadomal Shahani Engineering College, Bandra, Mumbai</x:v>
      </x:c>
      <x:c r="D407" s="72" t="n">
        <x:v>318224610</x:v>
      </x:c>
      <x:c r="E407" s="49" t="str">
        <x:v>Information Technology</x:v>
      </x:c>
      <x:c r="F407" s="73" t="n">
        <x:v>13</x:v>
      </x:c>
      <x:c r="G407" s="73" t="n">
        <x:v>6</x:v>
      </x:c>
      <x:c r="H407" s="73"/>
      <x:c r="I407" s="73" t="n">
        <x:v>7</x:v>
      </x:c>
      <x:c r="J407" s="73" t="n">
        <x:v>0</x:v>
      </x:c>
      <x:c r="K407" s="49" t="str">
        <x:v>Un-Aided Linguistic Minority - Sindhi</x:v>
      </x:c>
      <x:c r="L407" s="49" t="str">
        <x:v>MS Seats : 6 + Minority Seats : 7</x:v>
      </x:c>
      <x:c r="M407" s="49" t="str">
        <x:v>https://dse2025.mahacet.org.in/dse25/admin/allotment/cap2/3182_4.pdf</x:v>
      </x:c>
    </x:row>
    <x:row r="408">
      <x:c r="A408" s="49" t="str">
        <x:v>2025-26</x:v>
      </x:c>
      <x:c r="B408" s="63" t="n">
        <x:v>3182</x:v>
      </x:c>
      <x:c r="C408" s="49" t="str">
        <x:v>Thadomal Shahani Engineering College, Bandra, Mumbai</x:v>
      </x:c>
      <x:c r="D408" s="72" t="n">
        <x:v>318237210</x:v>
      </x:c>
      <x:c r="E408" s="49" t="str">
        <x:v>Electronics and Telecommunication Engg</x:v>
      </x:c>
      <x:c r="F408" s="73" t="n">
        <x:v>7</x:v>
      </x:c>
      <x:c r="G408" s="73" t="n">
        <x:v>3</x:v>
      </x:c>
      <x:c r="H408" s="73"/>
      <x:c r="I408" s="73" t="n">
        <x:v>4</x:v>
      </x:c>
      <x:c r="J408" s="73" t="n">
        <x:v>0</x:v>
      </x:c>
      <x:c r="K408" s="49" t="str">
        <x:v>Un-Aided Linguistic Minority - Sindhi</x:v>
      </x:c>
      <x:c r="L408" s="49" t="str">
        <x:v>MS Seats : 3 + Minority Seats : 4</x:v>
      </x:c>
      <x:c r="M408" s="49" t="str">
        <x:v>https://dse2025.mahacet.org.in/dse25/admin/allotment/cap2/3182_4.pdf</x:v>
      </x:c>
    </x:row>
    <x:row r="409">
      <x:c r="A409" s="49" t="str">
        <x:v>2025-26</x:v>
      </x:c>
      <x:c r="B409" s="63" t="n">
        <x:v>3182</x:v>
      </x:c>
      <x:c r="C409" s="49" t="str">
        <x:v>Thadomal Shahani Engineering College, Bandra, Mumbai</x:v>
      </x:c>
      <x:c r="D409" s="72" t="n">
        <x:v>318250710</x:v>
      </x:c>
      <x:c r="E409" s="49" t="str">
        <x:v>Chemical Engineering</x:v>
      </x:c>
      <x:c r="F409" s="73" t="n">
        <x:v>7</x:v>
      </x:c>
      <x:c r="G409" s="73" t="n">
        <x:v>3</x:v>
      </x:c>
      <x:c r="H409" s="73"/>
      <x:c r="I409" s="73" t="n">
        <x:v>4</x:v>
      </x:c>
      <x:c r="J409" s="73" t="n">
        <x:v>0</x:v>
      </x:c>
      <x:c r="K409" s="49" t="str">
        <x:v>Un-Aided Linguistic Minority - Sindhi</x:v>
      </x:c>
      <x:c r="L409" s="49" t="str">
        <x:v>MS Seats : 3 + Minority Seats : 4</x:v>
      </x:c>
      <x:c r="M409" s="49" t="str">
        <x:v>https://dse2025.mahacet.org.in/dse25/admin/allotment/cap2/3182_4.pdf</x:v>
      </x:c>
    </x:row>
    <x:row r="410">
      <x:c r="A410" s="49" t="str">
        <x:v>2025-26</x:v>
      </x:c>
      <x:c r="B410" s="63" t="n">
        <x:v>3182</x:v>
      </x:c>
      <x:c r="C410" s="49" t="str">
        <x:v>Thadomal Shahani Engineering College, Bandra, Mumbai</x:v>
      </x:c>
      <x:c r="D410" s="72" t="n">
        <x:v>318299510</x:v>
      </x:c>
      <x:c r="E410" s="49" t="str">
        <x:v>Artificial Intelligence and Data Science</x:v>
      </x:c>
      <x:c r="F410" s="73" t="n">
        <x:v>12</x:v>
      </x:c>
      <x:c r="G410" s="73" t="n">
        <x:v>5</x:v>
      </x:c>
      <x:c r="H410" s="73"/>
      <x:c r="I410" s="73" t="n">
        <x:v>7</x:v>
      </x:c>
      <x:c r="J410" s="73" t="n">
        <x:v>0</x:v>
      </x:c>
      <x:c r="K410" s="49" t="str">
        <x:v>Un-Aided Linguistic Minority - Sindhi</x:v>
      </x:c>
      <x:c r="L410" s="49" t="str">
        <x:v>MS Seats : 5 + Minority Seats : 7</x:v>
      </x:c>
      <x:c r="M410" s="49" t="str">
        <x:v>https://dse2025.mahacet.org.in/dse25/admin/allotment/cap2/3182_4.pdf</x:v>
      </x:c>
    </x:row>
    <x:row r="411">
      <x:c r="A411" s="49" t="str">
        <x:v>2025-26</x:v>
      </x:c>
      <x:c r="B411" s="63" t="n">
        <x:v>3183</x:v>
      </x:c>
      <x:c r="C411" s="49" t="str">
        <x:v>Anjuman-I-Islam's M.H. Saboo Siddik College of Engineering, Byculla, Mumbai</x:v>
      </x:c>
      <x:c r="D411" s="72" t="n">
        <x:v>318319110</x:v>
      </x:c>
      <x:c r="E411" s="49" t="str">
        <x:v>Civil Engineering</x:v>
      </x:c>
      <x:c r="F411" s="73" t="n">
        <x:v>34</x:v>
      </x:c>
      <x:c r="G411" s="73" t="n">
        <x:v>0</x:v>
      </x:c>
      <x:c r="H411" s="73"/>
      <x:c r="I411" s="73" t="n">
        <x:v>34</x:v>
      </x:c>
      <x:c r="J411" s="73" t="n">
        <x:v>0</x:v>
      </x:c>
      <x:c r="K411" s="49" t="str">
        <x:v>Un-Aided Religious Minority - Muslim</x:v>
      </x:c>
      <x:c r="L411" s="49" t="str">
        <x:v>MS Seats : 0 + Minority Seats : 34</x:v>
      </x:c>
      <x:c r="M411" s="49" t="str">
        <x:v>https://dse2025.mahacet.org.in/dse25/admin/allotment/cap2/3183_4.pdf</x:v>
      </x:c>
    </x:row>
    <x:row r="412">
      <x:c r="A412" s="49" t="str">
        <x:v>2025-26</x:v>
      </x:c>
      <x:c r="B412" s="63" t="n">
        <x:v>3183</x:v>
      </x:c>
      <x:c r="C412" s="49" t="str">
        <x:v>Anjuman-I-Islam's M.H. Saboo Siddik College of Engineering, Byculla, Mumbai</x:v>
      </x:c>
      <x:c r="D412" s="72" t="n">
        <x:v>318324510</x:v>
      </x:c>
      <x:c r="E412" s="49" t="str">
        <x:v>Computer Engineering</x:v>
      </x:c>
      <x:c r="F412" s="73" t="n">
        <x:v>6</x:v>
      </x:c>
      <x:c r="G412" s="73" t="n">
        <x:v>0</x:v>
      </x:c>
      <x:c r="H412" s="73"/>
      <x:c r="I412" s="73" t="n">
        <x:v>6</x:v>
      </x:c>
      <x:c r="J412" s="73" t="n">
        <x:v>0</x:v>
      </x:c>
      <x:c r="K412" s="49" t="str">
        <x:v>Un-Aided Religious Minority - Muslim</x:v>
      </x:c>
      <x:c r="L412" s="49" t="str">
        <x:v>MS Seats : 0 + Minority Seats : 6</x:v>
      </x:c>
      <x:c r="M412" s="49" t="str">
        <x:v>https://dse2025.mahacet.org.in/dse25/admin/allotment/cap2/3183_4.pdf</x:v>
      </x:c>
    </x:row>
    <x:row r="413">
      <x:c r="A413" s="49" t="str">
        <x:v>2025-26</x:v>
      </x:c>
      <x:c r="B413" s="63" t="n">
        <x:v>3183</x:v>
      </x:c>
      <x:c r="C413" s="49" t="str">
        <x:v>Anjuman-I-Islam's M.H. Saboo Siddik College of Engineering, Byculla, Mumbai</x:v>
      </x:c>
      <x:c r="D413" s="72" t="n">
        <x:v>318324610</x:v>
      </x:c>
      <x:c r="E413" s="49" t="str">
        <x:v>Information Technology</x:v>
      </x:c>
      <x:c r="F413" s="73" t="n">
        <x:v>6</x:v>
      </x:c>
      <x:c r="G413" s="73" t="n">
        <x:v>0</x:v>
      </x:c>
      <x:c r="H413" s="73"/>
      <x:c r="I413" s="73" t="n">
        <x:v>6</x:v>
      </x:c>
      <x:c r="J413" s="73" t="n">
        <x:v>0</x:v>
      </x:c>
      <x:c r="K413" s="49" t="str">
        <x:v>Un-Aided Religious Minority - Muslim</x:v>
      </x:c>
      <x:c r="L413" s="49" t="str">
        <x:v>MS Seats : 0 + Minority Seats : 6</x:v>
      </x:c>
      <x:c r="M413" s="49" t="str">
        <x:v>https://dse2025.mahacet.org.in/dse25/admin/allotment/cap2/3183_4.pdf</x:v>
      </x:c>
    </x:row>
    <x:row r="414">
      <x:c r="A414" s="49" t="str">
        <x:v>2025-26</x:v>
      </x:c>
      <x:c r="B414" s="63" t="n">
        <x:v>3183</x:v>
      </x:c>
      <x:c r="C414" s="49" t="str">
        <x:v>Anjuman-I-Islam's M.H. Saboo Siddik College of Engineering, Byculla, Mumbai</x:v>
      </x:c>
      <x:c r="D414" s="72" t="n">
        <x:v>318337210</x:v>
      </x:c>
      <x:c r="E414" s="49" t="str">
        <x:v>Electronics and Telecommunication Engg</x:v>
      </x:c>
      <x:c r="F414" s="73" t="n">
        <x:v>10</x:v>
      </x:c>
      <x:c r="G414" s="73" t="n">
        <x:v>0</x:v>
      </x:c>
      <x:c r="H414" s="73"/>
      <x:c r="I414" s="73" t="n">
        <x:v>10</x:v>
      </x:c>
      <x:c r="J414" s="73" t="n">
        <x:v>0</x:v>
      </x:c>
      <x:c r="K414" s="49" t="str">
        <x:v>Un-Aided Religious Minority - Muslim</x:v>
      </x:c>
      <x:c r="L414" s="49" t="str">
        <x:v>MS Seats : 0 + Minority Seats : 10</x:v>
      </x:c>
      <x:c r="M414" s="49" t="str">
        <x:v>https://dse2025.mahacet.org.in/dse25/admin/allotment/cap2/3183_4.pdf</x:v>
      </x:c>
    </x:row>
    <x:row r="415">
      <x:c r="A415" s="49" t="str">
        <x:v>2025-26</x:v>
      </x:c>
      <x:c r="B415" s="63" t="n">
        <x:v>3183</x:v>
      </x:c>
      <x:c r="C415" s="49" t="str">
        <x:v>Anjuman-I-Islam's M.H. Saboo Siddik College of Engineering, Byculla, Mumbai</x:v>
      </x:c>
      <x:c r="D415" s="72" t="n">
        <x:v>318361210</x:v>
      </x:c>
      <x:c r="E415" s="49" t="str">
        <x:v>Mechanical Engineering</x:v>
      </x:c>
      <x:c r="F415" s="73" t="n">
        <x:v>10</x:v>
      </x:c>
      <x:c r="G415" s="73" t="n">
        <x:v>0</x:v>
      </x:c>
      <x:c r="H415" s="73"/>
      <x:c r="I415" s="73" t="n">
        <x:v>10</x:v>
      </x:c>
      <x:c r="J415" s="73" t="n">
        <x:v>0</x:v>
      </x:c>
      <x:c r="K415" s="49" t="str">
        <x:v>Un-Aided Religious Minority - Muslim</x:v>
      </x:c>
      <x:c r="L415" s="49" t="str">
        <x:v>MS Seats : 0 + Minority Seats : 10</x:v>
      </x:c>
      <x:c r="M415" s="49" t="str">
        <x:v>https://dse2025.mahacet.org.in/dse25/admin/allotment/cap2/3183_4.pdf</x:v>
      </x:c>
    </x:row>
    <x:row r="416">
      <x:c r="A416" s="49" t="str">
        <x:v>2025-26</x:v>
      </x:c>
      <x:c r="B416" s="63" t="n">
        <x:v>3183</x:v>
      </x:c>
      <x:c r="C416" s="49" t="str">
        <x:v>Anjuman-I-Islam's M.H. Saboo Siddik College of Engineering, Byculla, Mumbai</x:v>
      </x:c>
      <x:c r="D416" s="72" t="n">
        <x:v>318361610</x:v>
      </x:c>
      <x:c r="E416" s="49" t="str">
        <x:v>Mechanical Engineering Automobile</x:v>
      </x:c>
      <x:c r="F416" s="73" t="n">
        <x:v>19</x:v>
      </x:c>
      <x:c r="G416" s="73" t="n">
        <x:v>0</x:v>
      </x:c>
      <x:c r="H416" s="73"/>
      <x:c r="I416" s="73" t="n">
        <x:v>19</x:v>
      </x:c>
      <x:c r="J416" s="73" t="n">
        <x:v>0</x:v>
      </x:c>
      <x:c r="K416" s="49" t="str">
        <x:v>Un-Aided Religious Minority - Muslim</x:v>
      </x:c>
      <x:c r="L416" s="49" t="str">
        <x:v>MS Seats : 0 + Minority Seats : 19</x:v>
      </x:c>
      <x:c r="M416" s="49" t="str">
        <x:v>https://dse2025.mahacet.org.in/dse25/admin/allotment/cap2/3183_4.pdf</x:v>
      </x:c>
    </x:row>
    <x:row r="417">
      <x:c r="A417" s="49" t="str">
        <x:v>2025-26</x:v>
      </x:c>
      <x:c r="B417" s="63" t="n">
        <x:v>3183</x:v>
      </x:c>
      <x:c r="C417" s="49" t="str">
        <x:v>Anjuman-I-Islam's M.H. Saboo Siddik College of Engineering, Byculla, Mumbai</x:v>
      </x:c>
      <x:c r="D417" s="72" t="n">
        <x:v>318391110</x:v>
      </x:c>
      <x:c r="E417" s="49" t="str">
        <x:v>Computer Science and Engineering(Artificial Intelligence and Machine Learning)</x:v>
      </x:c>
      <x:c r="F417" s="73" t="n">
        <x:v>6</x:v>
      </x:c>
      <x:c r="G417" s="73" t="n">
        <x:v>0</x:v>
      </x:c>
      <x:c r="H417" s="73"/>
      <x:c r="I417" s="73" t="n">
        <x:v>6</x:v>
      </x:c>
      <x:c r="J417" s="73" t="n">
        <x:v>0</x:v>
      </x:c>
      <x:c r="K417" s="49" t="str">
        <x:v>Un-Aided Religious Minority - Muslim</x:v>
      </x:c>
      <x:c r="L417" s="49" t="str">
        <x:v>MS Seats : 0 + Minority Seats : 6</x:v>
      </x:c>
      <x:c r="M417" s="49" t="str">
        <x:v>https://dse2025.mahacet.org.in/dse25/admin/allotment/cap2/3183_4.pdf</x:v>
      </x:c>
    </x:row>
    <x:row r="418">
      <x:c r="A418" s="49" t="str">
        <x:v>2025-26</x:v>
      </x:c>
      <x:c r="B418" s="63" t="n">
        <x:v>3183</x:v>
      </x:c>
      <x:c r="C418" s="49" t="str">
        <x:v>Anjuman-I-Islam's M.H. Saboo Siddik College of Engineering, Byculla, Mumbai</x:v>
      </x:c>
      <x:c r="D418" s="72" t="n">
        <x:v>318392010</x:v>
      </x:c>
      <x:c r="E418" s="49" t="str">
        <x:v>Computer Science and Engineering (Internet of Things and Cyber Security Including Block Chain Technology)</x:v>
      </x:c>
      <x:c r="F418" s="73" t="n">
        <x:v>8</x:v>
      </x:c>
      <x:c r="G418" s="73" t="n">
        <x:v>0</x:v>
      </x:c>
      <x:c r="H418" s="73"/>
      <x:c r="I418" s="73" t="n">
        <x:v>8</x:v>
      </x:c>
      <x:c r="J418" s="73" t="n">
        <x:v>0</x:v>
      </x:c>
      <x:c r="K418" s="49" t="str">
        <x:v>Un-Aided Religious Minority - Muslim</x:v>
      </x:c>
      <x:c r="L418" s="49" t="str">
        <x:v>MS Seats : 0 + Minority Seats : 8</x:v>
      </x:c>
      <x:c r="M418" s="49" t="str">
        <x:v>https://dse2025.mahacet.org.in/dse25/admin/allotment/cap2/3183_4.pdf</x:v>
      </x:c>
    </x:row>
    <x:row r="419">
      <x:c r="A419" s="49" t="str">
        <x:v>2025-26</x:v>
      </x:c>
      <x:c r="B419" s="63" t="n">
        <x:v>3184</x:v>
      </x:c>
      <x:c r="C419" s="49" t="str">
        <x:v>Fr. Conceicao Rodrigues College of Engineering, Bandra,Mumbai</x:v>
      </x:c>
      <x:c r="D419" s="72" t="n">
        <x:v>318424210</x:v>
      </x:c>
      <x:c r="E419" s="49" t="str">
        <x:v>Computer Science and Engineering</x:v>
      </x:c>
      <x:c r="F419" s="73" t="n">
        <x:v>7</x:v>
      </x:c>
      <x:c r="G419" s="73" t="n">
        <x:v>3</x:v>
      </x:c>
      <x:c r="H419" s="73"/>
      <x:c r="I419" s="73" t="n">
        <x:v>4</x:v>
      </x:c>
      <x:c r="J419" s="73" t="n">
        <x:v>0</x:v>
      </x:c>
      <x:c r="K419" s="49" t="str">
        <x:v>Un-Aided Autonomous Religious Minority - Christian</x:v>
      </x:c>
      <x:c r="L419" s="49" t="str">
        <x:v>MS Seats : 3 + Minority Seats : 4</x:v>
      </x:c>
      <x:c r="M419" s="49" t="str">
        <x:v>https://dse2025.mahacet.org.in/dse25/admin/allotment/cap2/3184_4.pdf</x:v>
      </x:c>
    </x:row>
    <x:row r="420">
      <x:c r="A420" s="49" t="str">
        <x:v>2025-26</x:v>
      </x:c>
      <x:c r="B420" s="63" t="n">
        <x:v>3184</x:v>
      </x:c>
      <x:c r="C420" s="49" t="str">
        <x:v>Fr. Conceicao Rodrigues College of Engineering, Bandra,Mumbai</x:v>
      </x:c>
      <x:c r="D420" s="72" t="n">
        <x:v>318424510</x:v>
      </x:c>
      <x:c r="E420" s="49" t="str">
        <x:v>Computer Engineering</x:v>
      </x:c>
      <x:c r="F420" s="73" t="n">
        <x:v>18</x:v>
      </x:c>
      <x:c r="G420" s="73" t="n">
        <x:v>8</x:v>
      </x:c>
      <x:c r="H420" s="73"/>
      <x:c r="I420" s="73" t="n">
        <x:v>10</x:v>
      </x:c>
      <x:c r="J420" s="73" t="n">
        <x:v>0</x:v>
      </x:c>
      <x:c r="K420" s="49" t="str">
        <x:v>Un-Aided Autonomous Religious Minority - Christian</x:v>
      </x:c>
      <x:c r="L420" s="49" t="str">
        <x:v>MS Seats : 8 + Minority Seats : 10</x:v>
      </x:c>
      <x:c r="M420" s="49" t="str">
        <x:v>https://dse2025.mahacet.org.in/dse25/admin/allotment/cap2/3184_4.pdf</x:v>
      </x:c>
    </x:row>
    <x:row r="421">
      <x:c r="A421" s="49" t="str">
        <x:v>2025-26</x:v>
      </x:c>
      <x:c r="B421" s="63" t="n">
        <x:v>3184</x:v>
      </x:c>
      <x:c r="C421" s="49" t="str">
        <x:v>Fr. Conceicao Rodrigues College of Engineering, Bandra,Mumbai</x:v>
      </x:c>
      <x:c r="D421" s="72" t="n">
        <x:v>318461210</x:v>
      </x:c>
      <x:c r="E421" s="49" t="str">
        <x:v>Mechanical Engineering</x:v>
      </x:c>
      <x:c r="F421" s="73" t="n">
        <x:v>10</x:v>
      </x:c>
      <x:c r="G421" s="73" t="n">
        <x:v>4</x:v>
      </x:c>
      <x:c r="H421" s="73"/>
      <x:c r="I421" s="73" t="n">
        <x:v>6</x:v>
      </x:c>
      <x:c r="J421" s="73" t="n">
        <x:v>0</x:v>
      </x:c>
      <x:c r="K421" s="49" t="str">
        <x:v>Un-Aided Autonomous Religious Minority - Christian</x:v>
      </x:c>
      <x:c r="L421" s="49" t="str">
        <x:v>MS Seats : 4 + Minority Seats : 6</x:v>
      </x:c>
      <x:c r="M421" s="49" t="str">
        <x:v>https://dse2025.mahacet.org.in/dse25/admin/allotment/cap2/3184_4.pdf</x:v>
      </x:c>
    </x:row>
    <x:row r="422">
      <x:c r="A422" s="49" t="str">
        <x:v>2025-26</x:v>
      </x:c>
      <x:c r="B422" s="63" t="n">
        <x:v>3184</x:v>
      </x:c>
      <x:c r="C422" s="49" t="str">
        <x:v>Fr. Conceicao Rodrigues College of Engineering, Bandra,Mumbai</x:v>
      </x:c>
      <x:c r="D422" s="72" t="n">
        <x:v>318490010</x:v>
      </x:c>
      <x:c r="E422" s="49" t="str">
        <x:v>Electronics and Computer Science</x:v>
      </x:c>
      <x:c r="F422" s="73" t="n">
        <x:v>11</x:v>
      </x:c>
      <x:c r="G422" s="73" t="n">
        <x:v>5</x:v>
      </x:c>
      <x:c r="H422" s="73"/>
      <x:c r="I422" s="73" t="n">
        <x:v>6</x:v>
      </x:c>
      <x:c r="J422" s="73" t="n">
        <x:v>0</x:v>
      </x:c>
      <x:c r="K422" s="49" t="str">
        <x:v>Un-Aided Autonomous Religious Minority - Christian</x:v>
      </x:c>
      <x:c r="L422" s="49" t="str">
        <x:v>MS Seats : 5 + Minority Seats : 6</x:v>
      </x:c>
      <x:c r="M422" s="49" t="str">
        <x:v>https://dse2025.mahacet.org.in/dse25/admin/allotment/cap2/3184_4.pdf</x:v>
      </x:c>
    </x:row>
    <x:row r="423">
      <x:c r="A423" s="49" t="str">
        <x:v>2025-26</x:v>
      </x:c>
      <x:c r="B423" s="63" t="n">
        <x:v>3185</x:v>
      </x:c>
      <x:c r="C423" s="49" t="str">
        <x:v>Vivekanand Education Society's Institute of Technology, Chembur, Mumbai</x:v>
      </x:c>
      <x:c r="D423" s="72" t="n">
        <x:v>318524510</x:v>
      </x:c>
      <x:c r="E423" s="49" t="str">
        <x:v>Computer Engineering</x:v>
      </x:c>
      <x:c r="F423" s="73" t="n">
        <x:v>19</x:v>
      </x:c>
      <x:c r="G423" s="73" t="n">
        <x:v>9</x:v>
      </x:c>
      <x:c r="H423" s="73"/>
      <x:c r="I423" s="73" t="n">
        <x:v>10</x:v>
      </x:c>
      <x:c r="J423" s="73" t="n">
        <x:v>0</x:v>
      </x:c>
      <x:c r="K423" s="49" t="str">
        <x:v>Un-Aided Autonomous Linguistic Minority - Sindhi</x:v>
      </x:c>
      <x:c r="L423" s="49" t="str">
        <x:v>MS Seats : 9 + Minority Seats : 10</x:v>
      </x:c>
      <x:c r="M423" s="49" t="str">
        <x:v>https://dse2025.mahacet.org.in/dse25/admin/allotment/cap2/3185_4.pdf</x:v>
      </x:c>
    </x:row>
    <x:row r="424">
      <x:c r="A424" s="49" t="str">
        <x:v>2025-26</x:v>
      </x:c>
      <x:c r="B424" s="63" t="n">
        <x:v>3185</x:v>
      </x:c>
      <x:c r="C424" s="49" t="str">
        <x:v>Vivekanand Education Society's Institute of Technology, Chembur, Mumbai</x:v>
      </x:c>
      <x:c r="D424" s="72" t="n">
        <x:v>318524610</x:v>
      </x:c>
      <x:c r="E424" s="49" t="str">
        <x:v>Information Technology</x:v>
      </x:c>
      <x:c r="F424" s="73" t="n">
        <x:v>22</x:v>
      </x:c>
      <x:c r="G424" s="73" t="n">
        <x:v>10</x:v>
      </x:c>
      <x:c r="H424" s="73"/>
      <x:c r="I424" s="73" t="n">
        <x:v>12</x:v>
      </x:c>
      <x:c r="J424" s="73" t="n">
        <x:v>0</x:v>
      </x:c>
      <x:c r="K424" s="49" t="str">
        <x:v>Un-Aided Autonomous Linguistic Minority - Sindhi</x:v>
      </x:c>
      <x:c r="L424" s="49" t="str">
        <x:v>MS Seats : 10 + Minority Seats : 12</x:v>
      </x:c>
      <x:c r="M424" s="49" t="str">
        <x:v>https://dse2025.mahacet.org.in/dse25/admin/allotment/cap2/3185_4.pdf</x:v>
      </x:c>
    </x:row>
    <x:row r="425">
      <x:c r="A425" s="49" t="str">
        <x:v>2025-26</x:v>
      </x:c>
      <x:c r="B425" s="63" t="n">
        <x:v>3185</x:v>
      </x:c>
      <x:c r="C425" s="49" t="str">
        <x:v>Vivekanand Education Society's Institute of Technology, Chembur, Mumbai</x:v>
      </x:c>
      <x:c r="D425" s="72" t="n">
        <x:v>318537210</x:v>
      </x:c>
      <x:c r="E425" s="49" t="str">
        <x:v>Electronics and Telecommunication Engg</x:v>
      </x:c>
      <x:c r="F425" s="73" t="n">
        <x:v>14</x:v>
      </x:c>
      <x:c r="G425" s="73" t="n">
        <x:v>6</x:v>
      </x:c>
      <x:c r="H425" s="73"/>
      <x:c r="I425" s="73" t="n">
        <x:v>8</x:v>
      </x:c>
      <x:c r="J425" s="73" t="n">
        <x:v>0</x:v>
      </x:c>
      <x:c r="K425" s="49" t="str">
        <x:v>Un-Aided Autonomous Linguistic Minority - Sindhi</x:v>
      </x:c>
      <x:c r="L425" s="49" t="str">
        <x:v>MS Seats : 6 + Minority Seats : 8</x:v>
      </x:c>
      <x:c r="M425" s="49" t="str">
        <x:v>https://dse2025.mahacet.org.in/dse25/admin/allotment/cap2/3185_4.pdf</x:v>
      </x:c>
    </x:row>
    <x:row r="426">
      <x:c r="A426" s="49" t="str">
        <x:v>2025-26</x:v>
      </x:c>
      <x:c r="B426" s="63" t="n">
        <x:v>3185</x:v>
      </x:c>
      <x:c r="C426" s="49" t="str">
        <x:v>Vivekanand Education Society's Institute of Technology, Chembur, Mumbai</x:v>
      </x:c>
      <x:c r="D426" s="72" t="n">
        <x:v>318590010</x:v>
      </x:c>
      <x:c r="E426" s="49" t="str">
        <x:v>Electronics and Computer Science</x:v>
      </x:c>
      <x:c r="F426" s="73" t="n">
        <x:v>6</x:v>
      </x:c>
      <x:c r="G426" s="73" t="n">
        <x:v>2</x:v>
      </x:c>
      <x:c r="H426" s="73"/>
      <x:c r="I426" s="73" t="n">
        <x:v>4</x:v>
      </x:c>
      <x:c r="J426" s="73" t="n">
        <x:v>0</x:v>
      </x:c>
      <x:c r="K426" s="49" t="str">
        <x:v>Un-Aided Autonomous Linguistic Minority - Sindhi</x:v>
      </x:c>
      <x:c r="L426" s="49" t="str">
        <x:v>MS Seats : 2 + Minority Seats : 4</x:v>
      </x:c>
      <x:c r="M426" s="49" t="str">
        <x:v>https://dse2025.mahacet.org.in/dse25/admin/allotment/cap2/3185_4.pdf</x:v>
      </x:c>
    </x:row>
    <x:row r="427">
      <x:c r="A427" s="49" t="str">
        <x:v>2025-26</x:v>
      </x:c>
      <x:c r="B427" s="63" t="n">
        <x:v>3185</x:v>
      </x:c>
      <x:c r="C427" s="49" t="str">
        <x:v>Vivekanand Education Society's Institute of Technology, Chembur, Mumbai</x:v>
      </x:c>
      <x:c r="D427" s="72" t="n">
        <x:v>318591610</x:v>
      </x:c>
      <x:c r="E427" s="49" t="str">
        <x:v>Automation and Robotics</x:v>
      </x:c>
      <x:c r="F427" s="73" t="n">
        <x:v>6</x:v>
      </x:c>
      <x:c r="G427" s="73" t="n">
        <x:v>2</x:v>
      </x:c>
      <x:c r="H427" s="73"/>
      <x:c r="I427" s="73" t="n">
        <x:v>4</x:v>
      </x:c>
      <x:c r="J427" s="73" t="n">
        <x:v>0</x:v>
      </x:c>
      <x:c r="K427" s="49" t="str">
        <x:v>Un-Aided Autonomous Linguistic Minority - Sindhi</x:v>
      </x:c>
      <x:c r="L427" s="49" t="str">
        <x:v>MS Seats : 2 + Minority Seats : 4</x:v>
      </x:c>
      <x:c r="M427" s="49" t="str">
        <x:v>https://dse2025.mahacet.org.in/dse25/admin/allotment/cap2/3185_4.pdf</x:v>
      </x:c>
    </x:row>
    <x:row r="428">
      <x:c r="A428" s="49" t="str">
        <x:v>2025-26</x:v>
      </x:c>
      <x:c r="B428" s="63" t="n">
        <x:v>3185</x:v>
      </x:c>
      <x:c r="C428" s="49" t="str">
        <x:v>Vivekanand Education Society's Institute of Technology, Chembur, Mumbai</x:v>
      </x:c>
      <x:c r="D428" s="72" t="n">
        <x:v>318599510</x:v>
      </x:c>
      <x:c r="E428" s="49" t="str">
        <x:v>Artificial Intelligence and Data Science</x:v>
      </x:c>
      <x:c r="F428" s="73" t="n">
        <x:v>12</x:v>
      </x:c>
      <x:c r="G428" s="73" t="n">
        <x:v>5</x:v>
      </x:c>
      <x:c r="H428" s="73"/>
      <x:c r="I428" s="73" t="n">
        <x:v>7</x:v>
      </x:c>
      <x:c r="J428" s="73" t="n">
        <x:v>0</x:v>
      </x:c>
      <x:c r="K428" s="49" t="str">
        <x:v>Un-Aided Autonomous Linguistic Minority - Sindhi</x:v>
      </x:c>
      <x:c r="L428" s="49" t="str">
        <x:v>MS Seats : 5 + Minority Seats : 7</x:v>
      </x:c>
      <x:c r="M428" s="49" t="str">
        <x:v>https://dse2025.mahacet.org.in/dse25/admin/allotment/cap2/3185_4.pdf</x:v>
      </x:c>
    </x:row>
    <x:row r="429">
      <x:c r="A429" s="49" t="str">
        <x:v>2025-26</x:v>
      </x:c>
      <x:c r="B429" s="63" t="n">
        <x:v>3187</x:v>
      </x:c>
      <x:c r="C429" s="49" t="str">
        <x:v>N.Y.S.S.'s Datta Meghe College of Engineering, Airoli, Navi Mumbai</x:v>
      </x:c>
      <x:c r="D429" s="72" t="n">
        <x:v>318719110</x:v>
      </x:c>
      <x:c r="E429" s="49" t="str">
        <x:v>Civil Engineering</x:v>
      </x:c>
      <x:c r="F429" s="73" t="n">
        <x:v>57</x:v>
      </x:c>
      <x:c r="G429" s="73" t="n">
        <x:v>44</x:v>
      </x:c>
      <x:c r="H429" s="73" t="n">
        <x:v>13</x:v>
      </x:c>
      <x:c r="I429" s="73"/>
      <x:c r="J429" s="73" t="n">
        <x:v>0</x:v>
      </x:c>
      <x:c r="K429" s="49" t="str">
        <x:v>Un-Aided</x:v>
      </x:c>
      <x:c r="L429" s="49" t="str">
        <x:v>MS Seats : 44+ EWS : 13</x:v>
      </x:c>
      <x:c r="M429" s="49" t="str">
        <x:v>https://dse2025.mahacet.org.in/dse25/admin/allotment/cap2/3187_4.pdf</x:v>
      </x:c>
    </x:row>
    <x:row r="430">
      <x:c r="A430" s="49" t="str">
        <x:v>2025-26</x:v>
      </x:c>
      <x:c r="B430" s="63" t="n">
        <x:v>3187</x:v>
      </x:c>
      <x:c r="C430" s="49" t="str">
        <x:v>N.Y.S.S.'s Datta Meghe College of Engineering, Airoli, Navi Mumbai</x:v>
      </x:c>
      <x:c r="D430" s="72" t="n">
        <x:v>318724510</x:v>
      </x:c>
      <x:c r="E430" s="49" t="str">
        <x:v>Computer Engineering</x:v>
      </x:c>
      <x:c r="F430" s="73" t="n">
        <x:v>29</x:v>
      </x:c>
      <x:c r="G430" s="73" t="n">
        <x:v>25</x:v>
      </x:c>
      <x:c r="H430" s="73" t="n">
        <x:v>4</x:v>
      </x:c>
      <x:c r="I430" s="73"/>
      <x:c r="J430" s="73" t="n">
        <x:v>0</x:v>
      </x:c>
      <x:c r="K430" s="49" t="str">
        <x:v>Un-Aided</x:v>
      </x:c>
      <x:c r="L430" s="49" t="str">
        <x:v>MS Seats : 25+ EWS : 4</x:v>
      </x:c>
      <x:c r="M430" s="49" t="str">
        <x:v>https://dse2025.mahacet.org.in/dse25/admin/allotment/cap2/3187_4.pdf</x:v>
      </x:c>
    </x:row>
    <x:row r="431">
      <x:c r="A431" s="49" t="str">
        <x:v>2025-26</x:v>
      </x:c>
      <x:c r="B431" s="63" t="n">
        <x:v>3187</x:v>
      </x:c>
      <x:c r="C431" s="49" t="str">
        <x:v>N.Y.S.S.'s Datta Meghe College of Engineering, Airoli, Navi Mumbai</x:v>
      </x:c>
      <x:c r="D431" s="72" t="n">
        <x:v>318724610</x:v>
      </x:c>
      <x:c r="E431" s="49" t="str">
        <x:v>Information Technology</x:v>
      </x:c>
      <x:c r="F431" s="73" t="n">
        <x:v>33</x:v>
      </x:c>
      <x:c r="G431" s="73" t="n">
        <x:v>26</x:v>
      </x:c>
      <x:c r="H431" s="73" t="n">
        <x:v>7</x:v>
      </x:c>
      <x:c r="I431" s="73"/>
      <x:c r="J431" s="73" t="n">
        <x:v>0</x:v>
      </x:c>
      <x:c r="K431" s="49" t="str">
        <x:v>Un-Aided</x:v>
      </x:c>
      <x:c r="L431" s="49" t="str">
        <x:v>MS Seats : 26+ EWS : 7</x:v>
      </x:c>
      <x:c r="M431" s="49" t="str">
        <x:v>https://dse2025.mahacet.org.in/dse25/admin/allotment/cap2/3187_4.pdf</x:v>
      </x:c>
    </x:row>
    <x:row r="432">
      <x:c r="A432" s="49" t="str">
        <x:v>2025-26</x:v>
      </x:c>
      <x:c r="B432" s="63" t="n">
        <x:v>3187</x:v>
      </x:c>
      <x:c r="C432" s="49" t="str">
        <x:v>N.Y.S.S.'s Datta Meghe College of Engineering, Airoli, Navi Mumbai</x:v>
      </x:c>
      <x:c r="D432" s="72" t="n">
        <x:v>318737210</x:v>
      </x:c>
      <x:c r="E432" s="49" t="str">
        <x:v>Electronics and Telecommunication Engg</x:v>
      </x:c>
      <x:c r="F432" s="73" t="n">
        <x:v>52</x:v>
      </x:c>
      <x:c r="G432" s="73" t="n">
        <x:v>43</x:v>
      </x:c>
      <x:c r="H432" s="73" t="n">
        <x:v>9</x:v>
      </x:c>
      <x:c r="I432" s="73"/>
      <x:c r="J432" s="73" t="n">
        <x:v>0</x:v>
      </x:c>
      <x:c r="K432" s="49" t="str">
        <x:v>Un-Aided</x:v>
      </x:c>
      <x:c r="L432" s="49" t="str">
        <x:v>MS Seats : 43+ EWS : 9</x:v>
      </x:c>
      <x:c r="M432" s="49" t="str">
        <x:v>https://dse2025.mahacet.org.in/dse25/admin/allotment/cap2/3187_4.pdf</x:v>
      </x:c>
    </x:row>
    <x:row r="433">
      <x:c r="A433" s="49" t="str">
        <x:v>2025-26</x:v>
      </x:c>
      <x:c r="B433" s="63" t="n">
        <x:v>3187</x:v>
      </x:c>
      <x:c r="C433" s="49" t="str">
        <x:v>N.Y.S.S.'s Datta Meghe College of Engineering, Airoli, Navi Mumbai</x:v>
      </x:c>
      <x:c r="D433" s="72" t="n">
        <x:v>318750710</x:v>
      </x:c>
      <x:c r="E433" s="49" t="str">
        <x:v>Chemical Engineering</x:v>
      </x:c>
      <x:c r="F433" s="73" t="n">
        <x:v>32</x:v>
      </x:c>
      <x:c r="G433" s="73" t="n">
        <x:v>25</x:v>
      </x:c>
      <x:c r="H433" s="73" t="n">
        <x:v>7</x:v>
      </x:c>
      <x:c r="I433" s="73"/>
      <x:c r="J433" s="73" t="n">
        <x:v>0</x:v>
      </x:c>
      <x:c r="K433" s="49" t="str">
        <x:v>Un-Aided</x:v>
      </x:c>
      <x:c r="L433" s="49" t="str">
        <x:v>MS Seats : 25+ EWS : 7</x:v>
      </x:c>
      <x:c r="M433" s="49" t="str">
        <x:v>https://dse2025.mahacet.org.in/dse25/admin/allotment/cap2/3187_4.pdf</x:v>
      </x:c>
    </x:row>
    <x:row r="434">
      <x:c r="A434" s="49" t="str">
        <x:v>2025-26</x:v>
      </x:c>
      <x:c r="B434" s="63" t="n">
        <x:v>3187</x:v>
      </x:c>
      <x:c r="C434" s="49" t="str">
        <x:v>N.Y.S.S.'s Datta Meghe College of Engineering, Airoli, Navi Mumbai</x:v>
      </x:c>
      <x:c r="D434" s="72" t="n">
        <x:v>318761210</x:v>
      </x:c>
      <x:c r="E434" s="49" t="str">
        <x:v>Mechanical Engineering</x:v>
      </x:c>
      <x:c r="F434" s="73" t="n">
        <x:v>34</x:v>
      </x:c>
      <x:c r="G434" s="73" t="n">
        <x:v>28</x:v>
      </x:c>
      <x:c r="H434" s="73" t="n">
        <x:v>6</x:v>
      </x:c>
      <x:c r="I434" s="73"/>
      <x:c r="J434" s="73" t="n">
        <x:v>0</x:v>
      </x:c>
      <x:c r="K434" s="49" t="str">
        <x:v>Un-Aided</x:v>
      </x:c>
      <x:c r="L434" s="49" t="str">
        <x:v>MS Seats : 28+ EWS : 6</x:v>
      </x:c>
      <x:c r="M434" s="49" t="str">
        <x:v>https://dse2025.mahacet.org.in/dse25/admin/allotment/cap2/3187_4.pdf</x:v>
      </x:c>
    </x:row>
    <x:row r="435">
      <x:c r="A435" s="49" t="str">
        <x:v>2025-26</x:v>
      </x:c>
      <x:c r="B435" s="63" t="n">
        <x:v>3187</x:v>
      </x:c>
      <x:c r="C435" s="49" t="str">
        <x:v>N.Y.S.S.'s Datta Meghe College of Engineering, Airoli, Navi Mumbai</x:v>
      </x:c>
      <x:c r="D435" s="72" t="n">
        <x:v>318791810</x:v>
      </x:c>
      <x:c r="E435" s="49" t="str">
        <x:v>Civil and infrastructure Engineering</x:v>
      </x:c>
      <x:c r="F435" s="73" t="n">
        <x:v>32</x:v>
      </x:c>
      <x:c r="G435" s="73" t="n">
        <x:v>25</x:v>
      </x:c>
      <x:c r="H435" s="73" t="n">
        <x:v>7</x:v>
      </x:c>
      <x:c r="I435" s="73"/>
      <x:c r="J435" s="73" t="n">
        <x:v>0</x:v>
      </x:c>
      <x:c r="K435" s="49" t="str">
        <x:v>Un-Aided</x:v>
      </x:c>
      <x:c r="L435" s="49" t="str">
        <x:v>MS Seats : 25+ EWS : 7</x:v>
      </x:c>
      <x:c r="M435" s="49" t="str">
        <x:v>https://dse2025.mahacet.org.in/dse25/admin/allotment/cap2/3187_4.pdf</x:v>
      </x:c>
    </x:row>
    <x:row r="436">
      <x:c r="A436" s="49" t="str">
        <x:v>2025-26</x:v>
      </x:c>
      <x:c r="B436" s="63" t="n">
        <x:v>3187</x:v>
      </x:c>
      <x:c r="C436" s="49" t="str">
        <x:v>N.Y.S.S.'s Datta Meghe College of Engineering, Airoli, Navi Mumbai</x:v>
      </x:c>
      <x:c r="D436" s="72" t="n">
        <x:v>318799510</x:v>
      </x:c>
      <x:c r="E436" s="49" t="str">
        <x:v>Artificial Intelligence and Data Science</x:v>
      </x:c>
      <x:c r="F436" s="73" t="n">
        <x:v>30</x:v>
      </x:c>
      <x:c r="G436" s="73" t="n">
        <x:v>23</x:v>
      </x:c>
      <x:c r="H436" s="73" t="n">
        <x:v>7</x:v>
      </x:c>
      <x:c r="I436" s="73"/>
      <x:c r="J436" s="73" t="n">
        <x:v>0</x:v>
      </x:c>
      <x:c r="K436" s="49" t="str">
        <x:v>Un-Aided</x:v>
      </x:c>
      <x:c r="L436" s="49" t="str">
        <x:v>MS Seats : 23+ EWS : 7</x:v>
      </x:c>
      <x:c r="M436" s="49" t="str">
        <x:v>https://dse2025.mahacet.org.in/dse25/admin/allotment/cap2/3187_4.pdf</x:v>
      </x:c>
    </x:row>
    <x:row r="437">
      <x:c r="A437" s="49" t="str">
        <x:v>2025-26</x:v>
      </x:c>
      <x:c r="B437" s="63" t="n">
        <x:v>3188</x:v>
      </x:c>
      <x:c r="C437" s="49" t="str">
        <x:v>Vasantdada Patil Pratishthan's College Of Engineering and Visual Arts, Sion, Mumbai</x:v>
      </x:c>
      <x:c r="D437" s="72" t="n">
        <x:v>318824510</x:v>
      </x:c>
      <x:c r="E437" s="49" t="str">
        <x:v>Computer Engineering</x:v>
      </x:c>
      <x:c r="F437" s="73" t="n">
        <x:v>20</x:v>
      </x:c>
      <x:c r="G437" s="73" t="n">
        <x:v>14</x:v>
      </x:c>
      <x:c r="H437" s="73" t="n">
        <x:v>6</x:v>
      </x:c>
      <x:c r="I437" s="73"/>
      <x:c r="J437" s="73" t="n">
        <x:v>0</x:v>
      </x:c>
      <x:c r="K437" s="49" t="str">
        <x:v>Un-Aided</x:v>
      </x:c>
      <x:c r="L437" s="49" t="str">
        <x:v>MS Seats : 14+ EWS : 6</x:v>
      </x:c>
      <x:c r="M437" s="49" t="str">
        <x:v>https://dse2025.mahacet.org.in/dse25/admin/allotment/cap2/3188_4.pdf</x:v>
      </x:c>
    </x:row>
    <x:row r="438">
      <x:c r="A438" s="49" t="str">
        <x:v>2025-26</x:v>
      </x:c>
      <x:c r="B438" s="63" t="n">
        <x:v>3188</x:v>
      </x:c>
      <x:c r="C438" s="49" t="str">
        <x:v>Vasantdada Patil Pratishthan's College Of Engineering and Visual Arts, Sion, Mumbai</x:v>
      </x:c>
      <x:c r="D438" s="72" t="n">
        <x:v>318824610</x:v>
      </x:c>
      <x:c r="E438" s="49" t="str">
        <x:v>Information Technology</x:v>
      </x:c>
      <x:c r="F438" s="73" t="n">
        <x:v>19</x:v>
      </x:c>
      <x:c r="G438" s="73" t="n">
        <x:v>13</x:v>
      </x:c>
      <x:c r="H438" s="73" t="n">
        <x:v>6</x:v>
      </x:c>
      <x:c r="I438" s="73"/>
      <x:c r="J438" s="73" t="n">
        <x:v>0</x:v>
      </x:c>
      <x:c r="K438" s="49" t="str">
        <x:v>Un-Aided</x:v>
      </x:c>
      <x:c r="L438" s="49" t="str">
        <x:v>MS Seats : 13+ EWS : 6</x:v>
      </x:c>
      <x:c r="M438" s="49" t="str">
        <x:v>https://dse2025.mahacet.org.in/dse25/admin/allotment/cap2/3188_4.pdf</x:v>
      </x:c>
    </x:row>
    <x:row r="439">
      <x:c r="A439" s="49" t="str">
        <x:v>2025-26</x:v>
      </x:c>
      <x:c r="B439" s="63" t="n">
        <x:v>3188</x:v>
      </x:c>
      <x:c r="C439" s="49" t="str">
        <x:v>Vasantdada Patil Pratishthan's College Of Engineering and Visual Arts, Sion, Mumbai</x:v>
      </x:c>
      <x:c r="D439" s="72" t="n">
        <x:v>318862410</x:v>
      </x:c>
      <x:c r="E439" s="49" t="str">
        <x:v>Mechatronics Engineering</x:v>
      </x:c>
      <x:c r="F439" s="73" t="n">
        <x:v>22</x:v>
      </x:c>
      <x:c r="G439" s="73" t="n">
        <x:v>15</x:v>
      </x:c>
      <x:c r="H439" s="73" t="n">
        <x:v>7</x:v>
      </x:c>
      <x:c r="I439" s="73"/>
      <x:c r="J439" s="73" t="n">
        <x:v>0</x:v>
      </x:c>
      <x:c r="K439" s="49" t="str">
        <x:v>Un-Aided</x:v>
      </x:c>
      <x:c r="L439" s="49" t="str">
        <x:v>MS Seats : 15+ EWS : 7</x:v>
      </x:c>
      <x:c r="M439" s="49" t="str">
        <x:v>https://dse2025.mahacet.org.in/dse25/admin/allotment/cap2/3188_4.pdf</x:v>
      </x:c>
    </x:row>
    <x:row r="440">
      <x:c r="A440" s="49" t="str">
        <x:v>2025-26</x:v>
      </x:c>
      <x:c r="B440" s="63" t="n">
        <x:v>3188</x:v>
      </x:c>
      <x:c r="C440" s="49" t="str">
        <x:v>Vasantdada Patil Pratishthan's College Of Engineering and Visual Arts, Sion, Mumbai</x:v>
      </x:c>
      <x:c r="D440" s="72" t="n">
        <x:v>318890010</x:v>
      </x:c>
      <x:c r="E440" s="49" t="str">
        <x:v>Electronics and Computer Science</x:v>
      </x:c>
      <x:c r="F440" s="73" t="n">
        <x:v>14</x:v>
      </x:c>
      <x:c r="G440" s="73" t="n">
        <x:v>9</x:v>
      </x:c>
      <x:c r="H440" s="73" t="n">
        <x:v>5</x:v>
      </x:c>
      <x:c r="I440" s="73"/>
      <x:c r="J440" s="73" t="n">
        <x:v>0</x:v>
      </x:c>
      <x:c r="K440" s="49" t="str">
        <x:v>Un-Aided</x:v>
      </x:c>
      <x:c r="L440" s="49" t="str">
        <x:v>MS Seats : 9+ EWS : 5</x:v>
      </x:c>
      <x:c r="M440" s="49" t="str">
        <x:v>https://dse2025.mahacet.org.in/dse25/admin/allotment/cap2/3188_4.pdf</x:v>
      </x:c>
    </x:row>
    <x:row r="441">
      <x:c r="A441" s="49" t="str">
        <x:v>2025-26</x:v>
      </x:c>
      <x:c r="B441" s="63" t="n">
        <x:v>3188</x:v>
      </x:c>
      <x:c r="C441" s="49" t="str">
        <x:v>Vasantdada Patil Pratishthan's College Of Engineering and Visual Arts, Sion, Mumbai</x:v>
      </x:c>
      <x:c r="D441" s="72" t="n">
        <x:v>318891110</x:v>
      </x:c>
      <x:c r="E441" s="49" t="str">
        <x:v>Computer Science and Engineering(Artificial Intelligence and Machine Learning)</x:v>
      </x:c>
      <x:c r="F441" s="73" t="n">
        <x:v>11</x:v>
      </x:c>
      <x:c r="G441" s="73" t="n">
        <x:v>7</x:v>
      </x:c>
      <x:c r="H441" s="73" t="n">
        <x:v>4</x:v>
      </x:c>
      <x:c r="I441" s="73"/>
      <x:c r="J441" s="73" t="n">
        <x:v>0</x:v>
      </x:c>
      <x:c r="K441" s="49" t="str">
        <x:v>Un-Aided</x:v>
      </x:c>
      <x:c r="L441" s="49" t="str">
        <x:v>MS Seats : 7+ EWS : 4</x:v>
      </x:c>
      <x:c r="M441" s="49" t="str">
        <x:v>https://dse2025.mahacet.org.in/dse25/admin/allotment/cap2/3188_4.pdf</x:v>
      </x:c>
    </x:row>
    <x:row r="442">
      <x:c r="A442" s="49" t="str">
        <x:v>2025-26</x:v>
      </x:c>
      <x:c r="B442" s="63" t="n">
        <x:v>3189</x:v>
      </x:c>
      <x:c r="C442" s="49" t="str">
        <x:v>Bharati Vidyapeeth College of Engineering, Navi Mumbai</x:v>
      </x:c>
      <x:c r="D442" s="72" t="n">
        <x:v>318924510</x:v>
      </x:c>
      <x:c r="E442" s="49" t="str">
        <x:v>Computer Engineering</x:v>
      </x:c>
      <x:c r="F442" s="73" t="n">
        <x:v>19</x:v>
      </x:c>
      <x:c r="G442" s="73" t="n">
        <x:v>13</x:v>
      </x:c>
      <x:c r="H442" s="73" t="n">
        <x:v>6</x:v>
      </x:c>
      <x:c r="I442" s="73"/>
      <x:c r="J442" s="73" t="n">
        <x:v>0</x:v>
      </x:c>
      <x:c r="K442" s="49" t="str">
        <x:v>Un-Aided</x:v>
      </x:c>
      <x:c r="L442" s="49" t="str">
        <x:v>MS Seats : 13+ EWS : 6</x:v>
      </x:c>
      <x:c r="M442" s="49" t="str">
        <x:v>https://dse2025.mahacet.org.in/dse25/admin/allotment/cap2/3189_4.pdf</x:v>
      </x:c>
    </x:row>
    <x:row r="443">
      <x:c r="A443" s="49" t="str">
        <x:v>2025-26</x:v>
      </x:c>
      <x:c r="B443" s="63" t="n">
        <x:v>3189</x:v>
      </x:c>
      <x:c r="C443" s="49" t="str">
        <x:v>Bharati Vidyapeeth College of Engineering, Navi Mumbai</x:v>
      </x:c>
      <x:c r="D443" s="72" t="n">
        <x:v>318924610</x:v>
      </x:c>
      <x:c r="E443" s="49" t="str">
        <x:v>Information Technology</x:v>
      </x:c>
      <x:c r="F443" s="73" t="n">
        <x:v>11</x:v>
      </x:c>
      <x:c r="G443" s="73" t="n">
        <x:v>7</x:v>
      </x:c>
      <x:c r="H443" s="73" t="n">
        <x:v>4</x:v>
      </x:c>
      <x:c r="I443" s="73"/>
      <x:c r="J443" s="73" t="n">
        <x:v>0</x:v>
      </x:c>
      <x:c r="K443" s="49" t="str">
        <x:v>Un-Aided</x:v>
      </x:c>
      <x:c r="L443" s="49" t="str">
        <x:v>MS Seats : 7+ EWS : 4</x:v>
      </x:c>
      <x:c r="M443" s="49" t="str">
        <x:v>https://dse2025.mahacet.org.in/dse25/admin/allotment/cap2/3189_4.pdf</x:v>
      </x:c>
    </x:row>
    <x:row r="444">
      <x:c r="A444" s="49" t="str">
        <x:v>2025-26</x:v>
      </x:c>
      <x:c r="B444" s="63" t="n">
        <x:v>3189</x:v>
      </x:c>
      <x:c r="C444" s="49" t="str">
        <x:v>Bharati Vidyapeeth College of Engineering, Navi Mumbai</x:v>
      </x:c>
      <x:c r="D444" s="72" t="n">
        <x:v>318937210</x:v>
      </x:c>
      <x:c r="E444" s="49" t="str">
        <x:v>Electronics and Telecommunication Engg</x:v>
      </x:c>
      <x:c r="F444" s="73" t="n">
        <x:v>19</x:v>
      </x:c>
      <x:c r="G444" s="73" t="n">
        <x:v>14</x:v>
      </x:c>
      <x:c r="H444" s="73" t="n">
        <x:v>5</x:v>
      </x:c>
      <x:c r="I444" s="73"/>
      <x:c r="J444" s="73" t="n">
        <x:v>0</x:v>
      </x:c>
      <x:c r="K444" s="49" t="str">
        <x:v>Un-Aided</x:v>
      </x:c>
      <x:c r="L444" s="49" t="str">
        <x:v>MS Seats : 14+ EWS : 5</x:v>
      </x:c>
      <x:c r="M444" s="49" t="str">
        <x:v>https://dse2025.mahacet.org.in/dse25/admin/allotment/cap2/3189_4.pdf</x:v>
      </x:c>
    </x:row>
    <x:row r="445">
      <x:c r="A445" s="49" t="str">
        <x:v>2025-26</x:v>
      </x:c>
      <x:c r="B445" s="63" t="n">
        <x:v>3189</x:v>
      </x:c>
      <x:c r="C445" s="49" t="str">
        <x:v>Bharati Vidyapeeth College of Engineering, Navi Mumbai</x:v>
      </x:c>
      <x:c r="D445" s="72" t="n">
        <x:v>318946610</x:v>
      </x:c>
      <x:c r="E445" s="49" t="str">
        <x:v>Instrumentation Engineering</x:v>
      </x:c>
      <x:c r="F445" s="73" t="n">
        <x:v>12</x:v>
      </x:c>
      <x:c r="G445" s="73" t="n">
        <x:v>7</x:v>
      </x:c>
      <x:c r="H445" s="73" t="n">
        <x:v>5</x:v>
      </x:c>
      <x:c r="I445" s="73"/>
      <x:c r="J445" s="73" t="n">
        <x:v>0</x:v>
      </x:c>
      <x:c r="K445" s="49" t="str">
        <x:v>Un-Aided</x:v>
      </x:c>
      <x:c r="L445" s="49" t="str">
        <x:v>MS Seats : 7+ EWS : 5</x:v>
      </x:c>
      <x:c r="M445" s="49" t="str">
        <x:v>https://dse2025.mahacet.org.in/dse25/admin/allotment/cap2/3189_4.pdf</x:v>
      </x:c>
    </x:row>
    <x:row r="446">
      <x:c r="A446" s="49" t="str">
        <x:v>2025-26</x:v>
      </x:c>
      <x:c r="B446" s="63" t="n">
        <x:v>3189</x:v>
      </x:c>
      <x:c r="C446" s="49" t="str">
        <x:v>Bharati Vidyapeeth College of Engineering, Navi Mumbai</x:v>
      </x:c>
      <x:c r="D446" s="72" t="n">
        <x:v>318950710</x:v>
      </x:c>
      <x:c r="E446" s="49" t="str">
        <x:v>Chemical Engineering</x:v>
      </x:c>
      <x:c r="F446" s="73" t="n">
        <x:v>12</x:v>
      </x:c>
      <x:c r="G446" s="73" t="n">
        <x:v>7</x:v>
      </x:c>
      <x:c r="H446" s="73" t="n">
        <x:v>5</x:v>
      </x:c>
      <x:c r="I446" s="73"/>
      <x:c r="J446" s="73" t="n">
        <x:v>0</x:v>
      </x:c>
      <x:c r="K446" s="49" t="str">
        <x:v>Un-Aided</x:v>
      </x:c>
      <x:c r="L446" s="49" t="str">
        <x:v>MS Seats : 7+ EWS : 5</x:v>
      </x:c>
      <x:c r="M446" s="49" t="str">
        <x:v>https://dse2025.mahacet.org.in/dse25/admin/allotment/cap2/3189_4.pdf</x:v>
      </x:c>
    </x:row>
    <x:row r="447">
      <x:c r="A447" s="49" t="str">
        <x:v>2025-26</x:v>
      </x:c>
      <x:c r="B447" s="63" t="n">
        <x:v>3189</x:v>
      </x:c>
      <x:c r="C447" s="49" t="str">
        <x:v>Bharati Vidyapeeth College of Engineering, Navi Mumbai</x:v>
      </x:c>
      <x:c r="D447" s="72" t="n">
        <x:v>318961210</x:v>
      </x:c>
      <x:c r="E447" s="49" t="str">
        <x:v>Mechanical Engineering</x:v>
      </x:c>
      <x:c r="F447" s="73" t="n">
        <x:v>27</x:v>
      </x:c>
      <x:c r="G447" s="73" t="n">
        <x:v>16</x:v>
      </x:c>
      <x:c r="H447" s="73" t="n">
        <x:v>11</x:v>
      </x:c>
      <x:c r="I447" s="73"/>
      <x:c r="J447" s="73" t="n">
        <x:v>0</x:v>
      </x:c>
      <x:c r="K447" s="49" t="str">
        <x:v>Un-Aided</x:v>
      </x:c>
      <x:c r="L447" s="49" t="str">
        <x:v>MS Seats : 16+ EWS : 11</x:v>
      </x:c>
      <x:c r="M447" s="49" t="str">
        <x:v>https://dse2025.mahacet.org.in/dse25/admin/allotment/cap2/3189_4.pdf</x:v>
      </x:c>
    </x:row>
    <x:row r="448">
      <x:c r="A448" s="49" t="str">
        <x:v>2025-26</x:v>
      </x:c>
      <x:c r="B448" s="63" t="n">
        <x:v>3190</x:v>
      </x:c>
      <x:c r="C448" s="49" t="str">
        <x:v>Terna Engineering College, Nerul, Navi Mumbai</x:v>
      </x:c>
      <x:c r="D448" s="72" t="n">
        <x:v>319019110</x:v>
      </x:c>
      <x:c r="E448" s="49" t="str">
        <x:v>Civil Engineering</x:v>
      </x:c>
      <x:c r="F448" s="73" t="n">
        <x:v>28</x:v>
      </x:c>
      <x:c r="G448" s="73" t="n">
        <x:v>23</x:v>
      </x:c>
      <x:c r="H448" s="73" t="n">
        <x:v>5</x:v>
      </x:c>
      <x:c r="I448" s="73"/>
      <x:c r="J448" s="73" t="n">
        <x:v>0</x:v>
      </x:c>
      <x:c r="K448" s="49" t="str">
        <x:v>Un-Aided</x:v>
      </x:c>
      <x:c r="L448" s="49" t="str">
        <x:v>MS Seats : 23+ EWS : 5</x:v>
      </x:c>
      <x:c r="M448" s="49" t="str">
        <x:v>https://dse2025.mahacet.org.in/dse25/admin/allotment/cap2/3190_4.pdf</x:v>
      </x:c>
    </x:row>
    <x:row r="449">
      <x:c r="A449" s="49" t="str">
        <x:v>2025-26</x:v>
      </x:c>
      <x:c r="B449" s="63" t="n">
        <x:v>3190</x:v>
      </x:c>
      <x:c r="C449" s="49" t="str">
        <x:v>Terna Engineering College, Nerul, Navi Mumbai</x:v>
      </x:c>
      <x:c r="D449" s="72" t="n">
        <x:v>319024510</x:v>
      </x:c>
      <x:c r="E449" s="49" t="str">
        <x:v>Computer Engineering</x:v>
      </x:c>
      <x:c r="F449" s="73" t="n">
        <x:v>35</x:v>
      </x:c>
      <x:c r="G449" s="73" t="n">
        <x:v>28</x:v>
      </x:c>
      <x:c r="H449" s="73" t="n">
        <x:v>7</x:v>
      </x:c>
      <x:c r="I449" s="73"/>
      <x:c r="J449" s="73" t="n">
        <x:v>0</x:v>
      </x:c>
      <x:c r="K449" s="49" t="str">
        <x:v>Un-Aided</x:v>
      </x:c>
      <x:c r="L449" s="49" t="str">
        <x:v>MS Seats : 28+ EWS : 7</x:v>
      </x:c>
      <x:c r="M449" s="49" t="str">
        <x:v>https://dse2025.mahacet.org.in/dse25/admin/allotment/cap2/3190_4.pdf</x:v>
      </x:c>
    </x:row>
    <x:row r="450">
      <x:c r="A450" s="49" t="str">
        <x:v>2025-26</x:v>
      </x:c>
      <x:c r="B450" s="63" t="n">
        <x:v>3190</x:v>
      </x:c>
      <x:c r="C450" s="49" t="str">
        <x:v>Terna Engineering College, Nerul, Navi Mumbai</x:v>
      </x:c>
      <x:c r="D450" s="72" t="n">
        <x:v>319024610</x:v>
      </x:c>
      <x:c r="E450" s="49" t="str">
        <x:v>Information Technology</x:v>
      </x:c>
      <x:c r="F450" s="73" t="n">
        <x:v>11</x:v>
      </x:c>
      <x:c r="G450" s="73" t="n">
        <x:v>8</x:v>
      </x:c>
      <x:c r="H450" s="73" t="n">
        <x:v>3</x:v>
      </x:c>
      <x:c r="I450" s="73"/>
      <x:c r="J450" s="73" t="n">
        <x:v>0</x:v>
      </x:c>
      <x:c r="K450" s="49" t="str">
        <x:v>Un-Aided</x:v>
      </x:c>
      <x:c r="L450" s="49" t="str">
        <x:v>MS Seats : 8+ EWS : 3</x:v>
      </x:c>
      <x:c r="M450" s="49" t="str">
        <x:v>https://dse2025.mahacet.org.in/dse25/admin/allotment/cap2/3190_4.pdf</x:v>
      </x:c>
    </x:row>
    <x:row r="451">
      <x:c r="A451" s="49" t="str">
        <x:v>2025-26</x:v>
      </x:c>
      <x:c r="B451" s="63" t="n">
        <x:v>3190</x:v>
      </x:c>
      <x:c r="C451" s="49" t="str">
        <x:v>Terna Engineering College, Nerul, Navi Mumbai</x:v>
      </x:c>
      <x:c r="D451" s="72" t="n">
        <x:v>319026310</x:v>
      </x:c>
      <x:c r="E451" s="49" t="str">
        <x:v>Artificial Intelligence (AI) and Data Science</x:v>
      </x:c>
      <x:c r="F451" s="73" t="n">
        <x:v>9</x:v>
      </x:c>
      <x:c r="G451" s="73" t="n">
        <x:v>8</x:v>
      </x:c>
      <x:c r="H451" s="73" t="n">
        <x:v>1</x:v>
      </x:c>
      <x:c r="I451" s="73"/>
      <x:c r="J451" s="73" t="n">
        <x:v>0</x:v>
      </x:c>
      <x:c r="K451" s="49" t="str">
        <x:v>Un-Aided</x:v>
      </x:c>
      <x:c r="L451" s="49" t="str">
        <x:v>MS Seats : 8+ EWS : 1</x:v>
      </x:c>
      <x:c r="M451" s="49" t="str">
        <x:v>https://dse2025.mahacet.org.in/dse25/admin/allotment/cap2/3190_4.pdf</x:v>
      </x:c>
    </x:row>
    <x:row r="452">
      <x:c r="A452" s="49" t="str">
        <x:v>2025-26</x:v>
      </x:c>
      <x:c r="B452" s="63" t="n">
        <x:v>3190</x:v>
      </x:c>
      <x:c r="C452" s="49" t="str">
        <x:v>Terna Engineering College, Nerul, Navi Mumbai</x:v>
      </x:c>
      <x:c r="D452" s="72" t="n">
        <x:v>319037210</x:v>
      </x:c>
      <x:c r="E452" s="49" t="str">
        <x:v>Electronics and Telecommunication Engg</x:v>
      </x:c>
      <x:c r="F452" s="73" t="n">
        <x:v>41</x:v>
      </x:c>
      <x:c r="G452" s="73" t="n">
        <x:v>33</x:v>
      </x:c>
      <x:c r="H452" s="73" t="n">
        <x:v>8</x:v>
      </x:c>
      <x:c r="I452" s="73"/>
      <x:c r="J452" s="73" t="n">
        <x:v>0</x:v>
      </x:c>
      <x:c r="K452" s="49" t="str">
        <x:v>Un-Aided</x:v>
      </x:c>
      <x:c r="L452" s="49" t="str">
        <x:v>MS Seats : 33+ EWS : 8</x:v>
      </x:c>
      <x:c r="M452" s="49" t="str">
        <x:v>https://dse2025.mahacet.org.in/dse25/admin/allotment/cap2/3190_4.pdf</x:v>
      </x:c>
    </x:row>
    <x:row r="453">
      <x:c r="A453" s="49" t="str">
        <x:v>2025-26</x:v>
      </x:c>
      <x:c r="B453" s="63" t="n">
        <x:v>3190</x:v>
      </x:c>
      <x:c r="C453" s="49" t="str">
        <x:v>Terna Engineering College, Nerul, Navi Mumbai</x:v>
      </x:c>
      <x:c r="D453" s="72" t="n">
        <x:v>319037610</x:v>
      </x:c>
      <x:c r="E453" s="49" t="str">
        <x:v>Electronics Engineering</x:v>
      </x:c>
      <x:c r="F453" s="73" t="n">
        <x:v>28</x:v>
      </x:c>
      <x:c r="G453" s="73" t="n">
        <x:v>22</x:v>
      </x:c>
      <x:c r="H453" s="73" t="n">
        <x:v>6</x:v>
      </x:c>
      <x:c r="I453" s="73"/>
      <x:c r="J453" s="73" t="n">
        <x:v>0</x:v>
      </x:c>
      <x:c r="K453" s="49" t="str">
        <x:v>Un-Aided</x:v>
      </x:c>
      <x:c r="L453" s="49" t="str">
        <x:v>MS Seats : 22+ EWS : 6</x:v>
      </x:c>
      <x:c r="M453" s="49" t="str">
        <x:v>https://dse2025.mahacet.org.in/dse25/admin/allotment/cap2/3190_4.pdf</x:v>
      </x:c>
    </x:row>
    <x:row r="454">
      <x:c r="A454" s="49" t="str">
        <x:v>2025-26</x:v>
      </x:c>
      <x:c r="B454" s="63" t="n">
        <x:v>3190</x:v>
      </x:c>
      <x:c r="C454" s="49" t="str">
        <x:v>Terna Engineering College, Nerul, Navi Mumbai</x:v>
      </x:c>
      <x:c r="D454" s="72" t="n">
        <x:v>319061210</x:v>
      </x:c>
      <x:c r="E454" s="49" t="str">
        <x:v>Mechanical Engineering</x:v>
      </x:c>
      <x:c r="F454" s="73" t="n">
        <x:v>33</x:v>
      </x:c>
      <x:c r="G454" s="73" t="n">
        <x:v>26</x:v>
      </x:c>
      <x:c r="H454" s="73" t="n">
        <x:v>7</x:v>
      </x:c>
      <x:c r="I454" s="73"/>
      <x:c r="J454" s="73" t="n">
        <x:v>0</x:v>
      </x:c>
      <x:c r="K454" s="49" t="str">
        <x:v>Un-Aided</x:v>
      </x:c>
      <x:c r="L454" s="49" t="str">
        <x:v>MS Seats : 26+ EWS : 7</x:v>
      </x:c>
      <x:c r="M454" s="49" t="str">
        <x:v>https://dse2025.mahacet.org.in/dse25/admin/allotment/cap2/3190_4.pdf</x:v>
      </x:c>
    </x:row>
    <x:row r="455">
      <x:c r="A455" s="49" t="str">
        <x:v>2025-26</x:v>
      </x:c>
      <x:c r="B455" s="63" t="n">
        <x:v>3190</x:v>
      </x:c>
      <x:c r="C455" s="49" t="str">
        <x:v>Terna Engineering College, Nerul, Navi Mumbai</x:v>
      </x:c>
      <x:c r="D455" s="72" t="n">
        <x:v>319062410</x:v>
      </x:c>
      <x:c r="E455" s="49" t="str">
        <x:v>Mechatronics Engineering</x:v>
      </x:c>
      <x:c r="F455" s="73" t="n">
        <x:v>23</x:v>
      </x:c>
      <x:c r="G455" s="73" t="n">
        <x:v>18</x:v>
      </x:c>
      <x:c r="H455" s="73" t="n">
        <x:v>5</x:v>
      </x:c>
      <x:c r="I455" s="73"/>
      <x:c r="J455" s="73" t="n">
        <x:v>0</x:v>
      </x:c>
      <x:c r="K455" s="49" t="str">
        <x:v>Un-Aided</x:v>
      </x:c>
      <x:c r="L455" s="49" t="str">
        <x:v>MS Seats : 18+ EWS : 5</x:v>
      </x:c>
      <x:c r="M455" s="49" t="str">
        <x:v>https://dse2025.mahacet.org.in/dse25/admin/allotment/cap2/3190_4.pdf</x:v>
      </x:c>
    </x:row>
    <x:row r="456">
      <x:c r="A456" s="49" t="str">
        <x:v>2025-26</x:v>
      </x:c>
      <x:c r="B456" s="63" t="n">
        <x:v>3192</x:v>
      </x:c>
      <x:c r="C456" s="49" t="str">
        <x:v>Smt. Indira Gandhi College of Engineering, Navi Mumbai</x:v>
      </x:c>
      <x:c r="D456" s="72" t="n">
        <x:v>319224510</x:v>
      </x:c>
      <x:c r="E456" s="49" t="str">
        <x:v>Computer Engineering</x:v>
      </x:c>
      <x:c r="F456" s="73" t="n">
        <x:v>20</x:v>
      </x:c>
      <x:c r="G456" s="73" t="n">
        <x:v>13</x:v>
      </x:c>
      <x:c r="H456" s="73" t="n">
        <x:v>7</x:v>
      </x:c>
      <x:c r="I456" s="73"/>
      <x:c r="J456" s="73" t="n">
        <x:v>0</x:v>
      </x:c>
      <x:c r="K456" s="49" t="str">
        <x:v>Un-Aided</x:v>
      </x:c>
      <x:c r="L456" s="49" t="str">
        <x:v>MS Seats : 13+ EWS : 7</x:v>
      </x:c>
      <x:c r="M456" s="49" t="str">
        <x:v>https://dse2025.mahacet.org.in/dse25/admin/allotment/cap2/3192_4.pdf</x:v>
      </x:c>
    </x:row>
    <x:row r="457">
      <x:c r="A457" s="49" t="str">
        <x:v>2025-26</x:v>
      </x:c>
      <x:c r="B457" s="63" t="n">
        <x:v>3192</x:v>
      </x:c>
      <x:c r="C457" s="49" t="str">
        <x:v>Smt. Indira Gandhi College of Engineering, Navi Mumbai</x:v>
      </x:c>
      <x:c r="D457" s="72" t="n">
        <x:v>319229310</x:v>
      </x:c>
      <x:c r="E457" s="49" t="str">
        <x:v>Electrical Engineering</x:v>
      </x:c>
      <x:c r="F457" s="73" t="n">
        <x:v>29</x:v>
      </x:c>
      <x:c r="G457" s="73" t="n">
        <x:v>22</x:v>
      </x:c>
      <x:c r="H457" s="73" t="n">
        <x:v>7</x:v>
      </x:c>
      <x:c r="I457" s="73"/>
      <x:c r="J457" s="73" t="n">
        <x:v>0</x:v>
      </x:c>
      <x:c r="K457" s="49" t="str">
        <x:v>Un-Aided</x:v>
      </x:c>
      <x:c r="L457" s="49" t="str">
        <x:v>MS Seats : 22+ EWS : 7</x:v>
      </x:c>
      <x:c r="M457" s="49" t="str">
        <x:v>https://dse2025.mahacet.org.in/dse25/admin/allotment/cap2/3192_4.pdf</x:v>
      </x:c>
    </x:row>
    <x:row r="458">
      <x:c r="A458" s="49" t="str">
        <x:v>2025-26</x:v>
      </x:c>
      <x:c r="B458" s="63" t="n">
        <x:v>3192</x:v>
      </x:c>
      <x:c r="C458" s="49" t="str">
        <x:v>Smt. Indira Gandhi College of Engineering, Navi Mumbai</x:v>
      </x:c>
      <x:c r="D458" s="72" t="n">
        <x:v>319261210</x:v>
      </x:c>
      <x:c r="E458" s="49" t="str">
        <x:v>Mechanical Engineering</x:v>
      </x:c>
      <x:c r="F458" s="73" t="n">
        <x:v>44</x:v>
      </x:c>
      <x:c r="G458" s="73" t="n">
        <x:v>37</x:v>
      </x:c>
      <x:c r="H458" s="73" t="n">
        <x:v>7</x:v>
      </x:c>
      <x:c r="I458" s="73"/>
      <x:c r="J458" s="73" t="n">
        <x:v>0</x:v>
      </x:c>
      <x:c r="K458" s="49" t="str">
        <x:v>Un-Aided</x:v>
      </x:c>
      <x:c r="L458" s="49" t="str">
        <x:v>MS Seats : 37+ EWS : 7</x:v>
      </x:c>
      <x:c r="M458" s="49" t="str">
        <x:v>https://dse2025.mahacet.org.in/dse25/admin/allotment/cap2/3192_4.pdf</x:v>
      </x:c>
    </x:row>
    <x:row r="459">
      <x:c r="A459" s="49" t="str">
        <x:v>2025-26</x:v>
      </x:c>
      <x:c r="B459" s="63" t="n">
        <x:v>3192</x:v>
      </x:c>
      <x:c r="C459" s="49" t="str">
        <x:v>Smt. Indira Gandhi College of Engineering, Navi Mumbai</x:v>
      </x:c>
      <x:c r="D459" s="72" t="n">
        <x:v>319291110</x:v>
      </x:c>
      <x:c r="E459" s="49" t="str">
        <x:v>Computer Science and Engineering(Artificial Intelligence and Machine Learning)</x:v>
      </x:c>
      <x:c r="F459" s="73" t="n">
        <x:v>9</x:v>
      </x:c>
      <x:c r="G459" s="73" t="n">
        <x:v>7</x:v>
      </x:c>
      <x:c r="H459" s="73" t="n">
        <x:v>2</x:v>
      </x:c>
      <x:c r="I459" s="73"/>
      <x:c r="J459" s="73" t="n">
        <x:v>0</x:v>
      </x:c>
      <x:c r="K459" s="49" t="str">
        <x:v>Un-Aided</x:v>
      </x:c>
      <x:c r="L459" s="49" t="str">
        <x:v>MS Seats : 7+ EWS : 2</x:v>
      </x:c>
      <x:c r="M459" s="49" t="str">
        <x:v>https://dse2025.mahacet.org.in/dse25/admin/allotment/cap2/3192_4.pdf</x:v>
      </x:c>
    </x:row>
    <x:row r="460">
      <x:c r="A460" s="49" t="str">
        <x:v>2025-26</x:v>
      </x:c>
      <x:c r="B460" s="63" t="n">
        <x:v>3192</x:v>
      </x:c>
      <x:c r="C460" s="49" t="str">
        <x:v>Smt. Indira Gandhi College of Engineering, Navi Mumbai</x:v>
      </x:c>
      <x:c r="D460" s="72" t="n">
        <x:v>319292010</x:v>
      </x:c>
      <x:c r="E460" s="49" t="str">
        <x:v>Computer Science and Engineering (Internet of Things and Cyber Security Including Block Chain Technology)</x:v>
      </x:c>
      <x:c r="F460" s="73" t="n">
        <x:v>13</x:v>
      </x:c>
      <x:c r="G460" s="73" t="n">
        <x:v>7</x:v>
      </x:c>
      <x:c r="H460" s="73" t="n">
        <x:v>6</x:v>
      </x:c>
      <x:c r="I460" s="73"/>
      <x:c r="J460" s="73" t="n">
        <x:v>0</x:v>
      </x:c>
      <x:c r="K460" s="49" t="str">
        <x:v>Un-Aided</x:v>
      </x:c>
      <x:c r="L460" s="49" t="str">
        <x:v>MS Seats : 7+ EWS : 6</x:v>
      </x:c>
      <x:c r="M460" s="49" t="str">
        <x:v>https://dse2025.mahacet.org.in/dse25/admin/allotment/cap2/3192_4.pdf</x:v>
      </x:c>
    </x:row>
    <x:row r="461">
      <x:c r="A461" s="49" t="str">
        <x:v>2025-26</x:v>
      </x:c>
      <x:c r="B461" s="63" t="n">
        <x:v>3192</x:v>
      </x:c>
      <x:c r="C461" s="49" t="str">
        <x:v>Smt. Indira Gandhi College of Engineering, Navi Mumbai</x:v>
      </x:c>
      <x:c r="D461" s="72" t="n">
        <x:v>319299510</x:v>
      </x:c>
      <x:c r="E461" s="49" t="str">
        <x:v>Artificial Intelligence and Data Science</x:v>
      </x:c>
      <x:c r="F461" s="73" t="n">
        <x:v>12</x:v>
      </x:c>
      <x:c r="G461" s="73" t="n">
        <x:v>7</x:v>
      </x:c>
      <x:c r="H461" s="73" t="n">
        <x:v>5</x:v>
      </x:c>
      <x:c r="I461" s="73"/>
      <x:c r="J461" s="73" t="n">
        <x:v>0</x:v>
      </x:c>
      <x:c r="K461" s="49" t="str">
        <x:v>Un-Aided</x:v>
      </x:c>
      <x:c r="L461" s="49" t="str">
        <x:v>MS Seats : 7+ EWS : 5</x:v>
      </x:c>
      <x:c r="M461" s="49" t="str">
        <x:v>https://dse2025.mahacet.org.in/dse25/admin/allotment/cap2/3192_4.pdf</x:v>
      </x:c>
    </x:row>
    <x:row r="462">
      <x:c r="A462" s="49" t="str">
        <x:v>2025-26</x:v>
      </x:c>
      <x:c r="B462" s="63" t="n">
        <x:v>3193</x:v>
      </x:c>
      <x:c r="C462" s="49" t="str">
        <x:v>Shivajirao S. Jondhale College of Engineering, Dombivali,Mumbai</x:v>
      </x:c>
      <x:c r="D462" s="72" t="n">
        <x:v>319324510</x:v>
      </x:c>
      <x:c r="E462" s="49" t="str">
        <x:v>Computer Engineering</x:v>
      </x:c>
      <x:c r="F462" s="73" t="n">
        <x:v>13</x:v>
      </x:c>
      <x:c r="G462" s="73" t="n">
        <x:v>10</x:v>
      </x:c>
      <x:c r="H462" s="73" t="n">
        <x:v>3</x:v>
      </x:c>
      <x:c r="I462" s="73"/>
      <x:c r="J462" s="73" t="n">
        <x:v>0</x:v>
      </x:c>
      <x:c r="K462" s="49" t="str">
        <x:v>Un-Aided</x:v>
      </x:c>
      <x:c r="L462" s="49" t="str">
        <x:v>MS Seats : 10+ EWS : 3</x:v>
      </x:c>
      <x:c r="M462" s="49" t="str">
        <x:v>https://dse2025.mahacet.org.in/dse25/admin/allotment/cap2/3193_4.pdf</x:v>
      </x:c>
    </x:row>
    <x:row r="463">
      <x:c r="A463" s="49" t="str">
        <x:v>2025-26</x:v>
      </x:c>
      <x:c r="B463" s="63" t="n">
        <x:v>3193</x:v>
      </x:c>
      <x:c r="C463" s="49" t="str">
        <x:v>Shivajirao S. Jondhale College of Engineering, Dombivali,Mumbai</x:v>
      </x:c>
      <x:c r="D463" s="72" t="n">
        <x:v>319324610</x:v>
      </x:c>
      <x:c r="E463" s="49" t="str">
        <x:v>Information Technology</x:v>
      </x:c>
      <x:c r="F463" s="73" t="n">
        <x:v>8</x:v>
      </x:c>
      <x:c r="G463" s="73" t="n">
        <x:v>6</x:v>
      </x:c>
      <x:c r="H463" s="73" t="n">
        <x:v>2</x:v>
      </x:c>
      <x:c r="I463" s="73"/>
      <x:c r="J463" s="73" t="n">
        <x:v>0</x:v>
      </x:c>
      <x:c r="K463" s="49" t="str">
        <x:v>Un-Aided</x:v>
      </x:c>
      <x:c r="L463" s="49" t="str">
        <x:v>MS Seats : 6+ EWS : 2</x:v>
      </x:c>
      <x:c r="M463" s="49" t="str">
        <x:v>https://dse2025.mahacet.org.in/dse25/admin/allotment/cap2/3193_4.pdf</x:v>
      </x:c>
    </x:row>
    <x:row r="464">
      <x:c r="A464" s="49" t="str">
        <x:v>2025-26</x:v>
      </x:c>
      <x:c r="B464" s="63" t="n">
        <x:v>3193</x:v>
      </x:c>
      <x:c r="C464" s="49" t="str">
        <x:v>Shivajirao S. Jondhale College of Engineering, Dombivali,Mumbai</x:v>
      </x:c>
      <x:c r="D464" s="72" t="n">
        <x:v>319337210</x:v>
      </x:c>
      <x:c r="E464" s="49" t="str">
        <x:v>Electronics and Telecommunication Engg</x:v>
      </x:c>
      <x:c r="F464" s="73" t="n">
        <x:v>39</x:v>
      </x:c>
      <x:c r="G464" s="73" t="n">
        <x:v>33</x:v>
      </x:c>
      <x:c r="H464" s="73" t="n">
        <x:v>6</x:v>
      </x:c>
      <x:c r="I464" s="73"/>
      <x:c r="J464" s="73" t="n">
        <x:v>0</x:v>
      </x:c>
      <x:c r="K464" s="49" t="str">
        <x:v>Un-Aided</x:v>
      </x:c>
      <x:c r="L464" s="49" t="str">
        <x:v>MS Seats : 33+ EWS : 6</x:v>
      </x:c>
      <x:c r="M464" s="49" t="str">
        <x:v>https://dse2025.mahacet.org.in/dse25/admin/allotment/cap2/3193_4.pdf</x:v>
      </x:c>
    </x:row>
    <x:row r="465">
      <x:c r="A465" s="49" t="str">
        <x:v>2025-26</x:v>
      </x:c>
      <x:c r="B465" s="63" t="n">
        <x:v>3193</x:v>
      </x:c>
      <x:c r="C465" s="49" t="str">
        <x:v>Shivajirao S. Jondhale College of Engineering, Dombivali,Mumbai</x:v>
      </x:c>
      <x:c r="D465" s="72" t="n">
        <x:v>319350710</x:v>
      </x:c>
      <x:c r="E465" s="49" t="str">
        <x:v>Chemical Engineering</x:v>
      </x:c>
      <x:c r="F465" s="73" t="n">
        <x:v>50</x:v>
      </x:c>
      <x:c r="G465" s="73" t="n">
        <x:v>43</x:v>
      </x:c>
      <x:c r="H465" s="73" t="n">
        <x:v>7</x:v>
      </x:c>
      <x:c r="I465" s="73"/>
      <x:c r="J465" s="73" t="n">
        <x:v>0</x:v>
      </x:c>
      <x:c r="K465" s="49" t="str">
        <x:v>Un-Aided</x:v>
      </x:c>
      <x:c r="L465" s="49" t="str">
        <x:v>MS Seats : 43+ EWS : 7</x:v>
      </x:c>
      <x:c r="M465" s="49" t="str">
        <x:v>https://dse2025.mahacet.org.in/dse25/admin/allotment/cap2/3193_4.pdf</x:v>
      </x:c>
    </x:row>
    <x:row r="466">
      <x:c r="A466" s="49" t="str">
        <x:v>2025-26</x:v>
      </x:c>
      <x:c r="B466" s="63" t="n">
        <x:v>3193</x:v>
      </x:c>
      <x:c r="C466" s="49" t="str">
        <x:v>Shivajirao S. Jondhale College of Engineering, Dombivali,Mumbai</x:v>
      </x:c>
      <x:c r="D466" s="72" t="n">
        <x:v>319361210</x:v>
      </x:c>
      <x:c r="E466" s="49" t="str">
        <x:v>Mechanical Engineering</x:v>
      </x:c>
      <x:c r="F466" s="73" t="n">
        <x:v>49</x:v>
      </x:c>
      <x:c r="G466" s="73" t="n">
        <x:v>42</x:v>
      </x:c>
      <x:c r="H466" s="73" t="n">
        <x:v>7</x:v>
      </x:c>
      <x:c r="I466" s="73"/>
      <x:c r="J466" s="73" t="n">
        <x:v>0</x:v>
      </x:c>
      <x:c r="K466" s="49" t="str">
        <x:v>Un-Aided</x:v>
      </x:c>
      <x:c r="L466" s="49" t="str">
        <x:v>MS Seats : 42+ EWS : 7</x:v>
      </x:c>
      <x:c r="M466" s="49" t="str">
        <x:v>https://dse2025.mahacet.org.in/dse25/admin/allotment/cap2/3193_4.pdf</x:v>
      </x:c>
    </x:row>
    <x:row r="467">
      <x:c r="A467" s="49" t="str">
        <x:v>2025-26</x:v>
      </x:c>
      <x:c r="B467" s="63" t="n">
        <x:v>3193</x:v>
      </x:c>
      <x:c r="C467" s="49" t="str">
        <x:v>Shivajirao S. Jondhale College of Engineering, Dombivali,Mumbai</x:v>
      </x:c>
      <x:c r="D467" s="72" t="n">
        <x:v>319392110</x:v>
      </x:c>
      <x:c r="E467" s="49" t="str">
        <x:v>Artificial Intelligence and Machine Learning</x:v>
      </x:c>
      <x:c r="F467" s="73" t="n">
        <x:v>6</x:v>
      </x:c>
      <x:c r="G467" s="73" t="n">
        <x:v>4</x:v>
      </x:c>
      <x:c r="H467" s="73" t="n">
        <x:v>2</x:v>
      </x:c>
      <x:c r="I467" s="73"/>
      <x:c r="J467" s="73" t="n">
        <x:v>0</x:v>
      </x:c>
      <x:c r="K467" s="49" t="str">
        <x:v>Un-Aided</x:v>
      </x:c>
      <x:c r="L467" s="49" t="str">
        <x:v>MS Seats : 4+ EWS : 2</x:v>
      </x:c>
      <x:c r="M467" s="49" t="str">
        <x:v>https://dse2025.mahacet.org.in/dse25/admin/allotment/cap2/3193_4.pdf</x:v>
      </x:c>
    </x:row>
    <x:row r="468">
      <x:c r="A468" s="49" t="str">
        <x:v>2025-26</x:v>
      </x:c>
      <x:c r="B468" s="63" t="n">
        <x:v>3194</x:v>
      </x:c>
      <x:c r="C468" s="49" t="str">
        <x:v>Vidyavardhini's College of Engineering and Technology, Vasai</x:v>
      </x:c>
      <x:c r="D468" s="72" t="n">
        <x:v>319419110</x:v>
      </x:c>
      <x:c r="E468" s="49" t="str">
        <x:v>Civil Engineering</x:v>
      </x:c>
      <x:c r="F468" s="73" t="n">
        <x:v>27</x:v>
      </x:c>
      <x:c r="G468" s="73" t="n">
        <x:v>21</x:v>
      </x:c>
      <x:c r="H468" s="73" t="n">
        <x:v>6</x:v>
      </x:c>
      <x:c r="I468" s="73"/>
      <x:c r="J468" s="73" t="n">
        <x:v>0</x:v>
      </x:c>
      <x:c r="K468" s="49" t="str">
        <x:v>Un-Aided</x:v>
      </x:c>
      <x:c r="L468" s="49" t="str">
        <x:v>MS Seats : 21+ EWS : 6</x:v>
      </x:c>
      <x:c r="M468" s="49" t="str">
        <x:v>https://dse2025.mahacet.org.in/dse25/admin/allotment/cap2/3194_4.pdf</x:v>
      </x:c>
    </x:row>
    <x:row r="469">
      <x:c r="A469" s="49" t="str">
        <x:v>2025-26</x:v>
      </x:c>
      <x:c r="B469" s="63" t="n">
        <x:v>3194</x:v>
      </x:c>
      <x:c r="C469" s="49" t="str">
        <x:v>Vidyavardhini's College of Engineering and Technology, Vasai</x:v>
      </x:c>
      <x:c r="D469" s="72" t="n">
        <x:v>319424510</x:v>
      </x:c>
      <x:c r="E469" s="49" t="str">
        <x:v>Computer Engineering</x:v>
      </x:c>
      <x:c r="F469" s="73" t="n">
        <x:v>28</x:v>
      </x:c>
      <x:c r="G469" s="73" t="n">
        <x:v>24</x:v>
      </x:c>
      <x:c r="H469" s="73" t="n">
        <x:v>4</x:v>
      </x:c>
      <x:c r="I469" s="73"/>
      <x:c r="J469" s="73" t="n">
        <x:v>0</x:v>
      </x:c>
      <x:c r="K469" s="49" t="str">
        <x:v>Un-Aided</x:v>
      </x:c>
      <x:c r="L469" s="49" t="str">
        <x:v>MS Seats : 24+ EWS : 4</x:v>
      </x:c>
      <x:c r="M469" s="49" t="str">
        <x:v>https://dse2025.mahacet.org.in/dse25/admin/allotment/cap2/3194_4.pdf</x:v>
      </x:c>
    </x:row>
    <x:row r="470">
      <x:c r="A470" s="49" t="str">
        <x:v>2025-26</x:v>
      </x:c>
      <x:c r="B470" s="63" t="n">
        <x:v>3194</x:v>
      </x:c>
      <x:c r="C470" s="49" t="str">
        <x:v>Vidyavardhini's College of Engineering and Technology, Vasai</x:v>
      </x:c>
      <x:c r="D470" s="72" t="n">
        <x:v>319424610</x:v>
      </x:c>
      <x:c r="E470" s="49" t="str">
        <x:v>Information Technology</x:v>
      </x:c>
      <x:c r="F470" s="73" t="n">
        <x:v>10</x:v>
      </x:c>
      <x:c r="G470" s="73" t="n">
        <x:v>7</x:v>
      </x:c>
      <x:c r="H470" s="73" t="n">
        <x:v>3</x:v>
      </x:c>
      <x:c r="I470" s="73"/>
      <x:c r="J470" s="73" t="n">
        <x:v>0</x:v>
      </x:c>
      <x:c r="K470" s="49" t="str">
        <x:v>Un-Aided</x:v>
      </x:c>
      <x:c r="L470" s="49" t="str">
        <x:v>MS Seats : 7+ EWS : 3</x:v>
      </x:c>
      <x:c r="M470" s="49" t="str">
        <x:v>https://dse2025.mahacet.org.in/dse25/admin/allotment/cap2/3194_4.pdf</x:v>
      </x:c>
    </x:row>
    <x:row r="471">
      <x:c r="A471" s="49" t="str">
        <x:v>2025-26</x:v>
      </x:c>
      <x:c r="B471" s="63" t="n">
        <x:v>3194</x:v>
      </x:c>
      <x:c r="C471" s="49" t="str">
        <x:v>Vidyavardhini's College of Engineering and Technology, Vasai</x:v>
      </x:c>
      <x:c r="D471" s="72" t="n">
        <x:v>319437210</x:v>
      </x:c>
      <x:c r="E471" s="49" t="str">
        <x:v>Electronics and Telecommunication Engg</x:v>
      </x:c>
      <x:c r="F471" s="73" t="n">
        <x:v>15</x:v>
      </x:c>
      <x:c r="G471" s="73" t="n">
        <x:v>9</x:v>
      </x:c>
      <x:c r="H471" s="73" t="n">
        <x:v>6</x:v>
      </x:c>
      <x:c r="I471" s="73"/>
      <x:c r="J471" s="73" t="n">
        <x:v>0</x:v>
      </x:c>
      <x:c r="K471" s="49" t="str">
        <x:v>Un-Aided</x:v>
      </x:c>
      <x:c r="L471" s="49" t="str">
        <x:v>MS Seats : 9+ EWS : 6</x:v>
      </x:c>
      <x:c r="M471" s="49" t="str">
        <x:v>https://dse2025.mahacet.org.in/dse25/admin/allotment/cap2/3194_4.pdf</x:v>
      </x:c>
    </x:row>
    <x:row r="472">
      <x:c r="A472" s="49" t="str">
        <x:v>2025-26</x:v>
      </x:c>
      <x:c r="B472" s="63" t="n">
        <x:v>3194</x:v>
      </x:c>
      <x:c r="C472" s="49" t="str">
        <x:v>Vidyavardhini's College of Engineering and Technology, Vasai</x:v>
      </x:c>
      <x:c r="D472" s="72" t="n">
        <x:v>319437810</x:v>
      </x:c>
      <x:c r="E472" s="49" t="str">
        <x:v>Electronics Engineering ( VLSI Design and Technology)</x:v>
      </x:c>
      <x:c r="F472" s="73" t="n">
        <x:v>26</x:v>
      </x:c>
      <x:c r="G472" s="73" t="n">
        <x:v>19</x:v>
      </x:c>
      <x:c r="H472" s="73" t="n">
        <x:v>7</x:v>
      </x:c>
      <x:c r="I472" s="73"/>
      <x:c r="J472" s="73" t="n">
        <x:v>0</x:v>
      </x:c>
      <x:c r="K472" s="49" t="str">
        <x:v>Un-Aided</x:v>
      </x:c>
      <x:c r="L472" s="49" t="str">
        <x:v>MS Seats : 19+ EWS : 7</x:v>
      </x:c>
      <x:c r="M472" s="49" t="str">
        <x:v>https://dse2025.mahacet.org.in/dse25/admin/allotment/cap2/3194_4.pdf</x:v>
      </x:c>
    </x:row>
    <x:row r="473">
      <x:c r="A473" s="49" t="str">
        <x:v>2025-26</x:v>
      </x:c>
      <x:c r="B473" s="63" t="n">
        <x:v>3194</x:v>
      </x:c>
      <x:c r="C473" s="49" t="str">
        <x:v>Vidyavardhini's College of Engineering and Technology, Vasai</x:v>
      </x:c>
      <x:c r="D473" s="72" t="n">
        <x:v>319461210</x:v>
      </x:c>
      <x:c r="E473" s="49" t="str">
        <x:v>Mechanical Engineering</x:v>
      </x:c>
      <x:c r="F473" s="73" t="n">
        <x:v>27</x:v>
      </x:c>
      <x:c r="G473" s="73" t="n">
        <x:v>23</x:v>
      </x:c>
      <x:c r="H473" s="73" t="n">
        <x:v>4</x:v>
      </x:c>
      <x:c r="I473" s="73"/>
      <x:c r="J473" s="73" t="n">
        <x:v>0</x:v>
      </x:c>
      <x:c r="K473" s="49" t="str">
        <x:v>Un-Aided</x:v>
      </x:c>
      <x:c r="L473" s="49" t="str">
        <x:v>MS Seats : 23+ EWS : 4</x:v>
      </x:c>
      <x:c r="M473" s="49" t="str">
        <x:v>https://dse2025.mahacet.org.in/dse25/admin/allotment/cap2/3194_4.pdf</x:v>
      </x:c>
    </x:row>
    <x:row r="474">
      <x:c r="A474" s="49" t="str">
        <x:v>2025-26</x:v>
      </x:c>
      <x:c r="B474" s="63" t="n">
        <x:v>3194</x:v>
      </x:c>
      <x:c r="C474" s="49" t="str">
        <x:v>Vidyavardhini's College of Engineering and Technology, Vasai</x:v>
      </x:c>
      <x:c r="D474" s="72" t="n">
        <x:v>319491210</x:v>
      </x:c>
      <x:c r="E474" s="49" t="str">
        <x:v>Computer Science and Engineering(Data Science)</x:v>
      </x:c>
      <x:c r="F474" s="73" t="n">
        <x:v>29</x:v>
      </x:c>
      <x:c r="G474" s="73" t="n">
        <x:v>24</x:v>
      </x:c>
      <x:c r="H474" s="73" t="n">
        <x:v>5</x:v>
      </x:c>
      <x:c r="I474" s="73"/>
      <x:c r="J474" s="73" t="n">
        <x:v>0</x:v>
      </x:c>
      <x:c r="K474" s="49" t="str">
        <x:v>Un-Aided</x:v>
      </x:c>
      <x:c r="L474" s="49" t="str">
        <x:v>MS Seats : 24+ EWS : 5</x:v>
      </x:c>
      <x:c r="M474" s="49" t="str">
        <x:v>https://dse2025.mahacet.org.in/dse25/admin/allotment/cap2/3194_4.pdf</x:v>
      </x:c>
    </x:row>
    <x:row r="475">
      <x:c r="A475" s="49" t="str">
        <x:v>2025-26</x:v>
      </x:c>
      <x:c r="B475" s="63" t="n">
        <x:v>3194</x:v>
      </x:c>
      <x:c r="C475" s="49" t="str">
        <x:v>Vidyavardhini's College of Engineering and Technology, Vasai</x:v>
      </x:c>
      <x:c r="D475" s="72" t="n">
        <x:v>319499510</x:v>
      </x:c>
      <x:c r="E475" s="49" t="str">
        <x:v>Artificial Intelligence and Data Science</x:v>
      </x:c>
      <x:c r="F475" s="73" t="n">
        <x:v>11</x:v>
      </x:c>
      <x:c r="G475" s="73" t="n">
        <x:v>8</x:v>
      </x:c>
      <x:c r="H475" s="73" t="n">
        <x:v>3</x:v>
      </x:c>
      <x:c r="I475" s="73"/>
      <x:c r="J475" s="73" t="n">
        <x:v>0</x:v>
      </x:c>
      <x:c r="K475" s="49" t="str">
        <x:v>Un-Aided</x:v>
      </x:c>
      <x:c r="L475" s="49" t="str">
        <x:v>MS Seats : 8+ EWS : 3</x:v>
      </x:c>
      <x:c r="M475" s="49" t="str">
        <x:v>https://dse2025.mahacet.org.in/dse25/admin/allotment/cap2/3194_4.pdf</x:v>
      </x:c>
    </x:row>
    <x:row r="476">
      <x:c r="A476" s="49" t="str">
        <x:v>2025-26</x:v>
      </x:c>
      <x:c r="B476" s="63" t="n">
        <x:v>3196</x:v>
      </x:c>
      <x:c r="C476" s="49" t="str">
        <x:v>Lokmanya Tilak College of Engineering, Kopar Khairane, Navi Mumbai</x:v>
      </x:c>
      <x:c r="D476" s="72" t="n">
        <x:v>319624510</x:v>
      </x:c>
      <x:c r="E476" s="49" t="str">
        <x:v>Computer Engineering</x:v>
      </x:c>
      <x:c r="F476" s="73" t="n">
        <x:v>12</x:v>
      </x:c>
      <x:c r="G476" s="73" t="n">
        <x:v>5</x:v>
      </x:c>
      <x:c r="H476" s="73"/>
      <x:c r="I476" s="73" t="n">
        <x:v>7</x:v>
      </x:c>
      <x:c r="J476" s="73" t="n">
        <x:v>0</x:v>
      </x:c>
      <x:c r="K476" s="49" t="str">
        <x:v>Un-Aided Linguistic Minority - Hindi</x:v>
      </x:c>
      <x:c r="L476" s="49" t="str">
        <x:v>MS Seats : 5 + Minority Seats : 7</x:v>
      </x:c>
      <x:c r="M476" s="49" t="str">
        <x:v>https://dse2025.mahacet.org.in/dse25/admin/allotment/cap2/3196_4.pdf</x:v>
      </x:c>
    </x:row>
    <x:row r="477">
      <x:c r="A477" s="49" t="str">
        <x:v>2025-26</x:v>
      </x:c>
      <x:c r="B477" s="63" t="n">
        <x:v>3196</x:v>
      </x:c>
      <x:c r="C477" s="49" t="str">
        <x:v>Lokmanya Tilak College of Engineering, Kopar Khairane, Navi Mumbai</x:v>
      </x:c>
      <x:c r="D477" s="72" t="n">
        <x:v>319629310</x:v>
      </x:c>
      <x:c r="E477" s="49" t="str">
        <x:v>Electrical Engineering</x:v>
      </x:c>
      <x:c r="F477" s="73" t="n">
        <x:v>17</x:v>
      </x:c>
      <x:c r="G477" s="73" t="n">
        <x:v>8</x:v>
      </x:c>
      <x:c r="H477" s="73"/>
      <x:c r="I477" s="73" t="n">
        <x:v>9</x:v>
      </x:c>
      <x:c r="J477" s="73" t="n">
        <x:v>0</x:v>
      </x:c>
      <x:c r="K477" s="49" t="str">
        <x:v>Un-Aided Linguistic Minority - Hindi</x:v>
      </x:c>
      <x:c r="L477" s="49" t="str">
        <x:v>MS Seats : 8 + Minority Seats : 9</x:v>
      </x:c>
      <x:c r="M477" s="49" t="str">
        <x:v>https://dse2025.mahacet.org.in/dse25/admin/allotment/cap2/3196_4.pdf</x:v>
      </x:c>
    </x:row>
    <x:row r="478">
      <x:c r="A478" s="49" t="str">
        <x:v>2025-26</x:v>
      </x:c>
      <x:c r="B478" s="63" t="n">
        <x:v>3196</x:v>
      </x:c>
      <x:c r="C478" s="49" t="str">
        <x:v>Lokmanya Tilak College of Engineering, Kopar Khairane, Navi Mumbai</x:v>
      </x:c>
      <x:c r="D478" s="72" t="n">
        <x:v>319637210</x:v>
      </x:c>
      <x:c r="E478" s="49" t="str">
        <x:v>Electronics and Telecommunication Engg</x:v>
      </x:c>
      <x:c r="F478" s="73" t="n">
        <x:v>6</x:v>
      </x:c>
      <x:c r="G478" s="73" t="n">
        <x:v>2</x:v>
      </x:c>
      <x:c r="H478" s="73"/>
      <x:c r="I478" s="73" t="n">
        <x:v>4</x:v>
      </x:c>
      <x:c r="J478" s="73" t="n">
        <x:v>0</x:v>
      </x:c>
      <x:c r="K478" s="49" t="str">
        <x:v>Un-Aided Linguistic Minority - Hindi</x:v>
      </x:c>
      <x:c r="L478" s="49" t="str">
        <x:v>MS Seats : 2 + Minority Seats : 4</x:v>
      </x:c>
      <x:c r="M478" s="49" t="str">
        <x:v>https://dse2025.mahacet.org.in/dse25/admin/allotment/cap2/3196_4.pdf</x:v>
      </x:c>
    </x:row>
    <x:row r="479">
      <x:c r="A479" s="49" t="str">
        <x:v>2025-26</x:v>
      </x:c>
      <x:c r="B479" s="63" t="n">
        <x:v>3196</x:v>
      </x:c>
      <x:c r="C479" s="49" t="str">
        <x:v>Lokmanya Tilak College of Engineering, Kopar Khairane, Navi Mumbai</x:v>
      </x:c>
      <x:c r="D479" s="72" t="n">
        <x:v>319661210</x:v>
      </x:c>
      <x:c r="E479" s="49" t="str">
        <x:v>Mechanical Engineering</x:v>
      </x:c>
      <x:c r="F479" s="73" t="n">
        <x:v>21</x:v>
      </x:c>
      <x:c r="G479" s="73" t="n">
        <x:v>10</x:v>
      </x:c>
      <x:c r="H479" s="73"/>
      <x:c r="I479" s="73" t="n">
        <x:v>11</x:v>
      </x:c>
      <x:c r="J479" s="73" t="n">
        <x:v>0</x:v>
      </x:c>
      <x:c r="K479" s="49" t="str">
        <x:v>Un-Aided Linguistic Minority - Hindi</x:v>
      </x:c>
      <x:c r="L479" s="49" t="str">
        <x:v>MS Seats : 10 + Minority Seats : 11</x:v>
      </x:c>
      <x:c r="M479" s="49" t="str">
        <x:v>https://dse2025.mahacet.org.in/dse25/admin/allotment/cap2/3196_4.pdf</x:v>
      </x:c>
    </x:row>
    <x:row r="480">
      <x:c r="A480" s="49" t="str">
        <x:v>2025-26</x:v>
      </x:c>
      <x:c r="B480" s="63" t="n">
        <x:v>3196</x:v>
      </x:c>
      <x:c r="C480" s="49" t="str">
        <x:v>Lokmanya Tilak College of Engineering, Kopar Khairane, Navi Mumbai</x:v>
      </x:c>
      <x:c r="D480" s="72" t="n">
        <x:v>319691110</x:v>
      </x:c>
      <x:c r="E480" s="49" t="str">
        <x:v>Computer Science and Engineering(Artificial Intelligence and Machine Learning)</x:v>
      </x:c>
      <x:c r="F480" s="73" t="n">
        <x:v>12</x:v>
      </x:c>
      <x:c r="G480" s="73" t="n">
        <x:v>5</x:v>
      </x:c>
      <x:c r="H480" s="73"/>
      <x:c r="I480" s="73" t="n">
        <x:v>7</x:v>
      </x:c>
      <x:c r="J480" s="73" t="n">
        <x:v>0</x:v>
      </x:c>
      <x:c r="K480" s="49" t="str">
        <x:v>Un-Aided Linguistic Minority - Hindi</x:v>
      </x:c>
      <x:c r="L480" s="49" t="str">
        <x:v>MS Seats : 5 + Minority Seats : 7</x:v>
      </x:c>
      <x:c r="M480" s="49" t="str">
        <x:v>https://dse2025.mahacet.org.in/dse25/admin/allotment/cap2/3196_4.pdf</x:v>
      </x:c>
    </x:row>
    <x:row r="481">
      <x:c r="A481" s="49" t="str">
        <x:v>2025-26</x:v>
      </x:c>
      <x:c r="B481" s="63" t="n">
        <x:v>3196</x:v>
      </x:c>
      <x:c r="C481" s="49" t="str">
        <x:v>Lokmanya Tilak College of Engineering, Kopar Khairane, Navi Mumbai</x:v>
      </x:c>
      <x:c r="D481" s="72" t="n">
        <x:v>319691210</x:v>
      </x:c>
      <x:c r="E481" s="49" t="str">
        <x:v>Computer Science and Engineering(Data Science)</x:v>
      </x:c>
      <x:c r="F481" s="73" t="n">
        <x:v>6</x:v>
      </x:c>
      <x:c r="G481" s="73" t="n">
        <x:v>2</x:v>
      </x:c>
      <x:c r="H481" s="73"/>
      <x:c r="I481" s="73" t="n">
        <x:v>4</x:v>
      </x:c>
      <x:c r="J481" s="73" t="n">
        <x:v>0</x:v>
      </x:c>
      <x:c r="K481" s="49" t="str">
        <x:v>Un-Aided Linguistic Minority - Hindi</x:v>
      </x:c>
      <x:c r="L481" s="49" t="str">
        <x:v>MS Seats : 2 + Minority Seats : 4</x:v>
      </x:c>
      <x:c r="M481" s="49" t="str">
        <x:v>https://dse2025.mahacet.org.in/dse25/admin/allotment/cap2/3196_4.pdf</x:v>
      </x:c>
    </x:row>
    <x:row r="482">
      <x:c r="A482" s="49" t="str">
        <x:v>2025-26</x:v>
      </x:c>
      <x:c r="B482" s="63" t="n">
        <x:v>3196</x:v>
      </x:c>
      <x:c r="C482" s="49" t="str">
        <x:v>Lokmanya Tilak College of Engineering, Kopar Khairane, Navi Mumbai</x:v>
      </x:c>
      <x:c r="D482" s="72" t="n">
        <x:v>319692010</x:v>
      </x:c>
      <x:c r="E482" s="49" t="str">
        <x:v>Computer Science and Engineering (Internet of Things and Cyber Security Including Block Chain Technology)</x:v>
      </x:c>
      <x:c r="F482" s="73" t="n">
        <x:v>6</x:v>
      </x:c>
      <x:c r="G482" s="73" t="n">
        <x:v>2</x:v>
      </x:c>
      <x:c r="H482" s="73"/>
      <x:c r="I482" s="73" t="n">
        <x:v>4</x:v>
      </x:c>
      <x:c r="J482" s="73" t="n">
        <x:v>0</x:v>
      </x:c>
      <x:c r="K482" s="49" t="str">
        <x:v>Un-Aided Linguistic Minority - Hindi</x:v>
      </x:c>
      <x:c r="L482" s="49" t="str">
        <x:v>MS Seats : 2 + Minority Seats : 4</x:v>
      </x:c>
      <x:c r="M482" s="49" t="str">
        <x:v>https://dse2025.mahacet.org.in/dse25/admin/allotment/cap2/3196_4.pdf</x:v>
      </x:c>
    </x:row>
    <x:row r="483">
      <x:c r="A483" s="49" t="str">
        <x:v>2025-26</x:v>
      </x:c>
      <x:c r="B483" s="63" t="n">
        <x:v>3197</x:v>
      </x:c>
      <x:c r="C483" s="49" t="str">
        <x:v>Agnel Charities' FR. C. Rodrigues Institute of Technology, Vashi, Navi Mumbai</x:v>
      </x:c>
      <x:c r="D483" s="72" t="n">
        <x:v>319724510</x:v>
      </x:c>
      <x:c r="E483" s="49" t="str">
        <x:v>Computer Engineering</x:v>
      </x:c>
      <x:c r="F483" s="73" t="n">
        <x:v>12</x:v>
      </x:c>
      <x:c r="G483" s="73" t="n">
        <x:v>5</x:v>
      </x:c>
      <x:c r="H483" s="73"/>
      <x:c r="I483" s="73" t="n">
        <x:v>7</x:v>
      </x:c>
      <x:c r="J483" s="73" t="n">
        <x:v>0</x:v>
      </x:c>
      <x:c r="K483" s="49" t="str">
        <x:v>Un-Aided Autonomous Religious Minority - Christian</x:v>
      </x:c>
      <x:c r="L483" s="49" t="str">
        <x:v>MS Seats : 5 + Minority Seats : 7</x:v>
      </x:c>
      <x:c r="M483" s="49" t="str">
        <x:v>https://dse2025.mahacet.org.in/dse25/admin/allotment/cap2/3197_4.pdf</x:v>
      </x:c>
    </x:row>
    <x:row r="484">
      <x:c r="A484" s="49" t="str">
        <x:v>2025-26</x:v>
      </x:c>
      <x:c r="B484" s="63" t="n">
        <x:v>3197</x:v>
      </x:c>
      <x:c r="C484" s="49" t="str">
        <x:v>Agnel Charities' FR. C. Rodrigues Institute of Technology, Vashi, Navi Mumbai</x:v>
      </x:c>
      <x:c r="D484" s="72" t="n">
        <x:v>319724610</x:v>
      </x:c>
      <x:c r="E484" s="49" t="str">
        <x:v>Information Technology</x:v>
      </x:c>
      <x:c r="F484" s="73" t="n">
        <x:v>6</x:v>
      </x:c>
      <x:c r="G484" s="73" t="n">
        <x:v>2</x:v>
      </x:c>
      <x:c r="H484" s="73"/>
      <x:c r="I484" s="73" t="n">
        <x:v>4</x:v>
      </x:c>
      <x:c r="J484" s="73" t="n">
        <x:v>0</x:v>
      </x:c>
      <x:c r="K484" s="49" t="str">
        <x:v>Un-Aided Autonomous Religious Minority - Christian</x:v>
      </x:c>
      <x:c r="L484" s="49" t="str">
        <x:v>MS Seats : 2 + Minority Seats : 4</x:v>
      </x:c>
      <x:c r="M484" s="49" t="str">
        <x:v>https://dse2025.mahacet.org.in/dse25/admin/allotment/cap2/3197_4.pdf</x:v>
      </x:c>
    </x:row>
    <x:row r="485">
      <x:c r="A485" s="49" t="str">
        <x:v>2025-26</x:v>
      </x:c>
      <x:c r="B485" s="63" t="n">
        <x:v>3197</x:v>
      </x:c>
      <x:c r="C485" s="49" t="str">
        <x:v>Agnel Charities' FR. C. Rodrigues Institute of Technology, Vashi, Navi Mumbai</x:v>
      </x:c>
      <x:c r="D485" s="72" t="n">
        <x:v>319729310</x:v>
      </x:c>
      <x:c r="E485" s="49" t="str">
        <x:v>Electrical Engineering</x:v>
      </x:c>
      <x:c r="F485" s="73" t="n">
        <x:v>9</x:v>
      </x:c>
      <x:c r="G485" s="73" t="n">
        <x:v>4</x:v>
      </x:c>
      <x:c r="H485" s="73"/>
      <x:c r="I485" s="73" t="n">
        <x:v>5</x:v>
      </x:c>
      <x:c r="J485" s="73" t="n">
        <x:v>0</x:v>
      </x:c>
      <x:c r="K485" s="49" t="str">
        <x:v>Un-Aided Autonomous Religious Minority - Christian</x:v>
      </x:c>
      <x:c r="L485" s="49" t="str">
        <x:v>MS Seats : 4 + Minority Seats : 5</x:v>
      </x:c>
      <x:c r="M485" s="49" t="str">
        <x:v>https://dse2025.mahacet.org.in/dse25/admin/allotment/cap2/3197_4.pdf</x:v>
      </x:c>
    </x:row>
    <x:row r="486">
      <x:c r="A486" s="49" t="str">
        <x:v>2025-26</x:v>
      </x:c>
      <x:c r="B486" s="63" t="n">
        <x:v>3197</x:v>
      </x:c>
      <x:c r="C486" s="49" t="str">
        <x:v>Agnel Charities' FR. C. Rodrigues Institute of Technology, Vashi, Navi Mumbai</x:v>
      </x:c>
      <x:c r="D486" s="72" t="n">
        <x:v>319737210</x:v>
      </x:c>
      <x:c r="E486" s="49" t="str">
        <x:v>Electronics and Telecommunication Engg</x:v>
      </x:c>
      <x:c r="F486" s="73" t="n">
        <x:v>6</x:v>
      </x:c>
      <x:c r="G486" s="73" t="n">
        <x:v>2</x:v>
      </x:c>
      <x:c r="H486" s="73"/>
      <x:c r="I486" s="73" t="n">
        <x:v>4</x:v>
      </x:c>
      <x:c r="J486" s="73" t="n">
        <x:v>0</x:v>
      </x:c>
      <x:c r="K486" s="49" t="str">
        <x:v>Un-Aided Autonomous Religious Minority - Christian</x:v>
      </x:c>
      <x:c r="L486" s="49" t="str">
        <x:v>MS Seats : 2 + Minority Seats : 4</x:v>
      </x:c>
      <x:c r="M486" s="49" t="str">
        <x:v>https://dse2025.mahacet.org.in/dse25/admin/allotment/cap2/3197_4.pdf</x:v>
      </x:c>
    </x:row>
    <x:row r="487">
      <x:c r="A487" s="49" t="str">
        <x:v>2025-26</x:v>
      </x:c>
      <x:c r="B487" s="63" t="n">
        <x:v>3197</x:v>
      </x:c>
      <x:c r="C487" s="49" t="str">
        <x:v>Agnel Charities' FR. C. Rodrigues Institute of Technology, Vashi, Navi Mumbai</x:v>
      </x:c>
      <x:c r="D487" s="72" t="n">
        <x:v>319761210</x:v>
      </x:c>
      <x:c r="E487" s="49" t="str">
        <x:v>Mechanical Engineering</x:v>
      </x:c>
      <x:c r="F487" s="73" t="n">
        <x:v>19</x:v>
      </x:c>
      <x:c r="G487" s="73" t="n">
        <x:v>9</x:v>
      </x:c>
      <x:c r="H487" s="73"/>
      <x:c r="I487" s="73" t="n">
        <x:v>10</x:v>
      </x:c>
      <x:c r="J487" s="73" t="n">
        <x:v>0</x:v>
      </x:c>
      <x:c r="K487" s="49" t="str">
        <x:v>Un-Aided Autonomous Religious Minority - Christian</x:v>
      </x:c>
      <x:c r="L487" s="49" t="str">
        <x:v>MS Seats : 9 + Minority Seats : 10</x:v>
      </x:c>
      <x:c r="M487" s="49" t="str">
        <x:v>https://dse2025.mahacet.org.in/dse25/admin/allotment/cap2/3197_4.pdf</x:v>
      </x:c>
    </x:row>
    <x:row r="488">
      <x:c r="A488" s="49" t="str">
        <x:v>2025-26</x:v>
      </x:c>
      <x:c r="B488" s="63" t="n">
        <x:v>3198</x:v>
      </x:c>
      <x:c r="C488" s="49" t="str">
        <x:v>Konkan Gyanpeeth College of Engineering, Karjat</x:v>
      </x:c>
      <x:c r="D488" s="72" t="n">
        <x:v>319824210</x:v>
      </x:c>
      <x:c r="E488" s="49" t="str">
        <x:v>Computer Science and Engineering</x:v>
      </x:c>
      <x:c r="F488" s="73" t="n">
        <x:v>24</x:v>
      </x:c>
      <x:c r="G488" s="73" t="n">
        <x:v>19</x:v>
      </x:c>
      <x:c r="H488" s="73" t="n">
        <x:v>5</x:v>
      </x:c>
      <x:c r="I488" s="73"/>
      <x:c r="J488" s="73" t="n">
        <x:v>0</x:v>
      </x:c>
      <x:c r="K488" s="49" t="str">
        <x:v>Un-Aided</x:v>
      </x:c>
      <x:c r="L488" s="49" t="str">
        <x:v>MS Seats : 19+ EWS : 5</x:v>
      </x:c>
      <x:c r="M488" s="49" t="str">
        <x:v>https://dse2025.mahacet.org.in/dse25/admin/allotment/cap2/3198_4.pdf</x:v>
      </x:c>
    </x:row>
    <x:row r="489">
      <x:c r="A489" s="49" t="str">
        <x:v>2025-26</x:v>
      </x:c>
      <x:c r="B489" s="63" t="n">
        <x:v>3198</x:v>
      </x:c>
      <x:c r="C489" s="49" t="str">
        <x:v>Konkan Gyanpeeth College of Engineering, Karjat</x:v>
      </x:c>
      <x:c r="D489" s="72" t="n">
        <x:v>319824510</x:v>
      </x:c>
      <x:c r="E489" s="49" t="str">
        <x:v>Computer Engineering</x:v>
      </x:c>
      <x:c r="F489" s="73" t="n">
        <x:v>20</x:v>
      </x:c>
      <x:c r="G489" s="73" t="n">
        <x:v>15</x:v>
      </x:c>
      <x:c r="H489" s="73" t="n">
        <x:v>5</x:v>
      </x:c>
      <x:c r="I489" s="73"/>
      <x:c r="J489" s="73" t="n">
        <x:v>0</x:v>
      </x:c>
      <x:c r="K489" s="49" t="str">
        <x:v>Un-Aided</x:v>
      </x:c>
      <x:c r="L489" s="49" t="str">
        <x:v>MS Seats : 15+ EWS : 5</x:v>
      </x:c>
      <x:c r="M489" s="49" t="str">
        <x:v>https://dse2025.mahacet.org.in/dse25/admin/allotment/cap2/3198_4.pdf</x:v>
      </x:c>
    </x:row>
    <x:row r="490">
      <x:c r="A490" s="49" t="str">
        <x:v>2025-26</x:v>
      </x:c>
      <x:c r="B490" s="63" t="n">
        <x:v>3198</x:v>
      </x:c>
      <x:c r="C490" s="49" t="str">
        <x:v>Konkan Gyanpeeth College of Engineering, Karjat</x:v>
      </x:c>
      <x:c r="D490" s="72" t="n">
        <x:v>319824610</x:v>
      </x:c>
      <x:c r="E490" s="49" t="str">
        <x:v>Information Technology</x:v>
      </x:c>
      <x:c r="F490" s="73" t="n">
        <x:v>28</x:v>
      </x:c>
      <x:c r="G490" s="73" t="n">
        <x:v>24</x:v>
      </x:c>
      <x:c r="H490" s="73" t="n">
        <x:v>4</x:v>
      </x:c>
      <x:c r="I490" s="73"/>
      <x:c r="J490" s="73" t="n">
        <x:v>0</x:v>
      </x:c>
      <x:c r="K490" s="49" t="str">
        <x:v>Un-Aided</x:v>
      </x:c>
      <x:c r="L490" s="49" t="str">
        <x:v>MS Seats : 24+ EWS : 4</x:v>
      </x:c>
      <x:c r="M490" s="49" t="str">
        <x:v>https://dse2025.mahacet.org.in/dse25/admin/allotment/cap2/3198_4.pdf</x:v>
      </x:c>
    </x:row>
    <x:row r="491">
      <x:c r="A491" s="49" t="str">
        <x:v>2025-26</x:v>
      </x:c>
      <x:c r="B491" s="63" t="n">
        <x:v>3198</x:v>
      </x:c>
      <x:c r="C491" s="49" t="str">
        <x:v>Konkan Gyanpeeth College of Engineering, Karjat</x:v>
      </x:c>
      <x:c r="D491" s="72" t="n">
        <x:v>319861210</x:v>
      </x:c>
      <x:c r="E491" s="49" t="str">
        <x:v>Mechanical Engineering</x:v>
      </x:c>
      <x:c r="F491" s="73" t="n">
        <x:v>61</x:v>
      </x:c>
      <x:c r="G491" s="73" t="n">
        <x:v>54</x:v>
      </x:c>
      <x:c r="H491" s="73" t="n">
        <x:v>7</x:v>
      </x:c>
      <x:c r="I491" s="73"/>
      <x:c r="J491" s="73" t="n">
        <x:v>0</x:v>
      </x:c>
      <x:c r="K491" s="49" t="str">
        <x:v>Un-Aided</x:v>
      </x:c>
      <x:c r="L491" s="49" t="str">
        <x:v>MS Seats : 54+ EWS : 7</x:v>
      </x:c>
      <x:c r="M491" s="49" t="str">
        <x:v>https://dse2025.mahacet.org.in/dse25/admin/allotment/cap2/3198_4.pdf</x:v>
      </x:c>
    </x:row>
    <x:row r="492">
      <x:c r="A492" s="49" t="str">
        <x:v>2025-26</x:v>
      </x:c>
      <x:c r="B492" s="63" t="n">
        <x:v>3198</x:v>
      </x:c>
      <x:c r="C492" s="49" t="str">
        <x:v>Konkan Gyanpeeth College of Engineering, Karjat</x:v>
      </x:c>
      <x:c r="D492" s="72" t="n">
        <x:v>319899510</x:v>
      </x:c>
      <x:c r="E492" s="49" t="str">
        <x:v>Artificial Intelligence and Data Science</x:v>
      </x:c>
      <x:c r="F492" s="73" t="n">
        <x:v>22</x:v>
      </x:c>
      <x:c r="G492" s="73" t="n">
        <x:v>19</x:v>
      </x:c>
      <x:c r="H492" s="73" t="n">
        <x:v>3</x:v>
      </x:c>
      <x:c r="I492" s="73"/>
      <x:c r="J492" s="73" t="n">
        <x:v>0</x:v>
      </x:c>
      <x:c r="K492" s="49" t="str">
        <x:v>Un-Aided</x:v>
      </x:c>
      <x:c r="L492" s="49" t="str">
        <x:v>MS Seats : 19+ EWS : 3</x:v>
      </x:c>
      <x:c r="M492" s="49" t="str">
        <x:v>https://dse2025.mahacet.org.in/dse25/admin/allotment/cap2/3198_4.pdf</x:v>
      </x:c>
    </x:row>
    <x:row r="493">
      <x:c r="A493" s="49" t="str">
        <x:v>2025-26</x:v>
      </x:c>
      <x:c r="B493" s="63" t="n">
        <x:v>3199</x:v>
      </x:c>
      <x:c r="C493" s="49" t="str">
        <x:v>Shri Vile Parle Kelvani Mandal's Dwarkadas J. Sanghvi College of Engineering, Vile Parle,Mumbai</x:v>
      </x:c>
      <x:c r="D493" s="72" t="n">
        <x:v>319924510</x:v>
      </x:c>
      <x:c r="E493" s="49" t="str">
        <x:v>Computer Engineering</x:v>
      </x:c>
      <x:c r="F493" s="73" t="n">
        <x:v>19</x:v>
      </x:c>
      <x:c r="G493" s="73" t="n">
        <x:v>9</x:v>
      </x:c>
      <x:c r="H493" s="73"/>
      <x:c r="I493" s="73" t="n">
        <x:v>10</x:v>
      </x:c>
      <x:c r="J493" s="73" t="n">
        <x:v>0</x:v>
      </x:c>
      <x:c r="K493" s="49" t="str">
        <x:v>Un-Aided Autonomous Linguistic Minority - Gujarathi</x:v>
      </x:c>
      <x:c r="L493" s="49" t="str">
        <x:v>MS Seats : 9 + Minority Seats : 10</x:v>
      </x:c>
      <x:c r="M493" s="49" t="str">
        <x:v>https://dse2025.mahacet.org.in/dse25/admin/allotment/cap2/3199_4.pdf</x:v>
      </x:c>
    </x:row>
    <x:row r="494">
      <x:c r="A494" s="49" t="str">
        <x:v>2025-26</x:v>
      </x:c>
      <x:c r="B494" s="63" t="n">
        <x:v>3199</x:v>
      </x:c>
      <x:c r="C494" s="49" t="str">
        <x:v>Shri Vile Parle Kelvani Mandal's Dwarkadas J. Sanghvi College of Engineering, Vile Parle,Mumbai</x:v>
      </x:c>
      <x:c r="D494" s="72" t="n">
        <x:v>319924610</x:v>
      </x:c>
      <x:c r="E494" s="49" t="str">
        <x:v>Information Technology</x:v>
      </x:c>
      <x:c r="F494" s="73" t="n">
        <x:v>20</x:v>
      </x:c>
      <x:c r="G494" s="73" t="n">
        <x:v>10</x:v>
      </x:c>
      <x:c r="H494" s="73"/>
      <x:c r="I494" s="73" t="n">
        <x:v>10</x:v>
      </x:c>
      <x:c r="J494" s="73" t="n">
        <x:v>0</x:v>
      </x:c>
      <x:c r="K494" s="49" t="str">
        <x:v>Un-Aided Autonomous Linguistic Minority - Gujarathi</x:v>
      </x:c>
      <x:c r="L494" s="49" t="str">
        <x:v>MS Seats : 10 + Minority Seats : 10</x:v>
      </x:c>
      <x:c r="M494" s="49" t="str">
        <x:v>https://dse2025.mahacet.org.in/dse25/admin/allotment/cap2/3199_4.pdf</x:v>
      </x:c>
    </x:row>
    <x:row r="495">
      <x:c r="A495" s="49" t="str">
        <x:v>2025-26</x:v>
      </x:c>
      <x:c r="B495" s="63" t="n">
        <x:v>3199</x:v>
      </x:c>
      <x:c r="C495" s="49" t="str">
        <x:v>Shri Vile Parle Kelvani Mandal's Dwarkadas J. Sanghvi College of Engineering, Vile Parle,Mumbai</x:v>
      </x:c>
      <x:c r="D495" s="72" t="n">
        <x:v>319926310</x:v>
      </x:c>
      <x:c r="E495" s="49" t="str">
        <x:v>Artificial Intelligence (AI) and Data Science</x:v>
      </x:c>
      <x:c r="F495" s="73" t="n">
        <x:v>6</x:v>
      </x:c>
      <x:c r="G495" s="73" t="n">
        <x:v>2</x:v>
      </x:c>
      <x:c r="H495" s="73"/>
      <x:c r="I495" s="73" t="n">
        <x:v>4</x:v>
      </x:c>
      <x:c r="J495" s="73" t="n">
        <x:v>0</x:v>
      </x:c>
      <x:c r="K495" s="49" t="str">
        <x:v>Un-Aided Autonomous Linguistic Minority - Gujarathi</x:v>
      </x:c>
      <x:c r="L495" s="49" t="str">
        <x:v>MS Seats : 2 + Minority Seats : 4</x:v>
      </x:c>
      <x:c r="M495" s="49" t="str">
        <x:v>https://dse2025.mahacet.org.in/dse25/admin/allotment/cap2/3199_4.pdf</x:v>
      </x:c>
    </x:row>
    <x:row r="496">
      <x:c r="A496" s="49" t="str">
        <x:v>2025-26</x:v>
      </x:c>
      <x:c r="B496" s="63" t="n">
        <x:v>3199</x:v>
      </x:c>
      <x:c r="C496" s="49" t="str">
        <x:v>Shri Vile Parle Kelvani Mandal's Dwarkadas J. Sanghvi College of Engineering, Vile Parle,Mumbai</x:v>
      </x:c>
      <x:c r="D496" s="72" t="n">
        <x:v>319937210</x:v>
      </x:c>
      <x:c r="E496" s="49" t="str">
        <x:v>Electronics and Telecommunication Engg</x:v>
      </x:c>
      <x:c r="F496" s="73" t="n">
        <x:v>19</x:v>
      </x:c>
      <x:c r="G496" s="73" t="n">
        <x:v>9</x:v>
      </x:c>
      <x:c r="H496" s="73"/>
      <x:c r="I496" s="73" t="n">
        <x:v>10</x:v>
      </x:c>
      <x:c r="J496" s="73" t="n">
        <x:v>0</x:v>
      </x:c>
      <x:c r="K496" s="49" t="str">
        <x:v>Un-Aided Autonomous Linguistic Minority - Gujarathi</x:v>
      </x:c>
      <x:c r="L496" s="49" t="str">
        <x:v>MS Seats : 9 + Minority Seats : 10</x:v>
      </x:c>
      <x:c r="M496" s="49" t="str">
        <x:v>https://dse2025.mahacet.org.in/dse25/admin/allotment/cap2/3199_4.pdf</x:v>
      </x:c>
    </x:row>
    <x:row r="497">
      <x:c r="A497" s="49" t="str">
        <x:v>2025-26</x:v>
      </x:c>
      <x:c r="B497" s="63" t="n">
        <x:v>3199</x:v>
      </x:c>
      <x:c r="C497" s="49" t="str">
        <x:v>Shri Vile Parle Kelvani Mandal's Dwarkadas J. Sanghvi College of Engineering, Vile Parle,Mumbai</x:v>
      </x:c>
      <x:c r="D497" s="72" t="n">
        <x:v>319961210</x:v>
      </x:c>
      <x:c r="E497" s="49" t="str">
        <x:v>Mechanical Engineering</x:v>
      </x:c>
      <x:c r="F497" s="73" t="n">
        <x:v>20</x:v>
      </x:c>
      <x:c r="G497" s="73" t="n">
        <x:v>9</x:v>
      </x:c>
      <x:c r="H497" s="73"/>
      <x:c r="I497" s="73" t="n">
        <x:v>11</x:v>
      </x:c>
      <x:c r="J497" s="73" t="n">
        <x:v>0</x:v>
      </x:c>
      <x:c r="K497" s="49" t="str">
        <x:v>Un-Aided Autonomous Linguistic Minority - Gujarathi</x:v>
      </x:c>
      <x:c r="L497" s="49" t="str">
        <x:v>MS Seats : 9 + Minority Seats : 11</x:v>
      </x:c>
      <x:c r="M497" s="49" t="str">
        <x:v>https://dse2025.mahacet.org.in/dse25/admin/allotment/cap2/3199_4.pdf</x:v>
      </x:c>
    </x:row>
    <x:row r="498">
      <x:c r="A498" s="49" t="str">
        <x:v>2025-26</x:v>
      </x:c>
      <x:c r="B498" s="63" t="n">
        <x:v>3199</x:v>
      </x:c>
      <x:c r="C498" s="49" t="str">
        <x:v>Shri Vile Parle Kelvani Mandal's Dwarkadas J. Sanghvi College of Engineering, Vile Parle,Mumbai</x:v>
      </x:c>
      <x:c r="D498" s="72" t="n">
        <x:v>319991210</x:v>
      </x:c>
      <x:c r="E498" s="49" t="str">
        <x:v>Computer Science and Engineering(Data Science)</x:v>
      </x:c>
      <x:c r="F498" s="73" t="n">
        <x:v>20</x:v>
      </x:c>
      <x:c r="G498" s="73" t="n">
        <x:v>9</x:v>
      </x:c>
      <x:c r="H498" s="73"/>
      <x:c r="I498" s="73" t="n">
        <x:v>11</x:v>
      </x:c>
      <x:c r="J498" s="73" t="n">
        <x:v>0</x:v>
      </x:c>
      <x:c r="K498" s="49" t="str">
        <x:v>Un-Aided Autonomous Linguistic Minority - Gujarathi</x:v>
      </x:c>
      <x:c r="L498" s="49" t="str">
        <x:v>MS Seats : 9 + Minority Seats : 11</x:v>
      </x:c>
      <x:c r="M498" s="49" t="str">
        <x:v>https://dse2025.mahacet.org.in/dse25/admin/allotment/cap2/3199_4.pdf</x:v>
      </x:c>
    </x:row>
    <x:row r="499">
      <x:c r="A499" s="49" t="str">
        <x:v>2025-26</x:v>
      </x:c>
      <x:c r="B499" s="63" t="n">
        <x:v>3199</x:v>
      </x:c>
      <x:c r="C499" s="49" t="str">
        <x:v>Shri Vile Parle Kelvani Mandal's Dwarkadas J. Sanghvi College of Engineering, Vile Parle,Mumbai</x:v>
      </x:c>
      <x:c r="D499" s="72" t="n">
        <x:v>319992010</x:v>
      </x:c>
      <x:c r="E499" s="49" t="str">
        <x:v>Computer Science and Engineering (Internet of Things and Cyber Security Including Block Chain Technology)</x:v>
      </x:c>
      <x:c r="F499" s="73" t="n">
        <x:v>6</x:v>
      </x:c>
      <x:c r="G499" s="73" t="n">
        <x:v>2</x:v>
      </x:c>
      <x:c r="H499" s="73"/>
      <x:c r="I499" s="73" t="n">
        <x:v>4</x:v>
      </x:c>
      <x:c r="J499" s="73" t="n">
        <x:v>0</x:v>
      </x:c>
      <x:c r="K499" s="49" t="str">
        <x:v>Un-Aided Autonomous Linguistic Minority - Gujarathi</x:v>
      </x:c>
      <x:c r="L499" s="49" t="str">
        <x:v>MS Seats : 2 + Minority Seats : 4</x:v>
      </x:c>
      <x:c r="M499" s="49" t="str">
        <x:v>https://dse2025.mahacet.org.in/dse25/admin/allotment/cap2/3199_4.pdf</x:v>
      </x:c>
    </x:row>
    <x:row r="500">
      <x:c r="A500" s="49" t="str">
        <x:v>2025-26</x:v>
      </x:c>
      <x:c r="B500" s="63" t="n">
        <x:v>3199</x:v>
      </x:c>
      <x:c r="C500" s="49" t="str">
        <x:v>Shri Vile Parle Kelvani Mandal's Dwarkadas J. Sanghvi College of Engineering, Vile Parle,Mumbai</x:v>
      </x:c>
      <x:c r="D500" s="72" t="n">
        <x:v>319992110</x:v>
      </x:c>
      <x:c r="E500" s="49" t="str">
        <x:v>Artificial Intelligence and Machine Learning</x:v>
      </x:c>
      <x:c r="F500" s="73" t="n">
        <x:v>13</x:v>
      </x:c>
      <x:c r="G500" s="73" t="n">
        <x:v>6</x:v>
      </x:c>
      <x:c r="H500" s="73"/>
      <x:c r="I500" s="73" t="n">
        <x:v>7</x:v>
      </x:c>
      <x:c r="J500" s="73" t="n">
        <x:v>0</x:v>
      </x:c>
      <x:c r="K500" s="49" t="str">
        <x:v>Un-Aided Autonomous Linguistic Minority - Gujarathi</x:v>
      </x:c>
      <x:c r="L500" s="49" t="str">
        <x:v>MS Seats : 6 + Minority Seats : 7</x:v>
      </x:c>
      <x:c r="M500" s="49" t="str">
        <x:v>https://dse2025.mahacet.org.in/dse25/admin/allotment/cap2/3199_4.pdf</x:v>
      </x:c>
    </x:row>
    <x:row r="501">
      <x:c r="A501" s="49" t="str">
        <x:v>2025-26</x:v>
      </x:c>
      <x:c r="B501" s="63" t="n">
        <x:v>3200</x:v>
      </x:c>
      <x:c r="C501" s="49" t="str">
        <x:v>Hope Foundation and research center's Finolex Academy of Management and Technology, Ratnagiri</x:v>
      </x:c>
      <x:c r="D501" s="72" t="n">
        <x:v>320024610</x:v>
      </x:c>
      <x:c r="E501" s="49" t="str">
        <x:v>Information Technology</x:v>
      </x:c>
      <x:c r="F501" s="73" t="n">
        <x:v>8</x:v>
      </x:c>
      <x:c r="G501" s="73" t="n">
        <x:v>7</x:v>
      </x:c>
      <x:c r="H501" s="73" t="n">
        <x:v>1</x:v>
      </x:c>
      <x:c r="I501" s="73"/>
      <x:c r="J501" s="73" t="n">
        <x:v>0</x:v>
      </x:c>
      <x:c r="K501" s="49" t="str">
        <x:v>Un-Aided</x:v>
      </x:c>
      <x:c r="L501" s="49" t="str">
        <x:v>MS Seats : 7+ EWS : 1</x:v>
      </x:c>
      <x:c r="M501" s="49" t="str">
        <x:v>https://dse2025.mahacet.org.in/dse25/admin/allotment/cap2/3200_4.pdf</x:v>
      </x:c>
    </x:row>
    <x:row r="502">
      <x:c r="A502" s="49" t="str">
        <x:v>2025-26</x:v>
      </x:c>
      <x:c r="B502" s="63" t="n">
        <x:v>3200</x:v>
      </x:c>
      <x:c r="C502" s="49" t="str">
        <x:v>Hope Foundation and research center's Finolex Academy of Management and Technology, Ratnagiri</x:v>
      </x:c>
      <x:c r="D502" s="72" t="n">
        <x:v>320029310</x:v>
      </x:c>
      <x:c r="E502" s="49" t="str">
        <x:v>Electrical Engineering</x:v>
      </x:c>
      <x:c r="F502" s="73" t="n">
        <x:v>15</x:v>
      </x:c>
      <x:c r="G502" s="73" t="n">
        <x:v>12</x:v>
      </x:c>
      <x:c r="H502" s="73" t="n">
        <x:v>3</x:v>
      </x:c>
      <x:c r="I502" s="73"/>
      <x:c r="J502" s="73" t="n">
        <x:v>0</x:v>
      </x:c>
      <x:c r="K502" s="49" t="str">
        <x:v>Un-Aided</x:v>
      </x:c>
      <x:c r="L502" s="49" t="str">
        <x:v>MS Seats : 12+ EWS : 3</x:v>
      </x:c>
      <x:c r="M502" s="49" t="str">
        <x:v>https://dse2025.mahacet.org.in/dse25/admin/allotment/cap2/3200_4.pdf</x:v>
      </x:c>
    </x:row>
    <x:row r="503">
      <x:c r="A503" s="49" t="str">
        <x:v>2025-26</x:v>
      </x:c>
      <x:c r="B503" s="63" t="n">
        <x:v>3200</x:v>
      </x:c>
      <x:c r="C503" s="49" t="str">
        <x:v>Hope Foundation and research center's Finolex Academy of Management and Technology, Ratnagiri</x:v>
      </x:c>
      <x:c r="D503" s="72" t="n">
        <x:v>320037210</x:v>
      </x:c>
      <x:c r="E503" s="49" t="str">
        <x:v>Electronics and Telecommunication Engg</x:v>
      </x:c>
      <x:c r="F503" s="73" t="n">
        <x:v>13</x:v>
      </x:c>
      <x:c r="G503" s="73" t="n">
        <x:v>10</x:v>
      </x:c>
      <x:c r="H503" s="73" t="n">
        <x:v>3</x:v>
      </x:c>
      <x:c r="I503" s="73"/>
      <x:c r="J503" s="73" t="n">
        <x:v>0</x:v>
      </x:c>
      <x:c r="K503" s="49" t="str">
        <x:v>Un-Aided</x:v>
      </x:c>
      <x:c r="L503" s="49" t="str">
        <x:v>MS Seats : 10+ EWS : 3</x:v>
      </x:c>
      <x:c r="M503" s="49" t="str">
        <x:v>https://dse2025.mahacet.org.in/dse25/admin/allotment/cap2/3200_4.pdf</x:v>
      </x:c>
    </x:row>
    <x:row r="504">
      <x:c r="A504" s="49" t="str">
        <x:v>2025-26</x:v>
      </x:c>
      <x:c r="B504" s="63" t="n">
        <x:v>3200</x:v>
      </x:c>
      <x:c r="C504" s="49" t="str">
        <x:v>Hope Foundation and research center's Finolex Academy of Management and Technology, Ratnagiri</x:v>
      </x:c>
      <x:c r="D504" s="72" t="n">
        <x:v>320050710</x:v>
      </x:c>
      <x:c r="E504" s="49" t="str">
        <x:v>Chemical Engineering</x:v>
      </x:c>
      <x:c r="F504" s="73" t="n">
        <x:v>15</x:v>
      </x:c>
      <x:c r="G504" s="73" t="n">
        <x:v>13</x:v>
      </x:c>
      <x:c r="H504" s="73" t="n">
        <x:v>2</x:v>
      </x:c>
      <x:c r="I504" s="73"/>
      <x:c r="J504" s="73" t="n">
        <x:v>0</x:v>
      </x:c>
      <x:c r="K504" s="49" t="str">
        <x:v>Un-Aided</x:v>
      </x:c>
      <x:c r="L504" s="49" t="str">
        <x:v>MS Seats : 13+ EWS : 2</x:v>
      </x:c>
      <x:c r="M504" s="49" t="str">
        <x:v>https://dse2025.mahacet.org.in/dse25/admin/allotment/cap2/3200_4.pdf</x:v>
      </x:c>
    </x:row>
    <x:row r="505">
      <x:c r="A505" s="49" t="str">
        <x:v>2025-26</x:v>
      </x:c>
      <x:c r="B505" s="63" t="n">
        <x:v>3200</x:v>
      </x:c>
      <x:c r="C505" s="49" t="str">
        <x:v>Hope Foundation and research center's Finolex Academy of Management and Technology, Ratnagiri</x:v>
      </x:c>
      <x:c r="D505" s="72" t="n">
        <x:v>320061210</x:v>
      </x:c>
      <x:c r="E505" s="49" t="str">
        <x:v>Mechanical Engineering</x:v>
      </x:c>
      <x:c r="F505" s="73" t="n">
        <x:v>29</x:v>
      </x:c>
      <x:c r="G505" s="73" t="n">
        <x:v>21</x:v>
      </x:c>
      <x:c r="H505" s="73" t="n">
        <x:v>8</x:v>
      </x:c>
      <x:c r="I505" s="73"/>
      <x:c r="J505" s="73" t="n">
        <x:v>0</x:v>
      </x:c>
      <x:c r="K505" s="49" t="str">
        <x:v>Un-Aided</x:v>
      </x:c>
      <x:c r="L505" s="49" t="str">
        <x:v>MS Seats : 21+ EWS : 8</x:v>
      </x:c>
      <x:c r="M505" s="49" t="str">
        <x:v>https://dse2025.mahacet.org.in/dse25/admin/allotment/cap2/3200_4.pdf</x:v>
      </x:c>
    </x:row>
    <x:row r="506">
      <x:c r="A506" s="49" t="str">
        <x:v>2025-26</x:v>
      </x:c>
      <x:c r="B506" s="63" t="n">
        <x:v>3200</x:v>
      </x:c>
      <x:c r="C506" s="49" t="str">
        <x:v>Hope Foundation and research center's Finolex Academy of Management and Technology, Ratnagiri</x:v>
      </x:c>
      <x:c r="D506" s="72" t="n">
        <x:v>320091010</x:v>
      </x:c>
      <x:c r="E506" s="49" t="str">
        <x:v>Computer Science and Engineering(Cyber Security)</x:v>
      </x:c>
      <x:c r="F506" s="73" t="n">
        <x:v>9</x:v>
      </x:c>
      <x:c r="G506" s="73" t="n">
        <x:v>7</x:v>
      </x:c>
      <x:c r="H506" s="73" t="n">
        <x:v>2</x:v>
      </x:c>
      <x:c r="I506" s="73"/>
      <x:c r="J506" s="73" t="n">
        <x:v>0</x:v>
      </x:c>
      <x:c r="K506" s="49" t="str">
        <x:v>Un-Aided</x:v>
      </x:c>
      <x:c r="L506" s="49" t="str">
        <x:v>MS Seats : 7+ EWS : 2</x:v>
      </x:c>
      <x:c r="M506" s="49" t="str">
        <x:v>https://dse2025.mahacet.org.in/dse25/admin/allotment/cap2/3200_4.pdf</x:v>
      </x:c>
    </x:row>
    <x:row r="507">
      <x:c r="A507" s="49" t="str">
        <x:v>2025-26</x:v>
      </x:c>
      <x:c r="B507" s="63" t="n">
        <x:v>3200</x:v>
      </x:c>
      <x:c r="C507" s="49" t="str">
        <x:v>Hope Foundation and research center's Finolex Academy of Management and Technology, Ratnagiri</x:v>
      </x:c>
      <x:c r="D507" s="72" t="n">
        <x:v>320091110</x:v>
      </x:c>
      <x:c r="E507" s="49" t="str">
        <x:v>Computer Science and Engineering(Artificial Intelligence and Machine Learning)</x:v>
      </x:c>
      <x:c r="F507" s="73" t="n">
        <x:v>8</x:v>
      </x:c>
      <x:c r="G507" s="73" t="n">
        <x:v>7</x:v>
      </x:c>
      <x:c r="H507" s="73" t="n">
        <x:v>1</x:v>
      </x:c>
      <x:c r="I507" s="73"/>
      <x:c r="J507" s="73" t="n">
        <x:v>0</x:v>
      </x:c>
      <x:c r="K507" s="49" t="str">
        <x:v>Un-Aided</x:v>
      </x:c>
      <x:c r="L507" s="49" t="str">
        <x:v>MS Seats : 7+ EWS : 1</x:v>
      </x:c>
      <x:c r="M507" s="49" t="str">
        <x:v>https://dse2025.mahacet.org.in/dse25/admin/allotment/cap2/3200_4.pdf</x:v>
      </x:c>
    </x:row>
    <x:row r="508">
      <x:c r="A508" s="49" t="str">
        <x:v>2025-26</x:v>
      </x:c>
      <x:c r="B508" s="63" t="n">
        <x:v>3201</x:v>
      </x:c>
      <x:c r="C508" s="49" t="str">
        <x:v>Rizvi Education Society's Rizvi College of Engineering, Bandra,Mumbai</x:v>
      </x:c>
      <x:c r="D508" s="72" t="n">
        <x:v>320119110</x:v>
      </x:c>
      <x:c r="E508" s="49" t="str">
        <x:v>Civil Engineering</x:v>
      </x:c>
      <x:c r="F508" s="73" t="n">
        <x:v>30</x:v>
      </x:c>
      <x:c r="G508" s="73" t="n">
        <x:v>0</x:v>
      </x:c>
      <x:c r="H508" s="73"/>
      <x:c r="I508" s="73" t="n">
        <x:v>30</x:v>
      </x:c>
      <x:c r="J508" s="73" t="n">
        <x:v>0</x:v>
      </x:c>
      <x:c r="K508" s="49" t="str">
        <x:v>Un-Aided Religious Minority - Muslim</x:v>
      </x:c>
      <x:c r="L508" s="49" t="str">
        <x:v>MS Seats : 0 + Minority Seats : 30</x:v>
      </x:c>
      <x:c r="M508" s="49" t="str">
        <x:v>https://dse2025.mahacet.org.in/dse25/admin/allotment/cap2/3201_4.pdf</x:v>
      </x:c>
    </x:row>
    <x:row r="509">
      <x:c r="A509" s="49" t="str">
        <x:v>2025-26</x:v>
      </x:c>
      <x:c r="B509" s="63" t="n">
        <x:v>3201</x:v>
      </x:c>
      <x:c r="C509" s="49" t="str">
        <x:v>Rizvi Education Society's Rizvi College of Engineering, Bandra,Mumbai</x:v>
      </x:c>
      <x:c r="D509" s="72" t="n">
        <x:v>320124510</x:v>
      </x:c>
      <x:c r="E509" s="49" t="str">
        <x:v>Computer Engineering</x:v>
      </x:c>
      <x:c r="F509" s="73" t="n">
        <x:v>12</x:v>
      </x:c>
      <x:c r="G509" s="73" t="n">
        <x:v>0</x:v>
      </x:c>
      <x:c r="H509" s="73"/>
      <x:c r="I509" s="73" t="n">
        <x:v>12</x:v>
      </x:c>
      <x:c r="J509" s="73" t="n">
        <x:v>0</x:v>
      </x:c>
      <x:c r="K509" s="49" t="str">
        <x:v>Un-Aided Religious Minority - Muslim</x:v>
      </x:c>
      <x:c r="L509" s="49" t="str">
        <x:v>MS Seats : 0 + Minority Seats : 12</x:v>
      </x:c>
      <x:c r="M509" s="49" t="str">
        <x:v>https://dse2025.mahacet.org.in/dse25/admin/allotment/cap2/3201_4.pdf</x:v>
      </x:c>
    </x:row>
    <x:row r="510">
      <x:c r="A510" s="49" t="str">
        <x:v>2025-26</x:v>
      </x:c>
      <x:c r="B510" s="63" t="n">
        <x:v>3201</x:v>
      </x:c>
      <x:c r="C510" s="49" t="str">
        <x:v>Rizvi Education Society's Rizvi College of Engineering, Bandra,Mumbai</x:v>
      </x:c>
      <x:c r="D510" s="72" t="n">
        <x:v>320161210</x:v>
      </x:c>
      <x:c r="E510" s="49" t="str">
        <x:v>Mechanical Engineering</x:v>
      </x:c>
      <x:c r="F510" s="73" t="n">
        <x:v>38</x:v>
      </x:c>
      <x:c r="G510" s="73" t="n">
        <x:v>8</x:v>
      </x:c>
      <x:c r="H510" s="73"/>
      <x:c r="I510" s="73" t="n">
        <x:v>30</x:v>
      </x:c>
      <x:c r="J510" s="73" t="n">
        <x:v>0</x:v>
      </x:c>
      <x:c r="K510" s="49" t="str">
        <x:v>Un-Aided Religious Minority - Muslim</x:v>
      </x:c>
      <x:c r="L510" s="49" t="str">
        <x:v>MS Seats : 8 + Minority Seats : 30</x:v>
      </x:c>
      <x:c r="M510" s="49" t="str">
        <x:v>https://dse2025.mahacet.org.in/dse25/admin/allotment/cap2/3201_4.pdf</x:v>
      </x:c>
    </x:row>
    <x:row r="511">
      <x:c r="A511" s="49" t="str">
        <x:v>2025-26</x:v>
      </x:c>
      <x:c r="B511" s="63" t="n">
        <x:v>3201</x:v>
      </x:c>
      <x:c r="C511" s="49" t="str">
        <x:v>Rizvi Education Society's Rizvi College of Engineering, Bandra,Mumbai</x:v>
      </x:c>
      <x:c r="D511" s="72" t="n">
        <x:v>320190010</x:v>
      </x:c>
      <x:c r="E511" s="49" t="str">
        <x:v>Electronics and Computer Science</x:v>
      </x:c>
      <x:c r="F511" s="73" t="n">
        <x:v>6</x:v>
      </x:c>
      <x:c r="G511" s="73" t="n">
        <x:v>0</x:v>
      </x:c>
      <x:c r="H511" s="73"/>
      <x:c r="I511" s="73" t="n">
        <x:v>6</x:v>
      </x:c>
      <x:c r="J511" s="73" t="n">
        <x:v>0</x:v>
      </x:c>
      <x:c r="K511" s="49" t="str">
        <x:v>Un-Aided Religious Minority - Muslim</x:v>
      </x:c>
      <x:c r="L511" s="49" t="str">
        <x:v>MS Seats : 0 + Minority Seats : 6</x:v>
      </x:c>
      <x:c r="M511" s="49" t="str">
        <x:v>https://dse2025.mahacet.org.in/dse25/admin/allotment/cap2/3201_4.pdf</x:v>
      </x:c>
    </x:row>
    <x:row r="512">
      <x:c r="A512" s="49" t="str">
        <x:v>2025-26</x:v>
      </x:c>
      <x:c r="B512" s="63" t="n">
        <x:v>3201</x:v>
      </x:c>
      <x:c r="C512" s="49" t="str">
        <x:v>Rizvi Education Society's Rizvi College of Engineering, Bandra,Mumbai</x:v>
      </x:c>
      <x:c r="D512" s="72" t="n">
        <x:v>320199510</x:v>
      </x:c>
      <x:c r="E512" s="49" t="str">
        <x:v>Artificial Intelligence and Data Science</x:v>
      </x:c>
      <x:c r="F512" s="73" t="n">
        <x:v>6</x:v>
      </x:c>
      <x:c r="G512" s="73" t="n">
        <x:v>0</x:v>
      </x:c>
      <x:c r="H512" s="73"/>
      <x:c r="I512" s="73" t="n">
        <x:v>6</x:v>
      </x:c>
      <x:c r="J512" s="73" t="n">
        <x:v>0</x:v>
      </x:c>
      <x:c r="K512" s="49" t="str">
        <x:v>Un-Aided Religious Minority - Muslim</x:v>
      </x:c>
      <x:c r="L512" s="49" t="str">
        <x:v>MS Seats : 0 + Minority Seats : 6</x:v>
      </x:c>
      <x:c r="M512" s="49" t="str">
        <x:v>https://dse2025.mahacet.org.in/dse25/admin/allotment/cap2/3201_4.pdf</x:v>
      </x:c>
    </x:row>
    <x:row r="513">
      <x:c r="A513" s="49" t="str">
        <x:v>2025-26</x:v>
      </x:c>
      <x:c r="B513" s="63" t="n">
        <x:v>3202</x:v>
      </x:c>
      <x:c r="C513" s="49" t="str">
        <x:v>Rajendra Mane College of Engineering &amp; Technology Ambav Deorukh</x:v>
      </x:c>
      <x:c r="D513" s="72" t="n">
        <x:v>320224510</x:v>
      </x:c>
      <x:c r="E513" s="49" t="str">
        <x:v>Computer Engineering</x:v>
      </x:c>
      <x:c r="F513" s="73" t="n">
        <x:v>37</x:v>
      </x:c>
      <x:c r="G513" s="73" t="n">
        <x:v>31</x:v>
      </x:c>
      <x:c r="H513" s="73" t="n">
        <x:v>6</x:v>
      </x:c>
      <x:c r="I513" s="73"/>
      <x:c r="J513" s="73" t="n">
        <x:v>0</x:v>
      </x:c>
      <x:c r="K513" s="49" t="str">
        <x:v>Un-Aided</x:v>
      </x:c>
      <x:c r="L513" s="49" t="str">
        <x:v>MS Seats : 31+ EWS : 6</x:v>
      </x:c>
      <x:c r="M513" s="49" t="str">
        <x:v>https://dse2025.mahacet.org.in/dse25/admin/allotment/cap2/3202_4.pdf</x:v>
      </x:c>
    </x:row>
    <x:row r="514">
      <x:c r="A514" s="49" t="str">
        <x:v>2025-26</x:v>
      </x:c>
      <x:c r="B514" s="63" t="n">
        <x:v>3202</x:v>
      </x:c>
      <x:c r="C514" s="49" t="str">
        <x:v>Rajendra Mane College of Engineering &amp; Technology Ambav Deorukh</x:v>
      </x:c>
      <x:c r="D514" s="72" t="n">
        <x:v>320260210</x:v>
      </x:c>
      <x:c r="E514" s="49" t="str">
        <x:v>Automobile Engineering</x:v>
      </x:c>
      <x:c r="F514" s="73" t="n">
        <x:v>30</x:v>
      </x:c>
      <x:c r="G514" s="73" t="n">
        <x:v>27</x:v>
      </x:c>
      <x:c r="H514" s="73" t="n">
        <x:v>3</x:v>
      </x:c>
      <x:c r="I514" s="73"/>
      <x:c r="J514" s="73" t="n">
        <x:v>0</x:v>
      </x:c>
      <x:c r="K514" s="49" t="str">
        <x:v>Un-Aided</x:v>
      </x:c>
      <x:c r="L514" s="49" t="str">
        <x:v>MS Seats : 27+ EWS : 3</x:v>
      </x:c>
      <x:c r="M514" s="49" t="str">
        <x:v>https://dse2025.mahacet.org.in/dse25/admin/allotment/cap2/3202_4.pdf</x:v>
      </x:c>
    </x:row>
    <x:row r="515">
      <x:c r="A515" s="49" t="str">
        <x:v>2025-26</x:v>
      </x:c>
      <x:c r="B515" s="63" t="n">
        <x:v>3202</x:v>
      </x:c>
      <x:c r="C515" s="49" t="str">
        <x:v>Rajendra Mane College of Engineering &amp; Technology Ambav Deorukh</x:v>
      </x:c>
      <x:c r="D515" s="72" t="n">
        <x:v>320261210</x:v>
      </x:c>
      <x:c r="E515" s="49" t="str">
        <x:v>Mechanical Engineering</x:v>
      </x:c>
      <x:c r="F515" s="73" t="n">
        <x:v>70</x:v>
      </x:c>
      <x:c r="G515" s="73" t="n">
        <x:v>64</x:v>
      </x:c>
      <x:c r="H515" s="73" t="n">
        <x:v>6</x:v>
      </x:c>
      <x:c r="I515" s="73"/>
      <x:c r="J515" s="73" t="n">
        <x:v>0</x:v>
      </x:c>
      <x:c r="K515" s="49" t="str">
        <x:v>Un-Aided</x:v>
      </x:c>
      <x:c r="L515" s="49" t="str">
        <x:v>MS Seats : 64+ EWS : 6</x:v>
      </x:c>
      <x:c r="M515" s="49" t="str">
        <x:v>https://dse2025.mahacet.org.in/dse25/admin/allotment/cap2/3202_4.pdf</x:v>
      </x:c>
    </x:row>
    <x:row r="516">
      <x:c r="A516" s="49" t="str">
        <x:v>2025-26</x:v>
      </x:c>
      <x:c r="B516" s="63" t="n">
        <x:v>3202</x:v>
      </x:c>
      <x:c r="C516" s="49" t="str">
        <x:v>Rajendra Mane College of Engineering &amp; Technology Ambav Deorukh</x:v>
      </x:c>
      <x:c r="D516" s="72" t="n">
        <x:v>320290010</x:v>
      </x:c>
      <x:c r="E516" s="49" t="str">
        <x:v>Electronics and Computer Science</x:v>
      </x:c>
      <x:c r="F516" s="73" t="n">
        <x:v>16</x:v>
      </x:c>
      <x:c r="G516" s="73" t="n">
        <x:v>13</x:v>
      </x:c>
      <x:c r="H516" s="73" t="n">
        <x:v>3</x:v>
      </x:c>
      <x:c r="I516" s="73"/>
      <x:c r="J516" s="73" t="n">
        <x:v>0</x:v>
      </x:c>
      <x:c r="K516" s="49" t="str">
        <x:v>Un-Aided</x:v>
      </x:c>
      <x:c r="L516" s="49" t="str">
        <x:v>MS Seats : 13+ EWS : 3</x:v>
      </x:c>
      <x:c r="M516" s="49" t="str">
        <x:v>https://dse2025.mahacet.org.in/dse25/admin/allotment/cap2/3202_4.pdf</x:v>
      </x:c>
    </x:row>
    <x:row r="517">
      <x:c r="A517" s="49" t="str">
        <x:v>2025-26</x:v>
      </x:c>
      <x:c r="B517" s="63" t="n">
        <x:v>3203</x:v>
      </x:c>
      <x:c r="C517" s="49" t="str">
        <x:v>Atharva College of Engineering,Malad(West),Mumbai</x:v>
      </x:c>
      <x:c r="D517" s="72" t="n">
        <x:v>320324510</x:v>
      </x:c>
      <x:c r="E517" s="49" t="str">
        <x:v>Computer Engineering</x:v>
      </x:c>
      <x:c r="F517" s="73" t="n">
        <x:v>17</x:v>
      </x:c>
      <x:c r="G517" s="73" t="n">
        <x:v>14</x:v>
      </x:c>
      <x:c r="H517" s="73" t="n">
        <x:v>3</x:v>
      </x:c>
      <x:c r="I517" s="73"/>
      <x:c r="J517" s="73" t="n">
        <x:v>0</x:v>
      </x:c>
      <x:c r="K517" s="49" t="str">
        <x:v>Un-Aided</x:v>
      </x:c>
      <x:c r="L517" s="49" t="str">
        <x:v>MS Seats : 14+ EWS : 3</x:v>
      </x:c>
      <x:c r="M517" s="49" t="str">
        <x:v>https://dse2025.mahacet.org.in/dse25/admin/allotment/cap2/3203_4.pdf</x:v>
      </x:c>
    </x:row>
    <x:row r="518">
      <x:c r="A518" s="49" t="str">
        <x:v>2025-26</x:v>
      </x:c>
      <x:c r="B518" s="63" t="n">
        <x:v>3203</x:v>
      </x:c>
      <x:c r="C518" s="49" t="str">
        <x:v>Atharva College of Engineering,Malad(West),Mumbai</x:v>
      </x:c>
      <x:c r="D518" s="72" t="n">
        <x:v>320324610</x:v>
      </x:c>
      <x:c r="E518" s="49" t="str">
        <x:v>Information Technology</x:v>
      </x:c>
      <x:c r="F518" s="73" t="n">
        <x:v>17</x:v>
      </x:c>
      <x:c r="G518" s="73" t="n">
        <x:v>13</x:v>
      </x:c>
      <x:c r="H518" s="73" t="n">
        <x:v>4</x:v>
      </x:c>
      <x:c r="I518" s="73"/>
      <x:c r="J518" s="73" t="n">
        <x:v>0</x:v>
      </x:c>
      <x:c r="K518" s="49" t="str">
        <x:v>Un-Aided</x:v>
      </x:c>
      <x:c r="L518" s="49" t="str">
        <x:v>MS Seats : 13+ EWS : 4</x:v>
      </x:c>
      <x:c r="M518" s="49" t="str">
        <x:v>https://dse2025.mahacet.org.in/dse25/admin/allotment/cap2/3203_4.pdf</x:v>
      </x:c>
    </x:row>
    <x:row r="519">
      <x:c r="A519" s="49" t="str">
        <x:v>2025-26</x:v>
      </x:c>
      <x:c r="B519" s="63" t="n">
        <x:v>3203</x:v>
      </x:c>
      <x:c r="C519" s="49" t="str">
        <x:v>Atharva College of Engineering,Malad(West),Mumbai</x:v>
      </x:c>
      <x:c r="D519" s="72" t="n">
        <x:v>320329310</x:v>
      </x:c>
      <x:c r="E519" s="49" t="str">
        <x:v>Electrical Engineering</x:v>
      </x:c>
      <x:c r="F519" s="73" t="n">
        <x:v>21</x:v>
      </x:c>
      <x:c r="G519" s="73" t="n">
        <x:v>14</x:v>
      </x:c>
      <x:c r="H519" s="73" t="n">
        <x:v>7</x:v>
      </x:c>
      <x:c r="I519" s="73"/>
      <x:c r="J519" s="73" t="n">
        <x:v>0</x:v>
      </x:c>
      <x:c r="K519" s="49" t="str">
        <x:v>Un-Aided</x:v>
      </x:c>
      <x:c r="L519" s="49" t="str">
        <x:v>MS Seats : 14+ EWS : 7</x:v>
      </x:c>
      <x:c r="M519" s="49" t="str">
        <x:v>https://dse2025.mahacet.org.in/dse25/admin/allotment/cap2/3203_4.pdf</x:v>
      </x:c>
    </x:row>
    <x:row r="520">
      <x:c r="A520" s="49" t="str">
        <x:v>2025-26</x:v>
      </x:c>
      <x:c r="B520" s="63" t="n">
        <x:v>3203</x:v>
      </x:c>
      <x:c r="C520" s="49" t="str">
        <x:v>Atharva College of Engineering,Malad(West),Mumbai</x:v>
      </x:c>
      <x:c r="D520" s="72" t="n">
        <x:v>320337210</x:v>
      </x:c>
      <x:c r="E520" s="49" t="str">
        <x:v>Electronics and Telecommunication Engg</x:v>
      </x:c>
      <x:c r="F520" s="73" t="n">
        <x:v>23</x:v>
      </x:c>
      <x:c r="G520" s="73" t="n">
        <x:v>16</x:v>
      </x:c>
      <x:c r="H520" s="73" t="n">
        <x:v>7</x:v>
      </x:c>
      <x:c r="I520" s="73"/>
      <x:c r="J520" s="73" t="n">
        <x:v>0</x:v>
      </x:c>
      <x:c r="K520" s="49" t="str">
        <x:v>Un-Aided</x:v>
      </x:c>
      <x:c r="L520" s="49" t="str">
        <x:v>MS Seats : 16+ EWS : 7</x:v>
      </x:c>
      <x:c r="M520" s="49" t="str">
        <x:v>https://dse2025.mahacet.org.in/dse25/admin/allotment/cap2/3203_4.pdf</x:v>
      </x:c>
    </x:row>
    <x:row r="521">
      <x:c r="A521" s="49" t="str">
        <x:v>2025-26</x:v>
      </x:c>
      <x:c r="B521" s="63" t="n">
        <x:v>3203</x:v>
      </x:c>
      <x:c r="C521" s="49" t="str">
        <x:v>Atharva College of Engineering,Malad(West),Mumbai</x:v>
      </x:c>
      <x:c r="D521" s="72" t="n">
        <x:v>320390010</x:v>
      </x:c>
      <x:c r="E521" s="49" t="str">
        <x:v>Electronics and Computer Science</x:v>
      </x:c>
      <x:c r="F521" s="73" t="n">
        <x:v>11</x:v>
      </x:c>
      <x:c r="G521" s="73" t="n">
        <x:v>8</x:v>
      </x:c>
      <x:c r="H521" s="73" t="n">
        <x:v>3</x:v>
      </x:c>
      <x:c r="I521" s="73"/>
      <x:c r="J521" s="73" t="n">
        <x:v>0</x:v>
      </x:c>
      <x:c r="K521" s="49" t="str">
        <x:v>Un-Aided</x:v>
      </x:c>
      <x:c r="L521" s="49" t="str">
        <x:v>MS Seats : 8+ EWS : 3</x:v>
      </x:c>
      <x:c r="M521" s="49" t="str">
        <x:v>https://dse2025.mahacet.org.in/dse25/admin/allotment/cap2/3203_4.pdf</x:v>
      </x:c>
    </x:row>
    <x:row r="522">
      <x:c r="A522" s="49" t="str">
        <x:v>2025-26</x:v>
      </x:c>
      <x:c r="B522" s="63" t="n">
        <x:v>3204</x:v>
      </x:c>
      <x:c r="C522" s="49" t="str">
        <x:v>St. Francis Institute of Technology,Borivali, Mumbai</x:v>
      </x:c>
      <x:c r="D522" s="72" t="n">
        <x:v>320424510</x:v>
      </x:c>
      <x:c r="E522" s="49" t="str">
        <x:v>Computer Engineering</x:v>
      </x:c>
      <x:c r="F522" s="73" t="n">
        <x:v>18</x:v>
      </x:c>
      <x:c r="G522" s="73" t="n">
        <x:v>8</x:v>
      </x:c>
      <x:c r="H522" s="73"/>
      <x:c r="I522" s="73" t="n">
        <x:v>10</x:v>
      </x:c>
      <x:c r="J522" s="73" t="n">
        <x:v>0</x:v>
      </x:c>
      <x:c r="K522" s="49" t="str">
        <x:v>Un-Aided Autonomous Religious Minority - Christian</x:v>
      </x:c>
      <x:c r="L522" s="49" t="str">
        <x:v>MS Seats : 8 + Minority Seats : 10</x:v>
      </x:c>
      <x:c r="M522" s="49" t="str">
        <x:v>https://dse2025.mahacet.org.in/dse25/admin/allotment/cap2/3204_4.pdf</x:v>
      </x:c>
    </x:row>
    <x:row r="523">
      <x:c r="A523" s="49" t="str">
        <x:v>2025-26</x:v>
      </x:c>
      <x:c r="B523" s="63" t="n">
        <x:v>3204</x:v>
      </x:c>
      <x:c r="C523" s="49" t="str">
        <x:v>St. Francis Institute of Technology,Borivali, Mumbai</x:v>
      </x:c>
      <x:c r="D523" s="72" t="n">
        <x:v>320424610</x:v>
      </x:c>
      <x:c r="E523" s="49" t="str">
        <x:v>Information Technology</x:v>
      </x:c>
      <x:c r="F523" s="73" t="n">
        <x:v>12</x:v>
      </x:c>
      <x:c r="G523" s="73" t="n">
        <x:v>5</x:v>
      </x:c>
      <x:c r="H523" s="73"/>
      <x:c r="I523" s="73" t="n">
        <x:v>7</x:v>
      </x:c>
      <x:c r="J523" s="73" t="n">
        <x:v>0</x:v>
      </x:c>
      <x:c r="K523" s="49" t="str">
        <x:v>Un-Aided Autonomous Religious Minority - Christian</x:v>
      </x:c>
      <x:c r="L523" s="49" t="str">
        <x:v>MS Seats : 5 + Minority Seats : 7</x:v>
      </x:c>
      <x:c r="M523" s="49" t="str">
        <x:v>https://dse2025.mahacet.org.in/dse25/admin/allotment/cap2/3204_4.pdf</x:v>
      </x:c>
    </x:row>
    <x:row r="524">
      <x:c r="A524" s="49" t="str">
        <x:v>2025-26</x:v>
      </x:c>
      <x:c r="B524" s="63" t="n">
        <x:v>3204</x:v>
      </x:c>
      <x:c r="C524" s="49" t="str">
        <x:v>St. Francis Institute of Technology,Borivali, Mumbai</x:v>
      </x:c>
      <x:c r="D524" s="72" t="n">
        <x:v>320429310</x:v>
      </x:c>
      <x:c r="E524" s="49" t="str">
        <x:v>Electrical Engineering</x:v>
      </x:c>
      <x:c r="F524" s="73" t="n">
        <x:v>8</x:v>
      </x:c>
      <x:c r="G524" s="73" t="n">
        <x:v>3</x:v>
      </x:c>
      <x:c r="H524" s="73"/>
      <x:c r="I524" s="73" t="n">
        <x:v>5</x:v>
      </x:c>
      <x:c r="J524" s="73" t="n">
        <x:v>0</x:v>
      </x:c>
      <x:c r="K524" s="49" t="str">
        <x:v>Un-Aided Autonomous Religious Minority - Christian</x:v>
      </x:c>
      <x:c r="L524" s="49" t="str">
        <x:v>MS Seats : 3 + Minority Seats : 5</x:v>
      </x:c>
      <x:c r="M524" s="49" t="str">
        <x:v>https://dse2025.mahacet.org.in/dse25/admin/allotment/cap2/3204_4.pdf</x:v>
      </x:c>
    </x:row>
    <x:row r="525">
      <x:c r="A525" s="49" t="str">
        <x:v>2025-26</x:v>
      </x:c>
      <x:c r="B525" s="63" t="n">
        <x:v>3204</x:v>
      </x:c>
      <x:c r="C525" s="49" t="str">
        <x:v>St. Francis Institute of Technology,Borivali, Mumbai</x:v>
      </x:c>
      <x:c r="D525" s="72" t="n">
        <x:v>320437210</x:v>
      </x:c>
      <x:c r="E525" s="49" t="str">
        <x:v>Electronics and Telecommunication Engg</x:v>
      </x:c>
      <x:c r="F525" s="73" t="n">
        <x:v>14</x:v>
      </x:c>
      <x:c r="G525" s="73" t="n">
        <x:v>6</x:v>
      </x:c>
      <x:c r="H525" s="73"/>
      <x:c r="I525" s="73" t="n">
        <x:v>8</x:v>
      </x:c>
      <x:c r="J525" s="73" t="n">
        <x:v>0</x:v>
      </x:c>
      <x:c r="K525" s="49" t="str">
        <x:v>Un-Aided Autonomous Religious Minority - Christian</x:v>
      </x:c>
      <x:c r="L525" s="49" t="str">
        <x:v>MS Seats : 6 + Minority Seats : 8</x:v>
      </x:c>
      <x:c r="M525" s="49" t="str">
        <x:v>https://dse2025.mahacet.org.in/dse25/admin/allotment/cap2/3204_4.pdf</x:v>
      </x:c>
    </x:row>
    <x:row r="526">
      <x:c r="A526" s="49" t="str">
        <x:v>2025-26</x:v>
      </x:c>
      <x:c r="B526" s="63" t="n">
        <x:v>3204</x:v>
      </x:c>
      <x:c r="C526" s="49" t="str">
        <x:v>St. Francis Institute of Technology,Borivali, Mumbai</x:v>
      </x:c>
      <x:c r="D526" s="72" t="n">
        <x:v>320461210</x:v>
      </x:c>
      <x:c r="E526" s="49" t="str">
        <x:v>Mechanical Engineering</x:v>
      </x:c>
      <x:c r="F526" s="73" t="n">
        <x:v>14</x:v>
      </x:c>
      <x:c r="G526" s="73" t="n">
        <x:v>6</x:v>
      </x:c>
      <x:c r="H526" s="73"/>
      <x:c r="I526" s="73" t="n">
        <x:v>8</x:v>
      </x:c>
      <x:c r="J526" s="73" t="n">
        <x:v>0</x:v>
      </x:c>
      <x:c r="K526" s="49" t="str">
        <x:v>Un-Aided Autonomous Religious Minority - Christian</x:v>
      </x:c>
      <x:c r="L526" s="49" t="str">
        <x:v>MS Seats : 6 + Minority Seats : 8</x:v>
      </x:c>
      <x:c r="M526" s="49" t="str">
        <x:v>https://dse2025.mahacet.org.in/dse25/admin/allotment/cap2/3204_4.pdf</x:v>
      </x:c>
    </x:row>
    <x:row r="527">
      <x:c r="A527" s="49" t="str">
        <x:v>2025-26</x:v>
      </x:c>
      <x:c r="B527" s="63" t="n">
        <x:v>3204</x:v>
      </x:c>
      <x:c r="C527" s="49" t="str">
        <x:v>St. Francis Institute of Technology,Borivali, Mumbai</x:v>
      </x:c>
      <x:c r="D527" s="72" t="n">
        <x:v>320490010</x:v>
      </x:c>
      <x:c r="E527" s="49" t="str">
        <x:v>Electronics and Computer Science</x:v>
      </x:c>
      <x:c r="F527" s="73" t="n">
        <x:v>7</x:v>
      </x:c>
      <x:c r="G527" s="73" t="n">
        <x:v>3</x:v>
      </x:c>
      <x:c r="H527" s="73"/>
      <x:c r="I527" s="73" t="n">
        <x:v>4</x:v>
      </x:c>
      <x:c r="J527" s="73" t="n">
        <x:v>0</x:v>
      </x:c>
      <x:c r="K527" s="49" t="str">
        <x:v>Un-Aided Autonomous Religious Minority - Christian</x:v>
      </x:c>
      <x:c r="L527" s="49" t="str">
        <x:v>MS Seats : 3 + Minority Seats : 4</x:v>
      </x:c>
      <x:c r="M527" s="49" t="str">
        <x:v>https://dse2025.mahacet.org.in/dse25/admin/allotment/cap2/3204_4.pdf</x:v>
      </x:c>
    </x:row>
    <x:row r="528">
      <x:c r="A528" s="49" t="str">
        <x:v>2025-26</x:v>
      </x:c>
      <x:c r="B528" s="63" t="n">
        <x:v>3204</x:v>
      </x:c>
      <x:c r="C528" s="49" t="str">
        <x:v>St. Francis Institute of Technology,Borivali, Mumbai</x:v>
      </x:c>
      <x:c r="D528" s="72" t="n">
        <x:v>320492110</x:v>
      </x:c>
      <x:c r="E528" s="49" t="str">
        <x:v>Artificial Intelligence and Machine Learning</x:v>
      </x:c>
      <x:c r="F528" s="73" t="n">
        <x:v>7</x:v>
      </x:c>
      <x:c r="G528" s="73" t="n">
        <x:v>3</x:v>
      </x:c>
      <x:c r="H528" s="73"/>
      <x:c r="I528" s="73" t="n">
        <x:v>4</x:v>
      </x:c>
      <x:c r="J528" s="73" t="n">
        <x:v>0</x:v>
      </x:c>
      <x:c r="K528" s="49" t="str">
        <x:v>Un-Aided Autonomous Religious Minority - Christian</x:v>
      </x:c>
      <x:c r="L528" s="49" t="str">
        <x:v>MS Seats : 3 + Minority Seats : 4</x:v>
      </x:c>
      <x:c r="M528" s="49" t="str">
        <x:v>https://dse2025.mahacet.org.in/dse25/admin/allotment/cap2/3204_4.pdf</x:v>
      </x:c>
    </x:row>
    <x:row r="529">
      <x:c r="A529" s="49" t="str">
        <x:v>2025-26</x:v>
      </x:c>
      <x:c r="B529" s="63" t="n">
        <x:v>3206</x:v>
      </x:c>
      <x:c r="C529" s="49" t="str">
        <x:v>S.S.P.M.'s College of Engineering, Kankavli</x:v>
      </x:c>
      <x:c r="D529" s="72" t="n">
        <x:v>320624510</x:v>
      </x:c>
      <x:c r="E529" s="49" t="str">
        <x:v>Computer Engineering</x:v>
      </x:c>
      <x:c r="F529" s="73" t="n">
        <x:v>35</x:v>
      </x:c>
      <x:c r="G529" s="73" t="n">
        <x:v>29</x:v>
      </x:c>
      <x:c r="H529" s="73" t="n">
        <x:v>6</x:v>
      </x:c>
      <x:c r="I529" s="73"/>
      <x:c r="J529" s="73" t="n">
        <x:v>0</x:v>
      </x:c>
      <x:c r="K529" s="49" t="str">
        <x:v>Un-Aided</x:v>
      </x:c>
      <x:c r="L529" s="49" t="str">
        <x:v>MS Seats : 29+ EWS : 6</x:v>
      </x:c>
      <x:c r="M529" s="49" t="str">
        <x:v>https://dse2025.mahacet.org.in/dse25/admin/allotment/cap2/3206_4.pdf</x:v>
      </x:c>
    </x:row>
    <x:row r="530">
      <x:c r="A530" s="49" t="str">
        <x:v>2025-26</x:v>
      </x:c>
      <x:c r="B530" s="63" t="n">
        <x:v>3206</x:v>
      </x:c>
      <x:c r="C530" s="49" t="str">
        <x:v>S.S.P.M.'s College of Engineering, Kankavli</x:v>
      </x:c>
      <x:c r="D530" s="72" t="n">
        <x:v>320629310</x:v>
      </x:c>
      <x:c r="E530" s="49" t="str">
        <x:v>Electrical Engineering</x:v>
      </x:c>
      <x:c r="F530" s="73" t="n">
        <x:v>12</x:v>
      </x:c>
      <x:c r="G530" s="73" t="n">
        <x:v>10</x:v>
      </x:c>
      <x:c r="H530" s="73" t="n">
        <x:v>2</x:v>
      </x:c>
      <x:c r="I530" s="73"/>
      <x:c r="J530" s="73" t="n">
        <x:v>0</x:v>
      </x:c>
      <x:c r="K530" s="49" t="str">
        <x:v>Un-Aided</x:v>
      </x:c>
      <x:c r="L530" s="49" t="str">
        <x:v>MS Seats : 10+ EWS : 2</x:v>
      </x:c>
      <x:c r="M530" s="49" t="str">
        <x:v>https://dse2025.mahacet.org.in/dse25/admin/allotment/cap2/3206_4.pdf</x:v>
      </x:c>
    </x:row>
    <x:row r="531">
      <x:c r="A531" s="49" t="str">
        <x:v>2025-26</x:v>
      </x:c>
      <x:c r="B531" s="63" t="n">
        <x:v>3206</x:v>
      </x:c>
      <x:c r="C531" s="49" t="str">
        <x:v>S.S.P.M.'s College of Engineering, Kankavli</x:v>
      </x:c>
      <x:c r="D531" s="72" t="n">
        <x:v>320656610</x:v>
      </x:c>
      <x:c r="E531" s="49" t="str">
        <x:v>Computer Science</x:v>
      </x:c>
      <x:c r="F531" s="73" t="n">
        <x:v>11</x:v>
      </x:c>
      <x:c r="G531" s="73" t="n">
        <x:v>11</x:v>
      </x:c>
      <x:c r="H531" s="73" t="n">
        <x:v>0</x:v>
      </x:c>
      <x:c r="I531" s="73"/>
      <x:c r="J531" s="73" t="n">
        <x:v>0</x:v>
      </x:c>
      <x:c r="K531" s="49" t="str">
        <x:v>Un-Aided</x:v>
      </x:c>
      <x:c r="L531" s="49" t="str">
        <x:v>MS Seats : 11+ EWS : 0</x:v>
      </x:c>
      <x:c r="M531" s="49" t="str">
        <x:v>https://dse2025.mahacet.org.in/dse25/admin/allotment/cap2/3206_4.pdf</x:v>
      </x:c>
    </x:row>
    <x:row r="532">
      <x:c r="A532" s="49" t="str">
        <x:v>2025-26</x:v>
      </x:c>
      <x:c r="B532" s="63" t="n">
        <x:v>3206</x:v>
      </x:c>
      <x:c r="C532" s="49" t="str">
        <x:v>S.S.P.M.'s College of Engineering, Kankavli</x:v>
      </x:c>
      <x:c r="D532" s="72" t="n">
        <x:v>320661210</x:v>
      </x:c>
      <x:c r="E532" s="49" t="str">
        <x:v>Mechanical Engineering</x:v>
      </x:c>
      <x:c r="F532" s="73" t="n">
        <x:v>65</x:v>
      </x:c>
      <x:c r="G532" s="73" t="n">
        <x:v>58</x:v>
      </x:c>
      <x:c r="H532" s="73" t="n">
        <x:v>7</x:v>
      </x:c>
      <x:c r="I532" s="73"/>
      <x:c r="J532" s="73" t="n">
        <x:v>0</x:v>
      </x:c>
      <x:c r="K532" s="49" t="str">
        <x:v>Un-Aided</x:v>
      </x:c>
      <x:c r="L532" s="49" t="str">
        <x:v>MS Seats : 58+ EWS : 7</x:v>
      </x:c>
      <x:c r="M532" s="49" t="str">
        <x:v>https://dse2025.mahacet.org.in/dse25/admin/allotment/cap2/3206_4.pdf</x:v>
      </x:c>
    </x:row>
    <x:row r="533">
      <x:c r="A533" s="49" t="str">
        <x:v>2025-26</x:v>
      </x:c>
      <x:c r="B533" s="63" t="n">
        <x:v>3206</x:v>
      </x:c>
      <x:c r="C533" s="49" t="str">
        <x:v>S.S.P.M.'s College of Engineering, Kankavli</x:v>
      </x:c>
      <x:c r="D533" s="72" t="n">
        <x:v>320662410</x:v>
      </x:c>
      <x:c r="E533" s="49" t="str">
        <x:v>Mechatronics Engineering</x:v>
      </x:c>
      <x:c r="F533" s="73" t="n">
        <x:v>27</x:v>
      </x:c>
      <x:c r="G533" s="73" t="n">
        <x:v>24</x:v>
      </x:c>
      <x:c r="H533" s="73" t="n">
        <x:v>3</x:v>
      </x:c>
      <x:c r="I533" s="73"/>
      <x:c r="J533" s="73" t="n">
        <x:v>0</x:v>
      </x:c>
      <x:c r="K533" s="49" t="str">
        <x:v>Un-Aided</x:v>
      </x:c>
      <x:c r="L533" s="49" t="str">
        <x:v>MS Seats : 24+ EWS : 3</x:v>
      </x:c>
      <x:c r="M533" s="49" t="str">
        <x:v>https://dse2025.mahacet.org.in/dse25/admin/allotment/cap2/3206_4.pdf</x:v>
      </x:c>
    </x:row>
    <x:row r="534">
      <x:c r="A534" s="49" t="str">
        <x:v>2025-26</x:v>
      </x:c>
      <x:c r="B534" s="63" t="n">
        <x:v>3206</x:v>
      </x:c>
      <x:c r="C534" s="49" t="str">
        <x:v>S.S.P.M.'s College of Engineering, Kankavli</x:v>
      </x:c>
      <x:c r="D534" s="72" t="n">
        <x:v>320690010</x:v>
      </x:c>
      <x:c r="E534" s="49" t="str">
        <x:v>Electronics and Computer Science</x:v>
      </x:c>
      <x:c r="F534" s="73" t="n">
        <x:v>38</x:v>
      </x:c>
      <x:c r="G534" s="73" t="n">
        <x:v>32</x:v>
      </x:c>
      <x:c r="H534" s="73" t="n">
        <x:v>6</x:v>
      </x:c>
      <x:c r="I534" s="73"/>
      <x:c r="J534" s="73" t="n">
        <x:v>0</x:v>
      </x:c>
      <x:c r="K534" s="49" t="str">
        <x:v>Un-Aided</x:v>
      </x:c>
      <x:c r="L534" s="49" t="str">
        <x:v>MS Seats : 32+ EWS : 6</x:v>
      </x:c>
      <x:c r="M534" s="49" t="str">
        <x:v>https://dse2025.mahacet.org.in/dse25/admin/allotment/cap2/3206_4.pdf</x:v>
      </x:c>
    </x:row>
    <x:row r="535">
      <x:c r="A535" s="49" t="str">
        <x:v>2025-26</x:v>
      </x:c>
      <x:c r="B535" s="63" t="n">
        <x:v>3206</x:v>
      </x:c>
      <x:c r="C535" s="49" t="str">
        <x:v>S.S.P.M.'s College of Engineering, Kankavli</x:v>
      </x:c>
      <x:c r="D535" s="72" t="n">
        <x:v>320691110</x:v>
      </x:c>
      <x:c r="E535" s="49" t="str">
        <x:v>Computer Science and Engineering(Artificial Intelligence and Machine Learning)</x:v>
      </x:c>
      <x:c r="F535" s="73" t="n">
        <x:v>14</x:v>
      </x:c>
      <x:c r="G535" s="73" t="n">
        <x:v>10</x:v>
      </x:c>
      <x:c r="H535" s="73" t="n">
        <x:v>4</x:v>
      </x:c>
      <x:c r="I535" s="73"/>
      <x:c r="J535" s="73" t="n">
        <x:v>0</x:v>
      </x:c>
      <x:c r="K535" s="49" t="str">
        <x:v>Un-Aided</x:v>
      </x:c>
      <x:c r="L535" s="49" t="str">
        <x:v>MS Seats : 10+ EWS : 4</x:v>
      </x:c>
      <x:c r="M535" s="49" t="str">
        <x:v>https://dse2025.mahacet.org.in/dse25/admin/allotment/cap2/3206_4.pdf</x:v>
      </x:c>
    </x:row>
    <x:row r="536">
      <x:c r="A536" s="49" t="str">
        <x:v>2025-26</x:v>
      </x:c>
      <x:c r="B536" s="63" t="n">
        <x:v>3207</x:v>
      </x:c>
      <x:c r="C536" s="49" t="str">
        <x:v>Mahatma Education Society's Pillai College of Engineering, New Panvel</x:v>
      </x:c>
      <x:c r="D536" s="72" t="n">
        <x:v>320724510</x:v>
      </x:c>
      <x:c r="E536" s="49" t="str">
        <x:v>Computer Engineering</x:v>
      </x:c>
      <x:c r="F536" s="73" t="n">
        <x:v>22</x:v>
      </x:c>
      <x:c r="G536" s="73" t="n">
        <x:v>10</x:v>
      </x:c>
      <x:c r="H536" s="73"/>
      <x:c r="I536" s="73" t="n">
        <x:v>12</x:v>
      </x:c>
      <x:c r="J536" s="73" t="n">
        <x:v>0</x:v>
      </x:c>
      <x:c r="K536" s="49" t="str">
        <x:v>Un-Aided Autonomous Linguistic Minority - Malyalam</x:v>
      </x:c>
      <x:c r="L536" s="49" t="str">
        <x:v>MS Seats : 10 + Minority Seats : 12</x:v>
      </x:c>
      <x:c r="M536" s="49" t="str">
        <x:v>https://dse2025.mahacet.org.in/dse25/admin/allotment/cap2/3207_4.pdf</x:v>
      </x:c>
    </x:row>
    <x:row r="537">
      <x:c r="A537" s="49" t="str">
        <x:v>2025-26</x:v>
      </x:c>
      <x:c r="B537" s="63" t="n">
        <x:v>3207</x:v>
      </x:c>
      <x:c r="C537" s="49" t="str">
        <x:v>Mahatma Education Society's Pillai College of Engineering, New Panvel</x:v>
      </x:c>
      <x:c r="D537" s="72" t="n">
        <x:v>320724610</x:v>
      </x:c>
      <x:c r="E537" s="49" t="str">
        <x:v>Information Technology</x:v>
      </x:c>
      <x:c r="F537" s="73" t="n">
        <x:v>14</x:v>
      </x:c>
      <x:c r="G537" s="73" t="n">
        <x:v>6</x:v>
      </x:c>
      <x:c r="H537" s="73"/>
      <x:c r="I537" s="73" t="n">
        <x:v>8</x:v>
      </x:c>
      <x:c r="J537" s="73" t="n">
        <x:v>0</x:v>
      </x:c>
      <x:c r="K537" s="49" t="str">
        <x:v>Un-Aided Autonomous Linguistic Minority - Malyalam</x:v>
      </x:c>
      <x:c r="L537" s="49" t="str">
        <x:v>MS Seats : 6 + Minority Seats : 8</x:v>
      </x:c>
      <x:c r="M537" s="49" t="str">
        <x:v>https://dse2025.mahacet.org.in/dse25/admin/allotment/cap2/3207_4.pdf</x:v>
      </x:c>
    </x:row>
    <x:row r="538">
      <x:c r="A538" s="49" t="str">
        <x:v>2025-26</x:v>
      </x:c>
      <x:c r="B538" s="63" t="n">
        <x:v>3207</x:v>
      </x:c>
      <x:c r="C538" s="49" t="str">
        <x:v>Mahatma Education Society's Pillai College of Engineering, New Panvel</x:v>
      </x:c>
      <x:c r="D538" s="72" t="n">
        <x:v>320737210</x:v>
      </x:c>
      <x:c r="E538" s="49" t="str">
        <x:v>Electronics and Telecommunication Engg</x:v>
      </x:c>
      <x:c r="F538" s="73" t="n">
        <x:v>18</x:v>
      </x:c>
      <x:c r="G538" s="73" t="n">
        <x:v>8</x:v>
      </x:c>
      <x:c r="H538" s="73"/>
      <x:c r="I538" s="73" t="n">
        <x:v>10</x:v>
      </x:c>
      <x:c r="J538" s="73" t="n">
        <x:v>0</x:v>
      </x:c>
      <x:c r="K538" s="49" t="str">
        <x:v>Un-Aided Autonomous Linguistic Minority - Malyalam</x:v>
      </x:c>
      <x:c r="L538" s="49" t="str">
        <x:v>MS Seats : 8 + Minority Seats : 10</x:v>
      </x:c>
      <x:c r="M538" s="49" t="str">
        <x:v>https://dse2025.mahacet.org.in/dse25/admin/allotment/cap2/3207_4.pdf</x:v>
      </x:c>
    </x:row>
    <x:row r="539">
      <x:c r="A539" s="49" t="str">
        <x:v>2025-26</x:v>
      </x:c>
      <x:c r="B539" s="63" t="n">
        <x:v>3207</x:v>
      </x:c>
      <x:c r="C539" s="49" t="str">
        <x:v>Mahatma Education Society's Pillai College of Engineering, New Panvel</x:v>
      </x:c>
      <x:c r="D539" s="72" t="n">
        <x:v>320760210</x:v>
      </x:c>
      <x:c r="E539" s="49" t="str">
        <x:v>Automobile Engineering</x:v>
      </x:c>
      <x:c r="F539" s="73" t="n">
        <x:v>22</x:v>
      </x:c>
      <x:c r="G539" s="73" t="n">
        <x:v>10</x:v>
      </x:c>
      <x:c r="H539" s="73"/>
      <x:c r="I539" s="73" t="n">
        <x:v>12</x:v>
      </x:c>
      <x:c r="J539" s="73" t="n">
        <x:v>0</x:v>
      </x:c>
      <x:c r="K539" s="49" t="str">
        <x:v>Un-Aided Autonomous Linguistic Minority - Malyalam</x:v>
      </x:c>
      <x:c r="L539" s="49" t="str">
        <x:v>MS Seats : 10 + Minority Seats : 12</x:v>
      </x:c>
      <x:c r="M539" s="49" t="str">
        <x:v>https://dse2025.mahacet.org.in/dse25/admin/allotment/cap2/3207_4.pdf</x:v>
      </x:c>
    </x:row>
    <x:row r="540">
      <x:c r="A540" s="49" t="str">
        <x:v>2025-26</x:v>
      </x:c>
      <x:c r="B540" s="63" t="n">
        <x:v>3207</x:v>
      </x:c>
      <x:c r="C540" s="49" t="str">
        <x:v>Mahatma Education Society's Pillai College of Engineering, New Panvel</x:v>
      </x:c>
      <x:c r="D540" s="72" t="n">
        <x:v>320761210</x:v>
      </x:c>
      <x:c r="E540" s="49" t="str">
        <x:v>Mechanical Engineering</x:v>
      </x:c>
      <x:c r="F540" s="73" t="n">
        <x:v>12</x:v>
      </x:c>
      <x:c r="G540" s="73" t="n">
        <x:v>5</x:v>
      </x:c>
      <x:c r="H540" s="73"/>
      <x:c r="I540" s="73" t="n">
        <x:v>7</x:v>
      </x:c>
      <x:c r="J540" s="73" t="n">
        <x:v>0</x:v>
      </x:c>
      <x:c r="K540" s="49" t="str">
        <x:v>Un-Aided Autonomous Linguistic Minority - Malyalam</x:v>
      </x:c>
      <x:c r="L540" s="49" t="str">
        <x:v>MS Seats : 5 + Minority Seats : 7</x:v>
      </x:c>
      <x:c r="M540" s="49" t="str">
        <x:v>https://dse2025.mahacet.org.in/dse25/admin/allotment/cap2/3207_4.pdf</x:v>
      </x:c>
    </x:row>
    <x:row r="541">
      <x:c r="A541" s="49" t="str">
        <x:v>2025-26</x:v>
      </x:c>
      <x:c r="B541" s="63" t="n">
        <x:v>3207</x:v>
      </x:c>
      <x:c r="C541" s="49" t="str">
        <x:v>Mahatma Education Society's Pillai College of Engineering, New Panvel</x:v>
      </x:c>
      <x:c r="D541" s="72" t="n">
        <x:v>320790010</x:v>
      </x:c>
      <x:c r="E541" s="49" t="str">
        <x:v>Electronics and Computer Science</x:v>
      </x:c>
      <x:c r="F541" s="73" t="n">
        <x:v>9</x:v>
      </x:c>
      <x:c r="G541" s="73" t="n">
        <x:v>4</x:v>
      </x:c>
      <x:c r="H541" s="73"/>
      <x:c r="I541" s="73" t="n">
        <x:v>5</x:v>
      </x:c>
      <x:c r="J541" s="73" t="n">
        <x:v>0</x:v>
      </x:c>
      <x:c r="K541" s="49" t="str">
        <x:v>Un-Aided Autonomous Linguistic Minority - Malyalam</x:v>
      </x:c>
      <x:c r="L541" s="49" t="str">
        <x:v>MS Seats : 4 + Minority Seats : 5</x:v>
      </x:c>
      <x:c r="M541" s="49" t="str">
        <x:v>https://dse2025.mahacet.org.in/dse25/admin/allotment/cap2/3207_4.pdf</x:v>
      </x:c>
    </x:row>
    <x:row r="542">
      <x:c r="A542" s="49" t="str">
        <x:v>2025-26</x:v>
      </x:c>
      <x:c r="B542" s="63" t="n">
        <x:v>3208</x:v>
      </x:c>
      <x:c r="C542" s="49" t="str">
        <x:v>Don Bosco Institute of Technology, Mumbai</x:v>
      </x:c>
      <x:c r="D542" s="72" t="n">
        <x:v>320824510</x:v>
      </x:c>
      <x:c r="E542" s="49" t="str">
        <x:v>Computer Engineering</x:v>
      </x:c>
      <x:c r="F542" s="73" t="n">
        <x:v>12</x:v>
      </x:c>
      <x:c r="G542" s="73" t="n">
        <x:v>5</x:v>
      </x:c>
      <x:c r="H542" s="73"/>
      <x:c r="I542" s="73" t="n">
        <x:v>7</x:v>
      </x:c>
      <x:c r="J542" s="73" t="n">
        <x:v>0</x:v>
      </x:c>
      <x:c r="K542" s="49" t="str">
        <x:v>Un-Aided Religious Minority - Roman Catholics</x:v>
      </x:c>
      <x:c r="L542" s="49" t="str">
        <x:v>MS Seats : 5 + Minority Seats : 7</x:v>
      </x:c>
      <x:c r="M542" s="49" t="str">
        <x:v>https://dse2025.mahacet.org.in/dse25/admin/allotment/cap2/3208_4.pdf</x:v>
      </x:c>
    </x:row>
    <x:row r="543">
      <x:c r="A543" s="49" t="str">
        <x:v>2025-26</x:v>
      </x:c>
      <x:c r="B543" s="63" t="n">
        <x:v>3208</x:v>
      </x:c>
      <x:c r="C543" s="49" t="str">
        <x:v>Don Bosco Institute of Technology, Mumbai</x:v>
      </x:c>
      <x:c r="D543" s="72" t="n">
        <x:v>320824610</x:v>
      </x:c>
      <x:c r="E543" s="49" t="str">
        <x:v>Information Technology</x:v>
      </x:c>
      <x:c r="F543" s="73" t="n">
        <x:v>6</x:v>
      </x:c>
      <x:c r="G543" s="73" t="n">
        <x:v>2</x:v>
      </x:c>
      <x:c r="H543" s="73"/>
      <x:c r="I543" s="73" t="n">
        <x:v>4</x:v>
      </x:c>
      <x:c r="J543" s="73" t="n">
        <x:v>0</x:v>
      </x:c>
      <x:c r="K543" s="49" t="str">
        <x:v>Un-Aided Religious Minority - Roman Catholics</x:v>
      </x:c>
      <x:c r="L543" s="49" t="str">
        <x:v>MS Seats : 2 + Minority Seats : 4</x:v>
      </x:c>
      <x:c r="M543" s="49" t="str">
        <x:v>https://dse2025.mahacet.org.in/dse25/admin/allotment/cap2/3208_4.pdf</x:v>
      </x:c>
    </x:row>
    <x:row r="544">
      <x:c r="A544" s="49" t="str">
        <x:v>2025-26</x:v>
      </x:c>
      <x:c r="B544" s="63" t="n">
        <x:v>3208</x:v>
      </x:c>
      <x:c r="C544" s="49" t="str">
        <x:v>Don Bosco Institute of Technology, Mumbai</x:v>
      </x:c>
      <x:c r="D544" s="72" t="n">
        <x:v>320837210</x:v>
      </x:c>
      <x:c r="E544" s="49" t="str">
        <x:v>Electronics and Telecommunication Engg</x:v>
      </x:c>
      <x:c r="F544" s="73" t="n">
        <x:v>8</x:v>
      </x:c>
      <x:c r="G544" s="73" t="n">
        <x:v>3</x:v>
      </x:c>
      <x:c r="H544" s="73"/>
      <x:c r="I544" s="73" t="n">
        <x:v>5</x:v>
      </x:c>
      <x:c r="J544" s="73" t="n">
        <x:v>0</x:v>
      </x:c>
      <x:c r="K544" s="49" t="str">
        <x:v>Un-Aided Religious Minority - Roman Catholics</x:v>
      </x:c>
      <x:c r="L544" s="49" t="str">
        <x:v>MS Seats : 3 + Minority Seats : 5</x:v>
      </x:c>
      <x:c r="M544" s="49" t="str">
        <x:v>https://dse2025.mahacet.org.in/dse25/admin/allotment/cap2/3208_4.pdf</x:v>
      </x:c>
    </x:row>
    <x:row r="545">
      <x:c r="A545" s="49" t="str">
        <x:v>2025-26</x:v>
      </x:c>
      <x:c r="B545" s="63" t="n">
        <x:v>3208</x:v>
      </x:c>
      <x:c r="C545" s="49" t="str">
        <x:v>Don Bosco Institute of Technology, Mumbai</x:v>
      </x:c>
      <x:c r="D545" s="72" t="n">
        <x:v>320861210</x:v>
      </x:c>
      <x:c r="E545" s="49" t="str">
        <x:v>Mechanical Engineering</x:v>
      </x:c>
      <x:c r="F545" s="73" t="n">
        <x:v>7</x:v>
      </x:c>
      <x:c r="G545" s="73" t="n">
        <x:v>3</x:v>
      </x:c>
      <x:c r="H545" s="73"/>
      <x:c r="I545" s="73" t="n">
        <x:v>4</x:v>
      </x:c>
      <x:c r="J545" s="73" t="n">
        <x:v>0</x:v>
      </x:c>
      <x:c r="K545" s="49" t="str">
        <x:v>Un-Aided Religious Minority - Roman Catholics</x:v>
      </x:c>
      <x:c r="L545" s="49" t="str">
        <x:v>MS Seats : 3 + Minority Seats : 4</x:v>
      </x:c>
      <x:c r="M545" s="49" t="str">
        <x:v>https://dse2025.mahacet.org.in/dse25/admin/allotment/cap2/3208_4.pdf</x:v>
      </x:c>
    </x:row>
    <x:row r="546">
      <x:c r="A546" s="49" t="str">
        <x:v>2025-26</x:v>
      </x:c>
      <x:c r="B546" s="63" t="n">
        <x:v>3209</x:v>
      </x:c>
      <x:c r="C546" s="49" t="str">
        <x:v>K J Somaiya Institute of Technology</x:v>
      </x:c>
      <x:c r="D546" s="72" t="n">
        <x:v>320924510</x:v>
      </x:c>
      <x:c r="E546" s="49" t="str">
        <x:v>Computer Engineering</x:v>
      </x:c>
      <x:c r="F546" s="73" t="n">
        <x:v>12</x:v>
      </x:c>
      <x:c r="G546" s="73" t="n">
        <x:v>5</x:v>
      </x:c>
      <x:c r="H546" s="73"/>
      <x:c r="I546" s="73" t="n">
        <x:v>7</x:v>
      </x:c>
      <x:c r="J546" s="73" t="n">
        <x:v>0</x:v>
      </x:c>
      <x:c r="K546" s="49" t="str">
        <x:v>Un-Aided Autonomous Linguistic Minority - Gujarathi</x:v>
      </x:c>
      <x:c r="L546" s="49" t="str">
        <x:v>MS Seats : 5 + Minority Seats : 7</x:v>
      </x:c>
      <x:c r="M546" s="49" t="str">
        <x:v>https://dse2025.mahacet.org.in/dse25/admin/allotment/cap2/3209_4.pdf</x:v>
      </x:c>
    </x:row>
    <x:row r="547">
      <x:c r="A547" s="49" t="str">
        <x:v>2025-26</x:v>
      </x:c>
      <x:c r="B547" s="63" t="n">
        <x:v>3209</x:v>
      </x:c>
      <x:c r="C547" s="49" t="str">
        <x:v>K J Somaiya Institute of Technology</x:v>
      </x:c>
      <x:c r="D547" s="72" t="n">
        <x:v>320924610</x:v>
      </x:c>
      <x:c r="E547" s="49" t="str">
        <x:v>Information Technology</x:v>
      </x:c>
      <x:c r="F547" s="73" t="n">
        <x:v>12</x:v>
      </x:c>
      <x:c r="G547" s="73" t="n">
        <x:v>5</x:v>
      </x:c>
      <x:c r="H547" s="73"/>
      <x:c r="I547" s="73" t="n">
        <x:v>7</x:v>
      </x:c>
      <x:c r="J547" s="73" t="n">
        <x:v>0</x:v>
      </x:c>
      <x:c r="K547" s="49" t="str">
        <x:v>Un-Aided Autonomous Linguistic Minority - Gujarathi</x:v>
      </x:c>
      <x:c r="L547" s="49" t="str">
        <x:v>MS Seats : 5 + Minority Seats : 7</x:v>
      </x:c>
      <x:c r="M547" s="49" t="str">
        <x:v>https://dse2025.mahacet.org.in/dse25/admin/allotment/cap2/3209_4.pdf</x:v>
      </x:c>
    </x:row>
    <x:row r="548">
      <x:c r="A548" s="49" t="str">
        <x:v>2025-26</x:v>
      </x:c>
      <x:c r="B548" s="63" t="n">
        <x:v>3209</x:v>
      </x:c>
      <x:c r="C548" s="49" t="str">
        <x:v>K J Somaiya Institute of Technology</x:v>
      </x:c>
      <x:c r="D548" s="72" t="n">
        <x:v>320937210</x:v>
      </x:c>
      <x:c r="E548" s="49" t="str">
        <x:v>Electronics and Telecommunication Engg</x:v>
      </x:c>
      <x:c r="F548" s="73" t="n">
        <x:v>14</x:v>
      </x:c>
      <x:c r="G548" s="73" t="n">
        <x:v>6</x:v>
      </x:c>
      <x:c r="H548" s="73"/>
      <x:c r="I548" s="73" t="n">
        <x:v>8</x:v>
      </x:c>
      <x:c r="J548" s="73" t="n">
        <x:v>0</x:v>
      </x:c>
      <x:c r="K548" s="49" t="str">
        <x:v>Un-Aided Autonomous Linguistic Minority - Gujarathi</x:v>
      </x:c>
      <x:c r="L548" s="49" t="str">
        <x:v>MS Seats : 6 + Minority Seats : 8</x:v>
      </x:c>
      <x:c r="M548" s="49" t="str">
        <x:v>https://dse2025.mahacet.org.in/dse25/admin/allotment/cap2/3209_4.pdf</x:v>
      </x:c>
    </x:row>
    <x:row r="549">
      <x:c r="A549" s="49" t="str">
        <x:v>2025-26</x:v>
      </x:c>
      <x:c r="B549" s="63" t="n">
        <x:v>3209</x:v>
      </x:c>
      <x:c r="C549" s="49" t="str">
        <x:v>K J Somaiya Institute of Technology</x:v>
      </x:c>
      <x:c r="D549" s="72" t="n">
        <x:v>320999510</x:v>
      </x:c>
      <x:c r="E549" s="49" t="str">
        <x:v>Artificial Intelligence and Data Science</x:v>
      </x:c>
      <x:c r="F549" s="73" t="n">
        <x:v>12</x:v>
      </x:c>
      <x:c r="G549" s="73" t="n">
        <x:v>5</x:v>
      </x:c>
      <x:c r="H549" s="73"/>
      <x:c r="I549" s="73" t="n">
        <x:v>7</x:v>
      </x:c>
      <x:c r="J549" s="73" t="n">
        <x:v>0</x:v>
      </x:c>
      <x:c r="K549" s="49" t="str">
        <x:v>Un-Aided Autonomous Linguistic Minority - Gujarathi</x:v>
      </x:c>
      <x:c r="L549" s="49" t="str">
        <x:v>MS Seats : 5 + Minority Seats : 7</x:v>
      </x:c>
      <x:c r="M549" s="49" t="str">
        <x:v>https://dse2025.mahacet.org.in/dse25/admin/allotment/cap2/3209_4.pdf</x:v>
      </x:c>
    </x:row>
    <x:row r="550">
      <x:c r="A550" s="49" t="str">
        <x:v>2025-26</x:v>
      </x:c>
      <x:c r="B550" s="63" t="n">
        <x:v>3210</x:v>
      </x:c>
      <x:c r="C550" s="49" t="str">
        <x:v>Excelsior Education Society's K.C. College of Engineering and Management Studies and Research, Kopri, Thane (E)</x:v>
      </x:c>
      <x:c r="D550" s="72" t="n">
        <x:v>321024510</x:v>
      </x:c>
      <x:c r="E550" s="49" t="str">
        <x:v>Computer Engineering</x:v>
      </x:c>
      <x:c r="F550" s="73" t="n">
        <x:v>19</x:v>
      </x:c>
      <x:c r="G550" s="73" t="n">
        <x:v>9</x:v>
      </x:c>
      <x:c r="H550" s="73"/>
      <x:c r="I550" s="73" t="n">
        <x:v>10</x:v>
      </x:c>
      <x:c r="J550" s="73" t="n">
        <x:v>0</x:v>
      </x:c>
      <x:c r="K550" s="49" t="str">
        <x:v>Un-Aided Linguistic Minority - Punjabi</x:v>
      </x:c>
      <x:c r="L550" s="49" t="str">
        <x:v>MS Seats : 9 + Minority Seats : 10</x:v>
      </x:c>
      <x:c r="M550" s="49" t="str">
        <x:v>https://dse2025.mahacet.org.in/dse25/admin/allotment/cap2/3210_4.pdf</x:v>
      </x:c>
    </x:row>
    <x:row r="551">
      <x:c r="A551" s="49" t="str">
        <x:v>2025-26</x:v>
      </x:c>
      <x:c r="B551" s="63" t="n">
        <x:v>3210</x:v>
      </x:c>
      <x:c r="C551" s="49" t="str">
        <x:v>Excelsior Education Society's K.C. College of Engineering and Management Studies and Research, Kopri, Thane (E)</x:v>
      </x:c>
      <x:c r="D551" s="72" t="n">
        <x:v>321024610</x:v>
      </x:c>
      <x:c r="E551" s="49" t="str">
        <x:v>Information Technology</x:v>
      </x:c>
      <x:c r="F551" s="73" t="n">
        <x:v>20</x:v>
      </x:c>
      <x:c r="G551" s="73" t="n">
        <x:v>10</x:v>
      </x:c>
      <x:c r="H551" s="73"/>
      <x:c r="I551" s="73" t="n">
        <x:v>10</x:v>
      </x:c>
      <x:c r="J551" s="73" t="n">
        <x:v>0</x:v>
      </x:c>
      <x:c r="K551" s="49" t="str">
        <x:v>Un-Aided Linguistic Minority - Punjabi</x:v>
      </x:c>
      <x:c r="L551" s="49" t="str">
        <x:v>MS Seats : 10 + Minority Seats : 10</x:v>
      </x:c>
      <x:c r="M551" s="49" t="str">
        <x:v>https://dse2025.mahacet.org.in/dse25/admin/allotment/cap2/3210_4.pdf</x:v>
      </x:c>
    </x:row>
    <x:row r="552">
      <x:c r="A552" s="49" t="str">
        <x:v>2025-26</x:v>
      </x:c>
      <x:c r="B552" s="63" t="n">
        <x:v>3210</x:v>
      </x:c>
      <x:c r="C552" s="49" t="str">
        <x:v>Excelsior Education Society's K.C. College of Engineering and Management Studies and Research, Kopri, Thane (E)</x:v>
      </x:c>
      <x:c r="D552" s="72" t="n">
        <x:v>321037210</x:v>
      </x:c>
      <x:c r="E552" s="49" t="str">
        <x:v>Electronics and Telecommunication Engg</x:v>
      </x:c>
      <x:c r="F552" s="73" t="n">
        <x:v>7</x:v>
      </x:c>
      <x:c r="G552" s="73" t="n">
        <x:v>3</x:v>
      </x:c>
      <x:c r="H552" s="73"/>
      <x:c r="I552" s="73" t="n">
        <x:v>4</x:v>
      </x:c>
      <x:c r="J552" s="73" t="n">
        <x:v>0</x:v>
      </x:c>
      <x:c r="K552" s="49" t="str">
        <x:v>Un-Aided Linguistic Minority - Punjabi</x:v>
      </x:c>
      <x:c r="L552" s="49" t="str">
        <x:v>MS Seats : 3 + Minority Seats : 4</x:v>
      </x:c>
      <x:c r="M552" s="49" t="str">
        <x:v>https://dse2025.mahacet.org.in/dse25/admin/allotment/cap2/3210_4.pdf</x:v>
      </x:c>
    </x:row>
    <x:row r="553">
      <x:c r="A553" s="49" t="str">
        <x:v>2025-26</x:v>
      </x:c>
      <x:c r="B553" s="63" t="n">
        <x:v>3211</x:v>
      </x:c>
      <x:c r="C553" s="49" t="str">
        <x:v>S.I.E.S. Graduate School of Technology, Nerul, Navi Mumbai</x:v>
      </x:c>
      <x:c r="D553" s="72" t="n">
        <x:v>321124510</x:v>
      </x:c>
      <x:c r="E553" s="49" t="str">
        <x:v>Computer Engineering</x:v>
      </x:c>
      <x:c r="F553" s="73" t="n">
        <x:v>19</x:v>
      </x:c>
      <x:c r="G553" s="73" t="n">
        <x:v>9</x:v>
      </x:c>
      <x:c r="H553" s="73"/>
      <x:c r="I553" s="73" t="n">
        <x:v>10</x:v>
      </x:c>
      <x:c r="J553" s="73" t="n">
        <x:v>0</x:v>
      </x:c>
      <x:c r="K553" s="49" t="str">
        <x:v>Un-Aided Autonomous Linguistic Minority - Tamil</x:v>
      </x:c>
      <x:c r="L553" s="49" t="str">
        <x:v>MS Seats : 9 + Minority Seats : 10</x:v>
      </x:c>
      <x:c r="M553" s="49" t="str">
        <x:v>https://dse2025.mahacet.org.in/dse25/admin/allotment/cap2/3211_4.pdf</x:v>
      </x:c>
    </x:row>
    <x:row r="554">
      <x:c r="A554" s="49" t="str">
        <x:v>2025-26</x:v>
      </x:c>
      <x:c r="B554" s="63" t="n">
        <x:v>3211</x:v>
      </x:c>
      <x:c r="C554" s="49" t="str">
        <x:v>S.I.E.S. Graduate School of Technology, Nerul, Navi Mumbai</x:v>
      </x:c>
      <x:c r="D554" s="72" t="n">
        <x:v>321124610</x:v>
      </x:c>
      <x:c r="E554" s="49" t="str">
        <x:v>Information Technology</x:v>
      </x:c>
      <x:c r="F554" s="73" t="n">
        <x:v>8</x:v>
      </x:c>
      <x:c r="G554" s="73" t="n">
        <x:v>3</x:v>
      </x:c>
      <x:c r="H554" s="73"/>
      <x:c r="I554" s="73" t="n">
        <x:v>5</x:v>
      </x:c>
      <x:c r="J554" s="73" t="n">
        <x:v>0</x:v>
      </x:c>
      <x:c r="K554" s="49" t="str">
        <x:v>Un-Aided Autonomous Linguistic Minority - Tamil</x:v>
      </x:c>
      <x:c r="L554" s="49" t="str">
        <x:v>MS Seats : 3 + Minority Seats : 5</x:v>
      </x:c>
      <x:c r="M554" s="49" t="str">
        <x:v>https://dse2025.mahacet.org.in/dse25/admin/allotment/cap2/3211_4.pdf</x:v>
      </x:c>
    </x:row>
    <x:row r="555">
      <x:c r="A555" s="49" t="str">
        <x:v>2025-26</x:v>
      </x:c>
      <x:c r="B555" s="63" t="n">
        <x:v>3211</x:v>
      </x:c>
      <x:c r="C555" s="49" t="str">
        <x:v>S.I.E.S. Graduate School of Technology, Nerul, Navi Mumbai</x:v>
      </x:c>
      <x:c r="D555" s="72" t="n">
        <x:v>321137210</x:v>
      </x:c>
      <x:c r="E555" s="49" t="str">
        <x:v>Electronics and Telecommunication Engg</x:v>
      </x:c>
      <x:c r="F555" s="73" t="n">
        <x:v>9</x:v>
      </x:c>
      <x:c r="G555" s="73" t="n">
        <x:v>4</x:v>
      </x:c>
      <x:c r="H555" s="73"/>
      <x:c r="I555" s="73" t="n">
        <x:v>5</x:v>
      </x:c>
      <x:c r="J555" s="73" t="n">
        <x:v>0</x:v>
      </x:c>
      <x:c r="K555" s="49" t="str">
        <x:v>Un-Aided Autonomous Linguistic Minority - Tamil</x:v>
      </x:c>
      <x:c r="L555" s="49" t="str">
        <x:v>MS Seats : 4 + Minority Seats : 5</x:v>
      </x:c>
      <x:c r="M555" s="49" t="str">
        <x:v>https://dse2025.mahacet.org.in/dse25/admin/allotment/cap2/3211_4.pdf</x:v>
      </x:c>
    </x:row>
    <x:row r="556">
      <x:c r="A556" s="49" t="str">
        <x:v>2025-26</x:v>
      </x:c>
      <x:c r="B556" s="63" t="n">
        <x:v>3211</x:v>
      </x:c>
      <x:c r="C556" s="49" t="str">
        <x:v>S.I.E.S. Graduate School of Technology, Nerul, Navi Mumbai</x:v>
      </x:c>
      <x:c r="D556" s="72" t="n">
        <x:v>321190010</x:v>
      </x:c>
      <x:c r="E556" s="49" t="str">
        <x:v>Electronics and Computer Science</x:v>
      </x:c>
      <x:c r="F556" s="73" t="n">
        <x:v>6</x:v>
      </x:c>
      <x:c r="G556" s="73" t="n">
        <x:v>2</x:v>
      </x:c>
      <x:c r="H556" s="73"/>
      <x:c r="I556" s="73" t="n">
        <x:v>4</x:v>
      </x:c>
      <x:c r="J556" s="73" t="n">
        <x:v>0</x:v>
      </x:c>
      <x:c r="K556" s="49" t="str">
        <x:v>Un-Aided Autonomous Linguistic Minority - Tamil</x:v>
      </x:c>
      <x:c r="L556" s="49" t="str">
        <x:v>MS Seats : 2 + Minority Seats : 4</x:v>
      </x:c>
      <x:c r="M556" s="49" t="str">
        <x:v>https://dse2025.mahacet.org.in/dse25/admin/allotment/cap2/3211_4.pdf</x:v>
      </x:c>
    </x:row>
    <x:row r="557">
      <x:c r="A557" s="49" t="str">
        <x:v>2025-26</x:v>
      </x:c>
      <x:c r="B557" s="63" t="n">
        <x:v>3211</x:v>
      </x:c>
      <x:c r="C557" s="49" t="str">
        <x:v>S.I.E.S. Graduate School of Technology, Nerul, Navi Mumbai</x:v>
      </x:c>
      <x:c r="D557" s="72" t="n">
        <x:v>321192010</x:v>
      </x:c>
      <x:c r="E557" s="49" t="str">
        <x:v>Computer Science and Engineering (Internet of Things and Cyber Security Including Block Chain Technology)</x:v>
      </x:c>
      <x:c r="F557" s="73" t="n">
        <x:v>6</x:v>
      </x:c>
      <x:c r="G557" s="73" t="n">
        <x:v>2</x:v>
      </x:c>
      <x:c r="H557" s="73"/>
      <x:c r="I557" s="73" t="n">
        <x:v>4</x:v>
      </x:c>
      <x:c r="J557" s="73" t="n">
        <x:v>0</x:v>
      </x:c>
      <x:c r="K557" s="49" t="str">
        <x:v>Un-Aided Autonomous Linguistic Minority - Tamil</x:v>
      </x:c>
      <x:c r="L557" s="49" t="str">
        <x:v>MS Seats : 2 + Minority Seats : 4</x:v>
      </x:c>
      <x:c r="M557" s="49" t="str">
        <x:v>https://dse2025.mahacet.org.in/dse25/admin/allotment/cap2/3211_4.pdf</x:v>
      </x:c>
    </x:row>
    <x:row r="558">
      <x:c r="A558" s="49" t="str">
        <x:v>2025-26</x:v>
      </x:c>
      <x:c r="B558" s="63" t="n">
        <x:v>3211</x:v>
      </x:c>
      <x:c r="C558" s="49" t="str">
        <x:v>S.I.E.S. Graduate School of Technology, Nerul, Navi Mumbai</x:v>
      </x:c>
      <x:c r="D558" s="72" t="n">
        <x:v>321192110</x:v>
      </x:c>
      <x:c r="E558" s="49" t="str">
        <x:v>Artificial Intelligence and Machine Learning</x:v>
      </x:c>
      <x:c r="F558" s="73" t="n">
        <x:v>6</x:v>
      </x:c>
      <x:c r="G558" s="73" t="n">
        <x:v>2</x:v>
      </x:c>
      <x:c r="H558" s="73"/>
      <x:c r="I558" s="73" t="n">
        <x:v>4</x:v>
      </x:c>
      <x:c r="J558" s="73" t="n">
        <x:v>0</x:v>
      </x:c>
      <x:c r="K558" s="49" t="str">
        <x:v>Un-Aided Autonomous Linguistic Minority - Tamil</x:v>
      </x:c>
      <x:c r="L558" s="49" t="str">
        <x:v>MS Seats : 2 + Minority Seats : 4</x:v>
      </x:c>
      <x:c r="M558" s="49" t="str">
        <x:v>https://dse2025.mahacet.org.in/dse25/admin/allotment/cap2/3211_4.pdf</x:v>
      </x:c>
    </x:row>
    <x:row r="559">
      <x:c r="A559" s="49" t="str">
        <x:v>2025-26</x:v>
      </x:c>
      <x:c r="B559" s="63" t="n">
        <x:v>3211</x:v>
      </x:c>
      <x:c r="C559" s="49" t="str">
        <x:v>S.I.E.S. Graduate School of Technology, Nerul, Navi Mumbai</x:v>
      </x:c>
      <x:c r="D559" s="72" t="n">
        <x:v>321199510</x:v>
      </x:c>
      <x:c r="E559" s="49" t="str">
        <x:v>Artificial Intelligence and Data Science</x:v>
      </x:c>
      <x:c r="F559" s="73" t="n">
        <x:v>12</x:v>
      </x:c>
      <x:c r="G559" s="73" t="n">
        <x:v>5</x:v>
      </x:c>
      <x:c r="H559" s="73"/>
      <x:c r="I559" s="73" t="n">
        <x:v>7</x:v>
      </x:c>
      <x:c r="J559" s="73" t="n">
        <x:v>0</x:v>
      </x:c>
      <x:c r="K559" s="49" t="str">
        <x:v>Un-Aided Autonomous Linguistic Minority - Tamil</x:v>
      </x:c>
      <x:c r="L559" s="49" t="str">
        <x:v>MS Seats : 5 + Minority Seats : 7</x:v>
      </x:c>
      <x:c r="M559" s="49" t="str">
        <x:v>https://dse2025.mahacet.org.in/dse25/admin/allotment/cap2/3211_4.pdf</x:v>
      </x:c>
    </x:row>
    <x:row r="560">
      <x:c r="A560" s="49" t="str">
        <x:v>2025-26</x:v>
      </x:c>
      <x:c r="B560" s="63" t="n">
        <x:v>3212</x:v>
      </x:c>
      <x:c r="C560" s="49" t="str">
        <x:v>Watumull Institute of Engineering &amp; Technology, Ulhasnagar</x:v>
      </x:c>
      <x:c r="D560" s="72" t="n">
        <x:v>321219110</x:v>
      </x:c>
      <x:c r="E560" s="49" t="str">
        <x:v>Civil Engineering</x:v>
      </x:c>
      <x:c r="F560" s="73" t="n">
        <x:v>32</x:v>
      </x:c>
      <x:c r="G560" s="73" t="n">
        <x:v>15</x:v>
      </x:c>
      <x:c r="H560" s="73"/>
      <x:c r="I560" s="73" t="n">
        <x:v>17</x:v>
      </x:c>
      <x:c r="J560" s="73" t="n">
        <x:v>0</x:v>
      </x:c>
      <x:c r="K560" s="49" t="str">
        <x:v>Un-Aided Linguistic Minority - Sindhi</x:v>
      </x:c>
      <x:c r="L560" s="49" t="str">
        <x:v>MS Seats : 15 + Minority Seats : 17</x:v>
      </x:c>
      <x:c r="M560" s="49" t="str">
        <x:v>https://dse2025.mahacet.org.in/dse25/admin/allotment/cap2/3212_4.pdf</x:v>
      </x:c>
    </x:row>
    <x:row r="561">
      <x:c r="A561" s="49" t="str">
        <x:v>2025-26</x:v>
      </x:c>
      <x:c r="B561" s="63" t="n">
        <x:v>3212</x:v>
      </x:c>
      <x:c r="C561" s="49" t="str">
        <x:v>Watumull Institute of Engineering &amp; Technology, Ulhasnagar</x:v>
      </x:c>
      <x:c r="D561" s="72" t="n">
        <x:v>321224510</x:v>
      </x:c>
      <x:c r="E561" s="49" t="str">
        <x:v>Computer Engineering</x:v>
      </x:c>
      <x:c r="F561" s="73" t="n">
        <x:v>21</x:v>
      </x:c>
      <x:c r="G561" s="73" t="n">
        <x:v>10</x:v>
      </x:c>
      <x:c r="H561" s="73"/>
      <x:c r="I561" s="73" t="n">
        <x:v>11</x:v>
      </x:c>
      <x:c r="J561" s="73" t="n">
        <x:v>0</x:v>
      </x:c>
      <x:c r="K561" s="49" t="str">
        <x:v>Un-Aided Linguistic Minority - Sindhi</x:v>
      </x:c>
      <x:c r="L561" s="49" t="str">
        <x:v>MS Seats : 10 + Minority Seats : 11</x:v>
      </x:c>
      <x:c r="M561" s="49" t="str">
        <x:v>https://dse2025.mahacet.org.in/dse25/admin/allotment/cap2/3212_4.pdf</x:v>
      </x:c>
    </x:row>
    <x:row r="562">
      <x:c r="A562" s="49" t="str">
        <x:v>2025-26</x:v>
      </x:c>
      <x:c r="B562" s="63" t="n">
        <x:v>3214</x:v>
      </x:c>
      <x:c r="C562" s="49" t="str">
        <x:v>Xavier Institute Of Engineering C/O Xavier Technical Institute,Mahim,Mumbai</x:v>
      </x:c>
      <x:c r="D562" s="72" t="n">
        <x:v>321424510</x:v>
      </x:c>
      <x:c r="E562" s="49" t="str">
        <x:v>Computer Engineering</x:v>
      </x:c>
      <x:c r="F562" s="73" t="n">
        <x:v>11</x:v>
      </x:c>
      <x:c r="G562" s="73" t="n">
        <x:v>5</x:v>
      </x:c>
      <x:c r="H562" s="73"/>
      <x:c r="I562" s="73" t="n">
        <x:v>6</x:v>
      </x:c>
      <x:c r="J562" s="73" t="n">
        <x:v>0</x:v>
      </x:c>
      <x:c r="K562" s="49" t="str">
        <x:v>Un-Aided Religious Minority - Christian</x:v>
      </x:c>
      <x:c r="L562" s="49" t="str">
        <x:v>MS Seats : 5 + Minority Seats : 6</x:v>
      </x:c>
      <x:c r="M562" s="49" t="str">
        <x:v>https://dse2025.mahacet.org.in/dse25/admin/allotment/cap2/3214_4.pdf</x:v>
      </x:c>
    </x:row>
    <x:row r="563">
      <x:c r="A563" s="49" t="str">
        <x:v>2025-26</x:v>
      </x:c>
      <x:c r="B563" s="63" t="n">
        <x:v>3214</x:v>
      </x:c>
      <x:c r="C563" s="49" t="str">
        <x:v>Xavier Institute Of Engineering C/O Xavier Technical Institute,Mahim,Mumbai</x:v>
      </x:c>
      <x:c r="D563" s="72" t="n">
        <x:v>321424610</x:v>
      </x:c>
      <x:c r="E563" s="49" t="str">
        <x:v>Information Technology</x:v>
      </x:c>
      <x:c r="F563" s="73" t="n">
        <x:v>8</x:v>
      </x:c>
      <x:c r="G563" s="73" t="n">
        <x:v>3</x:v>
      </x:c>
      <x:c r="H563" s="73"/>
      <x:c r="I563" s="73" t="n">
        <x:v>5</x:v>
      </x:c>
      <x:c r="J563" s="73" t="n">
        <x:v>0</x:v>
      </x:c>
      <x:c r="K563" s="49" t="str">
        <x:v>Un-Aided Religious Minority - Christian</x:v>
      </x:c>
      <x:c r="L563" s="49" t="str">
        <x:v>MS Seats : 3 + Minority Seats : 5</x:v>
      </x:c>
      <x:c r="M563" s="49" t="str">
        <x:v>https://dse2025.mahacet.org.in/dse25/admin/allotment/cap2/3214_4.pdf</x:v>
      </x:c>
    </x:row>
    <x:row r="564">
      <x:c r="A564" s="49" t="str">
        <x:v>2025-26</x:v>
      </x:c>
      <x:c r="B564" s="63" t="n">
        <x:v>3214</x:v>
      </x:c>
      <x:c r="C564" s="49" t="str">
        <x:v>Xavier Institute Of Engineering C/O Xavier Technical Institute,Mahim,Mumbai</x:v>
      </x:c>
      <x:c r="D564" s="72" t="n">
        <x:v>321437210</x:v>
      </x:c>
      <x:c r="E564" s="49" t="str">
        <x:v>Electronics and Telecommunication Engg</x:v>
      </x:c>
      <x:c r="F564" s="73" t="n">
        <x:v>4</x:v>
      </x:c>
      <x:c r="G564" s="73" t="n">
        <x:v>1</x:v>
      </x:c>
      <x:c r="H564" s="73"/>
      <x:c r="I564" s="73" t="n">
        <x:v>3</x:v>
      </x:c>
      <x:c r="J564" s="73" t="n">
        <x:v>0</x:v>
      </x:c>
      <x:c r="K564" s="49" t="str">
        <x:v>Un-Aided Religious Minority - Christian</x:v>
      </x:c>
      <x:c r="L564" s="49" t="str">
        <x:v>MS Seats : 1 + Minority Seats : 3</x:v>
      </x:c>
      <x:c r="M564" s="49" t="str">
        <x:v>https://dse2025.mahacet.org.in/dse25/admin/allotment/cap2/3214_4.pdf</x:v>
      </x:c>
    </x:row>
    <x:row r="565">
      <x:c r="A565" s="49" t="str">
        <x:v>2025-26</x:v>
      </x:c>
      <x:c r="B565" s="63" t="n">
        <x:v>3214</x:v>
      </x:c>
      <x:c r="C565" s="49" t="str">
        <x:v>Xavier Institute Of Engineering C/O Xavier Technical Institute,Mahim,Mumbai</x:v>
      </x:c>
      <x:c r="D565" s="72" t="n">
        <x:v>321492010</x:v>
      </x:c>
      <x:c r="E565" s="49" t="str">
        <x:v>Computer Science and Engineering (Internet of Things and Cyber Security Including Block Chain Technology)</x:v>
      </x:c>
      <x:c r="F565" s="73" t="n">
        <x:v>6</x:v>
      </x:c>
      <x:c r="G565" s="73" t="n">
        <x:v>2</x:v>
      </x:c>
      <x:c r="H565" s="73"/>
      <x:c r="I565" s="73" t="n">
        <x:v>4</x:v>
      </x:c>
      <x:c r="J565" s="73" t="n">
        <x:v>0</x:v>
      </x:c>
      <x:c r="K565" s="49" t="str">
        <x:v>Un-Aided Religious Minority - Christian</x:v>
      </x:c>
      <x:c r="L565" s="49" t="str">
        <x:v>MS Seats : 2 + Minority Seats : 4</x:v>
      </x:c>
      <x:c r="M565" s="49" t="str">
        <x:v>https://dse2025.mahacet.org.in/dse25/admin/allotment/cap2/3214_4.pdf</x:v>
      </x:c>
    </x:row>
    <x:row r="566">
      <x:c r="A566" s="49" t="str">
        <x:v>2025-26</x:v>
      </x:c>
      <x:c r="B566" s="63" t="n">
        <x:v>3215</x:v>
      </x:c>
      <x:c r="C566" s="49" t="str">
        <x:v>Bhartiya Vidya Bhavan's Sardar Patel Institute of Technology , Andheri, Mumbai</x:v>
      </x:c>
      <x:c r="D566" s="72" t="n">
        <x:v>321524210</x:v>
      </x:c>
      <x:c r="E566" s="49" t="str">
        <x:v>Computer Science and Engineering</x:v>
      </x:c>
      <x:c r="F566" s="73" t="n">
        <x:v>17</x:v>
      </x:c>
      <x:c r="G566" s="73" t="n">
        <x:v>13</x:v>
      </x:c>
      <x:c r="H566" s="73" t="n">
        <x:v>4</x:v>
      </x:c>
      <x:c r="I566" s="73"/>
      <x:c r="J566" s="73" t="n">
        <x:v>0</x:v>
      </x:c>
      <x:c r="K566" s="49" t="str">
        <x:v>Un-Aided Autonomous</x:v>
      </x:c>
      <x:c r="L566" s="49" t="str">
        <x:v>MS Seats : 13+ EWS : 4</x:v>
      </x:c>
      <x:c r="M566" s="49" t="str">
        <x:v>https://dse2025.mahacet.org.in/dse25/admin/allotment/cap2/3215_4.pdf</x:v>
      </x:c>
    </x:row>
    <x:row r="567">
      <x:c r="A567" s="49" t="str">
        <x:v>2025-26</x:v>
      </x:c>
      <x:c r="B567" s="63" t="n">
        <x:v>3215</x:v>
      </x:c>
      <x:c r="C567" s="49" t="str">
        <x:v>Bhartiya Vidya Bhavan's Sardar Patel Institute of Technology , Andheri, Mumbai</x:v>
      </x:c>
      <x:c r="D567" s="72" t="n">
        <x:v>321524510</x:v>
      </x:c>
      <x:c r="E567" s="49" t="str">
        <x:v>Computer Engineering</x:v>
      </x:c>
      <x:c r="F567" s="73" t="n">
        <x:v>34</x:v>
      </x:c>
      <x:c r="G567" s="73" t="n">
        <x:v>27</x:v>
      </x:c>
      <x:c r="H567" s="73" t="n">
        <x:v>7</x:v>
      </x:c>
      <x:c r="I567" s="73"/>
      <x:c r="J567" s="73" t="n">
        <x:v>0</x:v>
      </x:c>
      <x:c r="K567" s="49" t="str">
        <x:v>Un-Aided Autonomous</x:v>
      </x:c>
      <x:c r="L567" s="49" t="str">
        <x:v>MS Seats : 27+ EWS : 7</x:v>
      </x:c>
      <x:c r="M567" s="49" t="str">
        <x:v>https://dse2025.mahacet.org.in/dse25/admin/allotment/cap2/3215_4.pdf</x:v>
      </x:c>
    </x:row>
    <x:row r="568">
      <x:c r="A568" s="49" t="str">
        <x:v>2025-26</x:v>
      </x:c>
      <x:c r="B568" s="63" t="n">
        <x:v>3215</x:v>
      </x:c>
      <x:c r="C568" s="49" t="str">
        <x:v>Bhartiya Vidya Bhavan's Sardar Patel Institute of Technology , Andheri, Mumbai</x:v>
      </x:c>
      <x:c r="D568" s="72" t="n">
        <x:v>321537210</x:v>
      </x:c>
      <x:c r="E568" s="49" t="str">
        <x:v>Electronics and Telecommunication Engg</x:v>
      </x:c>
      <x:c r="F568" s="73" t="n">
        <x:v>17</x:v>
      </x:c>
      <x:c r="G568" s="73" t="n">
        <x:v>14</x:v>
      </x:c>
      <x:c r="H568" s="73" t="n">
        <x:v>3</x:v>
      </x:c>
      <x:c r="I568" s="73"/>
      <x:c r="J568" s="73" t="n">
        <x:v>0</x:v>
      </x:c>
      <x:c r="K568" s="49" t="str">
        <x:v>Un-Aided Autonomous</x:v>
      </x:c>
      <x:c r="L568" s="49" t="str">
        <x:v>MS Seats : 14+ EWS : 3</x:v>
      </x:c>
      <x:c r="M568" s="49" t="str">
        <x:v>https://dse2025.mahacet.org.in/dse25/admin/allotment/cap2/3215_4.pdf</x:v>
      </x:c>
    </x:row>
    <x:row r="569">
      <x:c r="A569" s="49" t="str">
        <x:v>2025-26</x:v>
      </x:c>
      <x:c r="B569" s="63" t="n">
        <x:v>3216</x:v>
      </x:c>
      <x:c r="C569" s="49" t="str">
        <x:v>Gharda Foundation's Gharda Institute of Technology,Khed, Ratnagiri</x:v>
      </x:c>
      <x:c r="D569" s="72" t="n">
        <x:v>321619110</x:v>
      </x:c>
      <x:c r="E569" s="49" t="str">
        <x:v>Civil Engineering</x:v>
      </x:c>
      <x:c r="F569" s="73" t="n">
        <x:v>57</x:v>
      </x:c>
      <x:c r="G569" s="73" t="n">
        <x:v>50</x:v>
      </x:c>
      <x:c r="H569" s="73" t="n">
        <x:v>7</x:v>
      </x:c>
      <x:c r="I569" s="73"/>
      <x:c r="J569" s="73" t="n">
        <x:v>0</x:v>
      </x:c>
      <x:c r="K569" s="49" t="str">
        <x:v>Un-Aided</x:v>
      </x:c>
      <x:c r="L569" s="49" t="str">
        <x:v>MS Seats : 50+ EWS : 7</x:v>
      </x:c>
      <x:c r="M569" s="49" t="str">
        <x:v>https://dse2025.mahacet.org.in/dse25/admin/allotment/cap2/3216_4.pdf</x:v>
      </x:c>
    </x:row>
    <x:row r="570">
      <x:c r="A570" s="49" t="str">
        <x:v>2025-26</x:v>
      </x:c>
      <x:c r="B570" s="63" t="n">
        <x:v>3216</x:v>
      </x:c>
      <x:c r="C570" s="49" t="str">
        <x:v>Gharda Foundation's Gharda Institute of Technology,Khed, Ratnagiri</x:v>
      </x:c>
      <x:c r="D570" s="72" t="n">
        <x:v>321624510</x:v>
      </x:c>
      <x:c r="E570" s="49" t="str">
        <x:v>Computer Engineering</x:v>
      </x:c>
      <x:c r="F570" s="73" t="n">
        <x:v>10</x:v>
      </x:c>
      <x:c r="G570" s="73" t="n">
        <x:v>8</x:v>
      </x:c>
      <x:c r="H570" s="73" t="n">
        <x:v>2</x:v>
      </x:c>
      <x:c r="I570" s="73"/>
      <x:c r="J570" s="73" t="n">
        <x:v>0</x:v>
      </x:c>
      <x:c r="K570" s="49" t="str">
        <x:v>Un-Aided</x:v>
      </x:c>
      <x:c r="L570" s="49" t="str">
        <x:v>MS Seats : 8+ EWS : 2</x:v>
      </x:c>
      <x:c r="M570" s="49" t="str">
        <x:v>https://dse2025.mahacet.org.in/dse25/admin/allotment/cap2/3216_4.pdf</x:v>
      </x:c>
    </x:row>
    <x:row r="571">
      <x:c r="A571" s="49" t="str">
        <x:v>2025-26</x:v>
      </x:c>
      <x:c r="B571" s="63" t="n">
        <x:v>3216</x:v>
      </x:c>
      <x:c r="C571" s="49" t="str">
        <x:v>Gharda Foundation's Gharda Institute of Technology,Khed, Ratnagiri</x:v>
      </x:c>
      <x:c r="D571" s="72" t="n">
        <x:v>321637210</x:v>
      </x:c>
      <x:c r="E571" s="49" t="str">
        <x:v>Electronics and Telecommunication Engg</x:v>
      </x:c>
      <x:c r="F571" s="73" t="n">
        <x:v>11</x:v>
      </x:c>
      <x:c r="G571" s="73" t="n">
        <x:v>9</x:v>
      </x:c>
      <x:c r="H571" s="73" t="n">
        <x:v>2</x:v>
      </x:c>
      <x:c r="I571" s="73"/>
      <x:c r="J571" s="73" t="n">
        <x:v>0</x:v>
      </x:c>
      <x:c r="K571" s="49" t="str">
        <x:v>Un-Aided</x:v>
      </x:c>
      <x:c r="L571" s="49" t="str">
        <x:v>MS Seats : 9+ EWS : 2</x:v>
      </x:c>
      <x:c r="M571" s="49" t="str">
        <x:v>https://dse2025.mahacet.org.in/dse25/admin/allotment/cap2/3216_4.pdf</x:v>
      </x:c>
    </x:row>
    <x:row r="572">
      <x:c r="A572" s="49" t="str">
        <x:v>2025-26</x:v>
      </x:c>
      <x:c r="B572" s="63" t="n">
        <x:v>3216</x:v>
      </x:c>
      <x:c r="C572" s="49" t="str">
        <x:v>Gharda Foundation's Gharda Institute of Technology,Khed, Ratnagiri</x:v>
      </x:c>
      <x:c r="D572" s="72" t="n">
        <x:v>321650710</x:v>
      </x:c>
      <x:c r="E572" s="49" t="str">
        <x:v>Chemical Engineering</x:v>
      </x:c>
      <x:c r="F572" s="73" t="n">
        <x:v>19</x:v>
      </x:c>
      <x:c r="G572" s="73" t="n">
        <x:v>15</x:v>
      </x:c>
      <x:c r="H572" s="73" t="n">
        <x:v>4</x:v>
      </x:c>
      <x:c r="I572" s="73"/>
      <x:c r="J572" s="73" t="n">
        <x:v>0</x:v>
      </x:c>
      <x:c r="K572" s="49" t="str">
        <x:v>Un-Aided</x:v>
      </x:c>
      <x:c r="L572" s="49" t="str">
        <x:v>MS Seats : 15+ EWS : 4</x:v>
      </x:c>
      <x:c r="M572" s="49" t="str">
        <x:v>https://dse2025.mahacet.org.in/dse25/admin/allotment/cap2/3216_4.pdf</x:v>
      </x:c>
    </x:row>
    <x:row r="573">
      <x:c r="A573" s="49" t="str">
        <x:v>2025-26</x:v>
      </x:c>
      <x:c r="B573" s="63" t="n">
        <x:v>3216</x:v>
      </x:c>
      <x:c r="C573" s="49" t="str">
        <x:v>Gharda Foundation's Gharda Institute of Technology,Khed, Ratnagiri</x:v>
      </x:c>
      <x:c r="D573" s="72" t="n">
        <x:v>321661210</x:v>
      </x:c>
      <x:c r="E573" s="49" t="str">
        <x:v>Mechanical Engineering</x:v>
      </x:c>
      <x:c r="F573" s="73" t="n">
        <x:v>12</x:v>
      </x:c>
      <x:c r="G573" s="73" t="n">
        <x:v>12</x:v>
      </x:c>
      <x:c r="H573" s="73" t="n">
        <x:v>0</x:v>
      </x:c>
      <x:c r="I573" s="73"/>
      <x:c r="J573" s="73" t="n">
        <x:v>0</x:v>
      </x:c>
      <x:c r="K573" s="49" t="str">
        <x:v>Un-Aided</x:v>
      </x:c>
      <x:c r="L573" s="49" t="str">
        <x:v>MS Seats : 12+ EWS : 0</x:v>
      </x:c>
      <x:c r="M573" s="49" t="str">
        <x:v>https://dse2025.mahacet.org.in/dse25/admin/allotment/cap2/3216_4.pdf</x:v>
      </x:c>
    </x:row>
    <x:row r="574">
      <x:c r="A574" s="49" t="str">
        <x:v>2025-26</x:v>
      </x:c>
      <x:c r="B574" s="63" t="n">
        <x:v>3216</x:v>
      </x:c>
      <x:c r="C574" s="49" t="str">
        <x:v>Gharda Foundation's Gharda Institute of Technology,Khed, Ratnagiri</x:v>
      </x:c>
      <x:c r="D574" s="72" t="n">
        <x:v>321691110</x:v>
      </x:c>
      <x:c r="E574" s="49" t="str">
        <x:v>Computer Science and Engineering(Artificial Intelligence and Machine Learning)</x:v>
      </x:c>
      <x:c r="F574" s="73" t="n">
        <x:v>10</x:v>
      </x:c>
      <x:c r="G574" s="73" t="n">
        <x:v>8</x:v>
      </x:c>
      <x:c r="H574" s="73" t="n">
        <x:v>2</x:v>
      </x:c>
      <x:c r="I574" s="73"/>
      <x:c r="J574" s="73" t="n">
        <x:v>0</x:v>
      </x:c>
      <x:c r="K574" s="49" t="str">
        <x:v>Un-Aided</x:v>
      </x:c>
      <x:c r="L574" s="49" t="str">
        <x:v>MS Seats : 8+ EWS : 2</x:v>
      </x:c>
      <x:c r="M574" s="49" t="str">
        <x:v>https://dse2025.mahacet.org.in/dse25/admin/allotment/cap2/3216_4.pdf</x:v>
      </x:c>
    </x:row>
    <x:row r="575">
      <x:c r="A575" s="49" t="str">
        <x:v>2025-26</x:v>
      </x:c>
      <x:c r="B575" s="63" t="n">
        <x:v>3217</x:v>
      </x:c>
      <x:c r="C575" s="49" t="str">
        <x:v>Vighnaharata Trust's Shivajirao S. Jondhale College of Engineering &amp; Technology, Shahapur, Asangaon, Dist Thane</x:v>
      </x:c>
      <x:c r="D575" s="72" t="n">
        <x:v>321719110</x:v>
      </x:c>
      <x:c r="E575" s="49" t="str">
        <x:v>Civil Engineering</x:v>
      </x:c>
      <x:c r="F575" s="73" t="n">
        <x:v>51</x:v>
      </x:c>
      <x:c r="G575" s="73" t="n">
        <x:v>45</x:v>
      </x:c>
      <x:c r="H575" s="73" t="n">
        <x:v>6</x:v>
      </x:c>
      <x:c r="I575" s="73"/>
      <x:c r="J575" s="73" t="n">
        <x:v>0</x:v>
      </x:c>
      <x:c r="K575" s="49" t="str">
        <x:v>Un-Aided</x:v>
      </x:c>
      <x:c r="L575" s="49" t="str">
        <x:v>MS Seats : 45+ EWS : 6</x:v>
      </x:c>
      <x:c r="M575" s="49" t="str">
        <x:v>https://dse2025.mahacet.org.in/dse25/admin/allotment/cap2/3217_4.pdf</x:v>
      </x:c>
    </x:row>
    <x:row r="576">
      <x:c r="A576" s="49" t="str">
        <x:v>2025-26</x:v>
      </x:c>
      <x:c r="B576" s="63" t="n">
        <x:v>3217</x:v>
      </x:c>
      <x:c r="C576" s="49" t="str">
        <x:v>Vighnaharata Trust's Shivajirao S. Jondhale College of Engineering &amp; Technology, Shahapur, Asangaon, Dist Thane</x:v>
      </x:c>
      <x:c r="D576" s="72" t="n">
        <x:v>321724510</x:v>
      </x:c>
      <x:c r="E576" s="49" t="str">
        <x:v>Computer Engineering</x:v>
      </x:c>
      <x:c r="F576" s="73" t="n">
        <x:v>12</x:v>
      </x:c>
      <x:c r="G576" s="73" t="n">
        <x:v>7</x:v>
      </x:c>
      <x:c r="H576" s="73" t="n">
        <x:v>5</x:v>
      </x:c>
      <x:c r="I576" s="73"/>
      <x:c r="J576" s="73" t="n">
        <x:v>0</x:v>
      </x:c>
      <x:c r="K576" s="49" t="str">
        <x:v>Un-Aided</x:v>
      </x:c>
      <x:c r="L576" s="49" t="str">
        <x:v>MS Seats : 7+ EWS : 5</x:v>
      </x:c>
      <x:c r="M576" s="49" t="str">
        <x:v>https://dse2025.mahacet.org.in/dse25/admin/allotment/cap2/3217_4.pdf</x:v>
      </x:c>
    </x:row>
    <x:row r="577">
      <x:c r="A577" s="49" t="str">
        <x:v>2025-26</x:v>
      </x:c>
      <x:c r="B577" s="63" t="n">
        <x:v>3217</x:v>
      </x:c>
      <x:c r="C577" s="49" t="str">
        <x:v>Vighnaharata Trust's Shivajirao S. Jondhale College of Engineering &amp; Technology, Shahapur, Asangaon, Dist Thane</x:v>
      </x:c>
      <x:c r="D577" s="72" t="n">
        <x:v>321737210</x:v>
      </x:c>
      <x:c r="E577" s="49" t="str">
        <x:v>Electronics and Telecommunication Engg</x:v>
      </x:c>
      <x:c r="F577" s="73" t="n">
        <x:v>29</x:v>
      </x:c>
      <x:c r="G577" s="73" t="n">
        <x:v>22</x:v>
      </x:c>
      <x:c r="H577" s="73" t="n">
        <x:v>7</x:v>
      </x:c>
      <x:c r="I577" s="73"/>
      <x:c r="J577" s="73" t="n">
        <x:v>0</x:v>
      </x:c>
      <x:c r="K577" s="49" t="str">
        <x:v>Un-Aided</x:v>
      </x:c>
      <x:c r="L577" s="49" t="str">
        <x:v>MS Seats : 22+ EWS : 7</x:v>
      </x:c>
      <x:c r="M577" s="49" t="str">
        <x:v>https://dse2025.mahacet.org.in/dse25/admin/allotment/cap2/3217_4.pdf</x:v>
      </x:c>
    </x:row>
    <x:row r="578">
      <x:c r="A578" s="49" t="str">
        <x:v>2025-26</x:v>
      </x:c>
      <x:c r="B578" s="63" t="n">
        <x:v>3217</x:v>
      </x:c>
      <x:c r="C578" s="49" t="str">
        <x:v>Vighnaharata Trust's Shivajirao S. Jondhale College of Engineering &amp; Technology, Shahapur, Asangaon, Dist Thane</x:v>
      </x:c>
      <x:c r="D578" s="72" t="n">
        <x:v>321761210</x:v>
      </x:c>
      <x:c r="E578" s="49" t="str">
        <x:v>Mechanical Engineering</x:v>
      </x:c>
      <x:c r="F578" s="73" t="n">
        <x:v>62</x:v>
      </x:c>
      <x:c r="G578" s="73" t="n">
        <x:v>55</x:v>
      </x:c>
      <x:c r="H578" s="73" t="n">
        <x:v>7</x:v>
      </x:c>
      <x:c r="I578" s="73"/>
      <x:c r="J578" s="73" t="n">
        <x:v>0</x:v>
      </x:c>
      <x:c r="K578" s="49" t="str">
        <x:v>Un-Aided</x:v>
      </x:c>
      <x:c r="L578" s="49" t="str">
        <x:v>MS Seats : 55+ EWS : 7</x:v>
      </x:c>
      <x:c r="M578" s="49" t="str">
        <x:v>https://dse2025.mahacet.org.in/dse25/admin/allotment/cap2/3217_4.pdf</x:v>
      </x:c>
    </x:row>
    <x:row r="579">
      <x:c r="A579" s="49" t="str">
        <x:v>2025-26</x:v>
      </x:c>
      <x:c r="B579" s="63" t="n">
        <x:v>3217</x:v>
      </x:c>
      <x:c r="C579" s="49" t="str">
        <x:v>Vighnaharata Trust's Shivajirao S. Jondhale College of Engineering &amp; Technology, Shahapur, Asangaon, Dist Thane</x:v>
      </x:c>
      <x:c r="D579" s="72" t="n">
        <x:v>321791610</x:v>
      </x:c>
      <x:c r="E579" s="49" t="str">
        <x:v>Automation and Robotics</x:v>
      </x:c>
      <x:c r="F579" s="73" t="n">
        <x:v>56</x:v>
      </x:c>
      <x:c r="G579" s="73" t="n">
        <x:v>49</x:v>
      </x:c>
      <x:c r="H579" s="73" t="n">
        <x:v>7</x:v>
      </x:c>
      <x:c r="I579" s="73"/>
      <x:c r="J579" s="73" t="n">
        <x:v>0</x:v>
      </x:c>
      <x:c r="K579" s="49" t="str">
        <x:v>Un-Aided</x:v>
      </x:c>
      <x:c r="L579" s="49" t="str">
        <x:v>MS Seats : 49+ EWS : 7</x:v>
      </x:c>
      <x:c r="M579" s="49" t="str">
        <x:v>https://dse2025.mahacet.org.in/dse25/admin/allotment/cap2/3217_4.pdf</x:v>
      </x:c>
    </x:row>
    <x:row r="580">
      <x:c r="A580" s="49" t="str">
        <x:v>2025-26</x:v>
      </x:c>
      <x:c r="B580" s="63" t="n">
        <x:v>3218</x:v>
      </x:c>
      <x:c r="C580" s="49" t="str">
        <x:v>Aldel Education Trust's St. John College of Engineering &amp; Management, Vevoor, Palghar</x:v>
      </x:c>
      <x:c r="D580" s="72" t="n">
        <x:v>321819110</x:v>
      </x:c>
      <x:c r="E580" s="49" t="str">
        <x:v>Civil Engineering</x:v>
      </x:c>
      <x:c r="F580" s="73" t="n">
        <x:v>19</x:v>
      </x:c>
      <x:c r="G580" s="73" t="n">
        <x:v>9</x:v>
      </x:c>
      <x:c r="H580" s="73"/>
      <x:c r="I580" s="73" t="n">
        <x:v>10</x:v>
      </x:c>
      <x:c r="J580" s="73" t="n">
        <x:v>0</x:v>
      </x:c>
      <x:c r="K580" s="49" t="str">
        <x:v>Un-Aided Autonomous Religious Minority - Christian</x:v>
      </x:c>
      <x:c r="L580" s="49" t="str">
        <x:v>MS Seats : 9 + Minority Seats : 10</x:v>
      </x:c>
      <x:c r="M580" s="49" t="str">
        <x:v>https://dse2025.mahacet.org.in/dse25/admin/allotment/cap2/3218_4.pdf</x:v>
      </x:c>
    </x:row>
    <x:row r="581">
      <x:c r="A581" s="49" t="str">
        <x:v>2025-26</x:v>
      </x:c>
      <x:c r="B581" s="63" t="n">
        <x:v>3218</x:v>
      </x:c>
      <x:c r="C581" s="49" t="str">
        <x:v>Aldel Education Trust's St. John College of Engineering &amp; Management, Vevoor, Palghar</x:v>
      </x:c>
      <x:c r="D581" s="72" t="n">
        <x:v>321824510</x:v>
      </x:c>
      <x:c r="E581" s="49" t="str">
        <x:v>Computer Engineering</x:v>
      </x:c>
      <x:c r="F581" s="73" t="n">
        <x:v>14</x:v>
      </x:c>
      <x:c r="G581" s="73" t="n">
        <x:v>7</x:v>
      </x:c>
      <x:c r="H581" s="73"/>
      <x:c r="I581" s="73" t="n">
        <x:v>7</x:v>
      </x:c>
      <x:c r="J581" s="73" t="n">
        <x:v>0</x:v>
      </x:c>
      <x:c r="K581" s="49" t="str">
        <x:v>Un-Aided Autonomous Religious Minority - Christian</x:v>
      </x:c>
      <x:c r="L581" s="49" t="str">
        <x:v>MS Seats : 7 + Minority Seats : 7</x:v>
      </x:c>
      <x:c r="M581" s="49" t="str">
        <x:v>https://dse2025.mahacet.org.in/dse25/admin/allotment/cap2/3218_4.pdf</x:v>
      </x:c>
    </x:row>
    <x:row r="582">
      <x:c r="A582" s="49" t="str">
        <x:v>2025-26</x:v>
      </x:c>
      <x:c r="B582" s="63" t="n">
        <x:v>3218</x:v>
      </x:c>
      <x:c r="C582" s="49" t="str">
        <x:v>Aldel Education Trust's St. John College of Engineering &amp; Management, Vevoor, Palghar</x:v>
      </x:c>
      <x:c r="D582" s="72" t="n">
        <x:v>321824610</x:v>
      </x:c>
      <x:c r="E582" s="49" t="str">
        <x:v>Information Technology</x:v>
      </x:c>
      <x:c r="F582" s="73" t="n">
        <x:v>7</x:v>
      </x:c>
      <x:c r="G582" s="73" t="n">
        <x:v>3</x:v>
      </x:c>
      <x:c r="H582" s="73"/>
      <x:c r="I582" s="73" t="n">
        <x:v>4</x:v>
      </x:c>
      <x:c r="J582" s="73" t="n">
        <x:v>0</x:v>
      </x:c>
      <x:c r="K582" s="49" t="str">
        <x:v>Un-Aided Autonomous Religious Minority - Christian</x:v>
      </x:c>
      <x:c r="L582" s="49" t="str">
        <x:v>MS Seats : 3 + Minority Seats : 4</x:v>
      </x:c>
      <x:c r="M582" s="49" t="str">
        <x:v>https://dse2025.mahacet.org.in/dse25/admin/allotment/cap2/3218_4.pdf</x:v>
      </x:c>
    </x:row>
    <x:row r="583">
      <x:c r="A583" s="49" t="str">
        <x:v>2025-26</x:v>
      </x:c>
      <x:c r="B583" s="63" t="n">
        <x:v>3218</x:v>
      </x:c>
      <x:c r="C583" s="49" t="str">
        <x:v>Aldel Education Trust's St. John College of Engineering &amp; Management, Vevoor, Palghar</x:v>
      </x:c>
      <x:c r="D583" s="72" t="n">
        <x:v>321861210</x:v>
      </x:c>
      <x:c r="E583" s="49" t="str">
        <x:v>Mechanical Engineering</x:v>
      </x:c>
      <x:c r="F583" s="73" t="n">
        <x:v>8</x:v>
      </x:c>
      <x:c r="G583" s="73" t="n">
        <x:v>3</x:v>
      </x:c>
      <x:c r="H583" s="73"/>
      <x:c r="I583" s="73" t="n">
        <x:v>5</x:v>
      </x:c>
      <x:c r="J583" s="73" t="n">
        <x:v>0</x:v>
      </x:c>
      <x:c r="K583" s="49" t="str">
        <x:v>Un-Aided Autonomous Religious Minority - Christian</x:v>
      </x:c>
      <x:c r="L583" s="49" t="str">
        <x:v>MS Seats : 3 + Minority Seats : 5</x:v>
      </x:c>
      <x:c r="M583" s="49" t="str">
        <x:v>https://dse2025.mahacet.org.in/dse25/admin/allotment/cap2/3218_4.pdf</x:v>
      </x:c>
    </x:row>
    <x:row r="584">
      <x:c r="A584" s="49" t="str">
        <x:v>2025-26</x:v>
      </x:c>
      <x:c r="B584" s="63" t="n">
        <x:v>3218</x:v>
      </x:c>
      <x:c r="C584" s="49" t="str">
        <x:v>Aldel Education Trust's St. John College of Engineering &amp; Management, Vevoor, Palghar</x:v>
      </x:c>
      <x:c r="D584" s="72" t="n">
        <x:v>321890010</x:v>
      </x:c>
      <x:c r="E584" s="49" t="str">
        <x:v>Electronics and Computer Science</x:v>
      </x:c>
      <x:c r="F584" s="73" t="n">
        <x:v>10</x:v>
      </x:c>
      <x:c r="G584" s="73" t="n">
        <x:v>4</x:v>
      </x:c>
      <x:c r="H584" s="73"/>
      <x:c r="I584" s="73" t="n">
        <x:v>6</x:v>
      </x:c>
      <x:c r="J584" s="73" t="n">
        <x:v>0</x:v>
      </x:c>
      <x:c r="K584" s="49" t="str">
        <x:v>Un-Aided Autonomous Religious Minority - Christian</x:v>
      </x:c>
      <x:c r="L584" s="49" t="str">
        <x:v>MS Seats : 4 + Minority Seats : 6</x:v>
      </x:c>
      <x:c r="M584" s="49" t="str">
        <x:v>https://dse2025.mahacet.org.in/dse25/admin/allotment/cap2/3218_4.pdf</x:v>
      </x:c>
    </x:row>
    <x:row r="585">
      <x:c r="A585" s="49" t="str">
        <x:v>2025-26</x:v>
      </x:c>
      <x:c r="B585" s="63" t="n">
        <x:v>3218</x:v>
      </x:c>
      <x:c r="C585" s="49" t="str">
        <x:v>Aldel Education Trust's St. John College of Engineering &amp; Management, Vevoor, Palghar</x:v>
      </x:c>
      <x:c r="D585" s="72" t="n">
        <x:v>321891210</x:v>
      </x:c>
      <x:c r="E585" s="49" t="str">
        <x:v>Computer Science and Engineering(Data Science)</x:v>
      </x:c>
      <x:c r="F585" s="73" t="n">
        <x:v>6</x:v>
      </x:c>
      <x:c r="G585" s="73" t="n">
        <x:v>2</x:v>
      </x:c>
      <x:c r="H585" s="73"/>
      <x:c r="I585" s="73" t="n">
        <x:v>4</x:v>
      </x:c>
      <x:c r="J585" s="73" t="n">
        <x:v>0</x:v>
      </x:c>
      <x:c r="K585" s="49" t="str">
        <x:v>Un-Aided Autonomous Religious Minority - Christian</x:v>
      </x:c>
      <x:c r="L585" s="49" t="str">
        <x:v>MS Seats : 2 + Minority Seats : 4</x:v>
      </x:c>
      <x:c r="M585" s="49" t="str">
        <x:v>https://dse2025.mahacet.org.in/dse25/admin/allotment/cap2/3218_4.pdf</x:v>
      </x:c>
    </x:row>
    <x:row r="586">
      <x:c r="A586" s="49" t="str">
        <x:v>2025-26</x:v>
      </x:c>
      <x:c r="B586" s="63" t="n">
        <x:v>3218</x:v>
      </x:c>
      <x:c r="C586" s="49" t="str">
        <x:v>Aldel Education Trust's St. John College of Engineering &amp; Management, Vevoor, Palghar</x:v>
      </x:c>
      <x:c r="D586" s="72" t="n">
        <x:v>321892110</x:v>
      </x:c>
      <x:c r="E586" s="49" t="str">
        <x:v>Artificial Intelligence and Machine Learning</x:v>
      </x:c>
      <x:c r="F586" s="73" t="n">
        <x:v>6</x:v>
      </x:c>
      <x:c r="G586" s="73" t="n">
        <x:v>2</x:v>
      </x:c>
      <x:c r="H586" s="73"/>
      <x:c r="I586" s="73" t="n">
        <x:v>4</x:v>
      </x:c>
      <x:c r="J586" s="73" t="n">
        <x:v>0</x:v>
      </x:c>
      <x:c r="K586" s="49" t="str">
        <x:v>Un-Aided Autonomous Religious Minority - Christian</x:v>
      </x:c>
      <x:c r="L586" s="49" t="str">
        <x:v>MS Seats : 2 + Minority Seats : 4</x:v>
      </x:c>
      <x:c r="M586" s="49" t="str">
        <x:v>https://dse2025.mahacet.org.in/dse25/admin/allotment/cap2/3218_4.pdf</x:v>
      </x:c>
    </x:row>
    <x:row r="587">
      <x:c r="A587" s="49" t="str">
        <x:v>2025-26</x:v>
      </x:c>
      <x:c r="B587" s="63" t="n">
        <x:v>3219</x:v>
      </x:c>
      <x:c r="C587" s="49" t="str">
        <x:v>Koti Vidya Charitable Trust's Smt. Alamuri Ratnamala Institute of Engineering and Technology, Sapgaon, Tal. Shahapur</x:v>
      </x:c>
      <x:c r="D587" s="72" t="n">
        <x:v>321919110</x:v>
      </x:c>
      <x:c r="E587" s="49" t="str">
        <x:v>Civil Engineering</x:v>
      </x:c>
      <x:c r="F587" s="73" t="n">
        <x:v>64</x:v>
      </x:c>
      <x:c r="G587" s="73" t="n">
        <x:v>31</x:v>
      </x:c>
      <x:c r="H587" s="73"/>
      <x:c r="I587" s="73" t="n">
        <x:v>33</x:v>
      </x:c>
      <x:c r="J587" s="73" t="n">
        <x:v>0</x:v>
      </x:c>
      <x:c r="K587" s="49" t="str">
        <x:v>Un-Aided Linguistic Minority - Hindi</x:v>
      </x:c>
      <x:c r="L587" s="49" t="str">
        <x:v>MS Seats : 31 + Minority Seats : 33</x:v>
      </x:c>
      <x:c r="M587" s="49" t="str">
        <x:v>https://dse2025.mahacet.org.in/dse25/admin/allotment/cap2/3219_4.pdf</x:v>
      </x:c>
    </x:row>
    <x:row r="588">
      <x:c r="A588" s="49" t="str">
        <x:v>2025-26</x:v>
      </x:c>
      <x:c r="B588" s="63" t="n">
        <x:v>3219</x:v>
      </x:c>
      <x:c r="C588" s="49" t="str">
        <x:v>Koti Vidya Charitable Trust's Smt. Alamuri Ratnamala Institute of Engineering and Technology, Sapgaon, Tal. Shahapur</x:v>
      </x:c>
      <x:c r="D588" s="72" t="n">
        <x:v>321924510</x:v>
      </x:c>
      <x:c r="E588" s="49" t="str">
        <x:v>Computer Engineering</x:v>
      </x:c>
      <x:c r="F588" s="73" t="n">
        <x:v>27</x:v>
      </x:c>
      <x:c r="G588" s="73" t="n">
        <x:v>13</x:v>
      </x:c>
      <x:c r="H588" s="73"/>
      <x:c r="I588" s="73" t="n">
        <x:v>14</x:v>
      </x:c>
      <x:c r="J588" s="73" t="n">
        <x:v>0</x:v>
      </x:c>
      <x:c r="K588" s="49" t="str">
        <x:v>Un-Aided Linguistic Minority - Hindi</x:v>
      </x:c>
      <x:c r="L588" s="49" t="str">
        <x:v>MS Seats : 13 + Minority Seats : 14</x:v>
      </x:c>
      <x:c r="M588" s="49" t="str">
        <x:v>https://dse2025.mahacet.org.in/dse25/admin/allotment/cap2/3219_4.pdf</x:v>
      </x:c>
    </x:row>
    <x:row r="589">
      <x:c r="A589" s="49" t="str">
        <x:v>2025-26</x:v>
      </x:c>
      <x:c r="B589" s="63" t="n">
        <x:v>3219</x:v>
      </x:c>
      <x:c r="C589" s="49" t="str">
        <x:v>Koti Vidya Charitable Trust's Smt. Alamuri Ratnamala Institute of Engineering and Technology, Sapgaon, Tal. Shahapur</x:v>
      </x:c>
      <x:c r="D589" s="72" t="n">
        <x:v>321924610</x:v>
      </x:c>
      <x:c r="E589" s="49" t="str">
        <x:v>Information Technology</x:v>
      </x:c>
      <x:c r="F589" s="73" t="n">
        <x:v>8</x:v>
      </x:c>
      <x:c r="G589" s="73" t="n">
        <x:v>3</x:v>
      </x:c>
      <x:c r="H589" s="73"/>
      <x:c r="I589" s="73" t="n">
        <x:v>5</x:v>
      </x:c>
      <x:c r="J589" s="73" t="n">
        <x:v>0</x:v>
      </x:c>
      <x:c r="K589" s="49" t="str">
        <x:v>Un-Aided Linguistic Minority - Hindi</x:v>
      </x:c>
      <x:c r="L589" s="49" t="str">
        <x:v>MS Seats : 3 + Minority Seats : 5</x:v>
      </x:c>
      <x:c r="M589" s="49" t="str">
        <x:v>https://dse2025.mahacet.org.in/dse25/admin/allotment/cap2/3219_4.pdf</x:v>
      </x:c>
    </x:row>
    <x:row r="590">
      <x:c r="A590" s="49" t="str">
        <x:v>2025-26</x:v>
      </x:c>
      <x:c r="B590" s="63" t="n">
        <x:v>3219</x:v>
      </x:c>
      <x:c r="C590" s="49" t="str">
        <x:v>Koti Vidya Charitable Trust's Smt. Alamuri Ratnamala Institute of Engineering and Technology, Sapgaon, Tal. Shahapur</x:v>
      </x:c>
      <x:c r="D590" s="72" t="n">
        <x:v>321929310</x:v>
      </x:c>
      <x:c r="E590" s="49" t="str">
        <x:v>Electrical Engineering</x:v>
      </x:c>
      <x:c r="F590" s="73" t="n">
        <x:v>62</x:v>
      </x:c>
      <x:c r="G590" s="73" t="n">
        <x:v>30</x:v>
      </x:c>
      <x:c r="H590" s="73"/>
      <x:c r="I590" s="73" t="n">
        <x:v>32</x:v>
      </x:c>
      <x:c r="J590" s="73" t="n">
        <x:v>0</x:v>
      </x:c>
      <x:c r="K590" s="49" t="str">
        <x:v>Un-Aided Linguistic Minority - Hindi</x:v>
      </x:c>
      <x:c r="L590" s="49" t="str">
        <x:v>MS Seats : 30 + Minority Seats : 32</x:v>
      </x:c>
      <x:c r="M590" s="49" t="str">
        <x:v>https://dse2025.mahacet.org.in/dse25/admin/allotment/cap2/3219_4.pdf</x:v>
      </x:c>
    </x:row>
    <x:row r="591">
      <x:c r="A591" s="49" t="str">
        <x:v>2025-26</x:v>
      </x:c>
      <x:c r="B591" s="63" t="n">
        <x:v>3219</x:v>
      </x:c>
      <x:c r="C591" s="49" t="str">
        <x:v>Koti Vidya Charitable Trust's Smt. Alamuri Ratnamala Institute of Engineering and Technology, Sapgaon, Tal. Shahapur</x:v>
      </x:c>
      <x:c r="D591" s="72" t="n">
        <x:v>321937210</x:v>
      </x:c>
      <x:c r="E591" s="49" t="str">
        <x:v>Electronics and Telecommunication Engg</x:v>
      </x:c>
      <x:c r="F591" s="73" t="n">
        <x:v>20</x:v>
      </x:c>
      <x:c r="G591" s="73" t="n">
        <x:v>9</x:v>
      </x:c>
      <x:c r="H591" s="73"/>
      <x:c r="I591" s="73" t="n">
        <x:v>11</x:v>
      </x:c>
      <x:c r="J591" s="73" t="n">
        <x:v>0</x:v>
      </x:c>
      <x:c r="K591" s="49" t="str">
        <x:v>Un-Aided Linguistic Minority - Hindi</x:v>
      </x:c>
      <x:c r="L591" s="49" t="str">
        <x:v>MS Seats : 9 + Minority Seats : 11</x:v>
      </x:c>
      <x:c r="M591" s="49" t="str">
        <x:v>https://dse2025.mahacet.org.in/dse25/admin/allotment/cap2/3219_4.pdf</x:v>
      </x:c>
    </x:row>
    <x:row r="592">
      <x:c r="A592" s="49" t="str">
        <x:v>2025-26</x:v>
      </x:c>
      <x:c r="B592" s="63" t="n">
        <x:v>3219</x:v>
      </x:c>
      <x:c r="C592" s="49" t="str">
        <x:v>Koti Vidya Charitable Trust's Smt. Alamuri Ratnamala Institute of Engineering and Technology, Sapgaon, Tal. Shahapur</x:v>
      </x:c>
      <x:c r="D592" s="72" t="n">
        <x:v>321961210</x:v>
      </x:c>
      <x:c r="E592" s="49" t="str">
        <x:v>Mechanical Engineering</x:v>
      </x:c>
      <x:c r="F592" s="73" t="n">
        <x:v>64</x:v>
      </x:c>
      <x:c r="G592" s="73" t="n">
        <x:v>31</x:v>
      </x:c>
      <x:c r="H592" s="73"/>
      <x:c r="I592" s="73" t="n">
        <x:v>33</x:v>
      </x:c>
      <x:c r="J592" s="73" t="n">
        <x:v>0</x:v>
      </x:c>
      <x:c r="K592" s="49" t="str">
        <x:v>Un-Aided Linguistic Minority - Hindi</x:v>
      </x:c>
      <x:c r="L592" s="49" t="str">
        <x:v>MS Seats : 31 + Minority Seats : 33</x:v>
      </x:c>
      <x:c r="M592" s="49" t="str">
        <x:v>https://dse2025.mahacet.org.in/dse25/admin/allotment/cap2/3219_4.pdf</x:v>
      </x:c>
    </x:row>
    <x:row r="593">
      <x:c r="A593" s="49" t="str">
        <x:v>2025-26</x:v>
      </x:c>
      <x:c r="B593" s="63" t="n">
        <x:v>3219</x:v>
      </x:c>
      <x:c r="C593" s="49" t="str">
        <x:v>Koti Vidya Charitable Trust's Smt. Alamuri Ratnamala Institute of Engineering and Technology, Sapgaon, Tal. Shahapur</x:v>
      </x:c>
      <x:c r="D593" s="72" t="n">
        <x:v>321991110</x:v>
      </x:c>
      <x:c r="E593" s="49" t="str">
        <x:v>Computer Science and Engineering(Artificial Intelligence and Machine Learning)</x:v>
      </x:c>
      <x:c r="F593" s="73" t="n">
        <x:v>9</x:v>
      </x:c>
      <x:c r="G593" s="73" t="n">
        <x:v>4</x:v>
      </x:c>
      <x:c r="H593" s="73"/>
      <x:c r="I593" s="73" t="n">
        <x:v>5</x:v>
      </x:c>
      <x:c r="J593" s="73" t="n">
        <x:v>0</x:v>
      </x:c>
      <x:c r="K593" s="49" t="str">
        <x:v>Un-Aided Linguistic Minority - Hindi</x:v>
      </x:c>
      <x:c r="L593" s="49" t="str">
        <x:v>MS Seats : 4 + Minority Seats : 5</x:v>
      </x:c>
      <x:c r="M593" s="49" t="str">
        <x:v>https://dse2025.mahacet.org.in/dse25/admin/allotment/cap2/3219_4.pdf</x:v>
      </x:c>
    </x:row>
    <x:row r="594">
      <x:c r="A594" s="49" t="str">
        <x:v>2025-26</x:v>
      </x:c>
      <x:c r="B594" s="63" t="n">
        <x:v>3220</x:v>
      </x:c>
      <x:c r="C594" s="49" t="str">
        <x:v>Yadavrao Tasgaonkar College of Engineering &amp; Management</x:v>
      </x:c>
      <x:c r="D594" s="72" t="n">
        <x:v>322019110</x:v>
      </x:c>
      <x:c r="E594" s="49" t="str">
        <x:v>Civil Engineering</x:v>
      </x:c>
      <x:c r="F594" s="73" t="n">
        <x:v>73</x:v>
      </x:c>
      <x:c r="G594" s="73" t="n">
        <x:v>66</x:v>
      </x:c>
      <x:c r="H594" s="73" t="n">
        <x:v>7</x:v>
      </x:c>
      <x:c r="I594" s="73"/>
      <x:c r="J594" s="73" t="n">
        <x:v>0</x:v>
      </x:c>
      <x:c r="K594" s="49" t="str">
        <x:v>Un-Aided</x:v>
      </x:c>
      <x:c r="L594" s="49" t="str">
        <x:v>MS Seats : 66+ EWS : 7</x:v>
      </x:c>
      <x:c r="M594" s="49" t="str">
        <x:v>https://dse2025.mahacet.org.in/dse25/admin/allotment/cap2/3220_4.pdf</x:v>
      </x:c>
    </x:row>
    <x:row r="595">
      <x:c r="A595" s="49" t="str">
        <x:v>2025-26</x:v>
      </x:c>
      <x:c r="B595" s="63" t="n">
        <x:v>3220</x:v>
      </x:c>
      <x:c r="C595" s="49" t="str">
        <x:v>Yadavrao Tasgaonkar College of Engineering &amp; Management</x:v>
      </x:c>
      <x:c r="D595" s="72" t="n">
        <x:v>322024510</x:v>
      </x:c>
      <x:c r="E595" s="49" t="str">
        <x:v>Computer Engineering</x:v>
      </x:c>
      <x:c r="F595" s="73" t="n">
        <x:v>26</x:v>
      </x:c>
      <x:c r="G595" s="73" t="n">
        <x:v>21</x:v>
      </x:c>
      <x:c r="H595" s="73" t="n">
        <x:v>5</x:v>
      </x:c>
      <x:c r="I595" s="73"/>
      <x:c r="J595" s="73" t="n">
        <x:v>0</x:v>
      </x:c>
      <x:c r="K595" s="49" t="str">
        <x:v>Un-Aided</x:v>
      </x:c>
      <x:c r="L595" s="49" t="str">
        <x:v>MS Seats : 21+ EWS : 5</x:v>
      </x:c>
      <x:c r="M595" s="49" t="str">
        <x:v>https://dse2025.mahacet.org.in/dse25/admin/allotment/cap2/3220_4.pdf</x:v>
      </x:c>
    </x:row>
    <x:row r="596">
      <x:c r="A596" s="49" t="str">
        <x:v>2025-26</x:v>
      </x:c>
      <x:c r="B596" s="63" t="n">
        <x:v>3220</x:v>
      </x:c>
      <x:c r="C596" s="49" t="str">
        <x:v>Yadavrao Tasgaonkar College of Engineering &amp; Management</x:v>
      </x:c>
      <x:c r="D596" s="72" t="n">
        <x:v>322024610</x:v>
      </x:c>
      <x:c r="E596" s="49" t="str">
        <x:v>Information Technology</x:v>
      </x:c>
      <x:c r="F596" s="73" t="n">
        <x:v>38</x:v>
      </x:c>
      <x:c r="G596" s="73" t="n">
        <x:v>33</x:v>
      </x:c>
      <x:c r="H596" s="73" t="n">
        <x:v>5</x:v>
      </x:c>
      <x:c r="I596" s="73"/>
      <x:c r="J596" s="73" t="n">
        <x:v>0</x:v>
      </x:c>
      <x:c r="K596" s="49" t="str">
        <x:v>Un-Aided</x:v>
      </x:c>
      <x:c r="L596" s="49" t="str">
        <x:v>MS Seats : 33+ EWS : 5</x:v>
      </x:c>
      <x:c r="M596" s="49" t="str">
        <x:v>https://dse2025.mahacet.org.in/dse25/admin/allotment/cap2/3220_4.pdf</x:v>
      </x:c>
    </x:row>
    <x:row r="597">
      <x:c r="A597" s="49" t="str">
        <x:v>2025-26</x:v>
      </x:c>
      <x:c r="B597" s="63" t="n">
        <x:v>3220</x:v>
      </x:c>
      <x:c r="C597" s="49" t="str">
        <x:v>Yadavrao Tasgaonkar College of Engineering &amp; Management</x:v>
      </x:c>
      <x:c r="D597" s="72" t="n">
        <x:v>322025210</x:v>
      </x:c>
      <x:c r="E597" s="49" t="str">
        <x:v>Cyber Security</x:v>
      </x:c>
      <x:c r="F597" s="73" t="n">
        <x:v>28</x:v>
      </x:c>
      <x:c r="G597" s="73" t="n">
        <x:v>25</x:v>
      </x:c>
      <x:c r="H597" s="73" t="n">
        <x:v>3</x:v>
      </x:c>
      <x:c r="I597" s="73"/>
      <x:c r="J597" s="73" t="n">
        <x:v>0</x:v>
      </x:c>
      <x:c r="K597" s="49" t="str">
        <x:v>Un-Aided</x:v>
      </x:c>
      <x:c r="L597" s="49" t="str">
        <x:v>MS Seats : 25+ EWS : 3</x:v>
      </x:c>
      <x:c r="M597" s="49" t="str">
        <x:v>https://dse2025.mahacet.org.in/dse25/admin/allotment/cap2/3220_4.pdf</x:v>
      </x:c>
    </x:row>
    <x:row r="598">
      <x:c r="A598" s="49" t="str">
        <x:v>2025-26</x:v>
      </x:c>
      <x:c r="B598" s="63" t="n">
        <x:v>3220</x:v>
      </x:c>
      <x:c r="C598" s="49" t="str">
        <x:v>Yadavrao Tasgaonkar College of Engineering &amp; Management</x:v>
      </x:c>
      <x:c r="D598" s="72" t="n">
        <x:v>322037210</x:v>
      </x:c>
      <x:c r="E598" s="49" t="str">
        <x:v>Electronics and Telecommunication Engg</x:v>
      </x:c>
      <x:c r="F598" s="73" t="n">
        <x:v>34</x:v>
      </x:c>
      <x:c r="G598" s="73" t="n">
        <x:v>31</x:v>
      </x:c>
      <x:c r="H598" s="73" t="n">
        <x:v>3</x:v>
      </x:c>
      <x:c r="I598" s="73"/>
      <x:c r="J598" s="73" t="n">
        <x:v>0</x:v>
      </x:c>
      <x:c r="K598" s="49" t="str">
        <x:v>Un-Aided</x:v>
      </x:c>
      <x:c r="L598" s="49" t="str">
        <x:v>MS Seats : 31+ EWS : 3</x:v>
      </x:c>
      <x:c r="M598" s="49" t="str">
        <x:v>https://dse2025.mahacet.org.in/dse25/admin/allotment/cap2/3220_4.pdf</x:v>
      </x:c>
    </x:row>
    <x:row r="599">
      <x:c r="A599" s="49" t="str">
        <x:v>2025-26</x:v>
      </x:c>
      <x:c r="B599" s="63" t="n">
        <x:v>3220</x:v>
      </x:c>
      <x:c r="C599" s="49" t="str">
        <x:v>Yadavrao Tasgaonkar College of Engineering &amp; Management</x:v>
      </x:c>
      <x:c r="D599" s="72" t="n">
        <x:v>322061210</x:v>
      </x:c>
      <x:c r="E599" s="49" t="str">
        <x:v>Mechanical Engineering</x:v>
      </x:c>
      <x:c r="F599" s="73" t="n">
        <x:v>74</x:v>
      </x:c>
      <x:c r="G599" s="73" t="n">
        <x:v>67</x:v>
      </x:c>
      <x:c r="H599" s="73" t="n">
        <x:v>7</x:v>
      </x:c>
      <x:c r="I599" s="73"/>
      <x:c r="J599" s="73" t="n">
        <x:v>0</x:v>
      </x:c>
      <x:c r="K599" s="49" t="str">
        <x:v>Un-Aided</x:v>
      </x:c>
      <x:c r="L599" s="49" t="str">
        <x:v>MS Seats : 67+ EWS : 7</x:v>
      </x:c>
      <x:c r="M599" s="49" t="str">
        <x:v>https://dse2025.mahacet.org.in/dse25/admin/allotment/cap2/3220_4.pdf</x:v>
      </x:c>
    </x:row>
    <x:row r="600">
      <x:c r="A600" s="49" t="str">
        <x:v>2025-26</x:v>
      </x:c>
      <x:c r="B600" s="63" t="n">
        <x:v>3220</x:v>
      </x:c>
      <x:c r="C600" s="49" t="str">
        <x:v>Yadavrao Tasgaonkar College of Engineering &amp; Management</x:v>
      </x:c>
      <x:c r="D600" s="72" t="n">
        <x:v>322092110</x:v>
      </x:c>
      <x:c r="E600" s="49" t="str">
        <x:v>Artificial Intelligence and Machine Learning</x:v>
      </x:c>
      <x:c r="F600" s="73" t="n">
        <x:v>28</x:v>
      </x:c>
      <x:c r="G600" s="73" t="n">
        <x:v>25</x:v>
      </x:c>
      <x:c r="H600" s="73" t="n">
        <x:v>3</x:v>
      </x:c>
      <x:c r="I600" s="73"/>
      <x:c r="J600" s="73" t="n">
        <x:v>0</x:v>
      </x:c>
      <x:c r="K600" s="49" t="str">
        <x:v>Un-Aided</x:v>
      </x:c>
      <x:c r="L600" s="49" t="str">
        <x:v>MS Seats : 25+ EWS : 3</x:v>
      </x:c>
      <x:c r="M600" s="49" t="str">
        <x:v>https://dse2025.mahacet.org.in/dse25/admin/allotment/cap2/3220_4.pdf</x:v>
      </x:c>
    </x:row>
    <x:row r="601">
      <x:c r="A601" s="49" t="str">
        <x:v>2025-26</x:v>
      </x:c>
      <x:c r="B601" s="63" t="n">
        <x:v>3221</x:v>
      </x:c>
      <x:c r="C601" s="49" t="str">
        <x:v>Vishnu Waman Thakur Charitable Trust's VIVA Institute of Technology, Virar</x:v>
      </x:c>
      <x:c r="D601" s="72" t="n">
        <x:v>322119110</x:v>
      </x:c>
      <x:c r="E601" s="49" t="str">
        <x:v>Civil Engineering</x:v>
      </x:c>
      <x:c r="F601" s="73" t="n">
        <x:v>68</x:v>
      </x:c>
      <x:c r="G601" s="73" t="n">
        <x:v>61</x:v>
      </x:c>
      <x:c r="H601" s="73" t="n">
        <x:v>7</x:v>
      </x:c>
      <x:c r="I601" s="73"/>
      <x:c r="J601" s="73" t="n">
        <x:v>0</x:v>
      </x:c>
      <x:c r="K601" s="49" t="str">
        <x:v>Un-Aided</x:v>
      </x:c>
      <x:c r="L601" s="49" t="str">
        <x:v>MS Seats : 61+ EWS : 7</x:v>
      </x:c>
      <x:c r="M601" s="49" t="str">
        <x:v>https://dse2025.mahacet.org.in/dse25/admin/allotment/cap2/3221_4.pdf</x:v>
      </x:c>
    </x:row>
    <x:row r="602">
      <x:c r="A602" s="49" t="str">
        <x:v>2025-26</x:v>
      </x:c>
      <x:c r="B602" s="63" t="n">
        <x:v>3221</x:v>
      </x:c>
      <x:c r="C602" s="49" t="str">
        <x:v>Vishnu Waman Thakur Charitable Trust's VIVA Institute of Technology, Virar</x:v>
      </x:c>
      <x:c r="D602" s="72" t="n">
        <x:v>322124510</x:v>
      </x:c>
      <x:c r="E602" s="49" t="str">
        <x:v>Computer Engineering</x:v>
      </x:c>
      <x:c r="F602" s="73" t="n">
        <x:v>13</x:v>
      </x:c>
      <x:c r="G602" s="73" t="n">
        <x:v>8</x:v>
      </x:c>
      <x:c r="H602" s="73" t="n">
        <x:v>5</x:v>
      </x:c>
      <x:c r="I602" s="73"/>
      <x:c r="J602" s="73" t="n">
        <x:v>0</x:v>
      </x:c>
      <x:c r="K602" s="49" t="str">
        <x:v>Un-Aided</x:v>
      </x:c>
      <x:c r="L602" s="49" t="str">
        <x:v>MS Seats : 8+ EWS : 5</x:v>
      </x:c>
      <x:c r="M602" s="49" t="str">
        <x:v>https://dse2025.mahacet.org.in/dse25/admin/allotment/cap2/3221_4.pdf</x:v>
      </x:c>
    </x:row>
    <x:row r="603">
      <x:c r="A603" s="49" t="str">
        <x:v>2025-26</x:v>
      </x:c>
      <x:c r="B603" s="63" t="n">
        <x:v>3221</x:v>
      </x:c>
      <x:c r="C603" s="49" t="str">
        <x:v>Vishnu Waman Thakur Charitable Trust's VIVA Institute of Technology, Virar</x:v>
      </x:c>
      <x:c r="D603" s="72" t="n">
        <x:v>322137210</x:v>
      </x:c>
      <x:c r="E603" s="49" t="str">
        <x:v>Electronics and Telecommunication Engg</x:v>
      </x:c>
      <x:c r="F603" s="73" t="n">
        <x:v>34</x:v>
      </x:c>
      <x:c r="G603" s="73" t="n">
        <x:v>27</x:v>
      </x:c>
      <x:c r="H603" s="73" t="n">
        <x:v>7</x:v>
      </x:c>
      <x:c r="I603" s="73"/>
      <x:c r="J603" s="73" t="n">
        <x:v>0</x:v>
      </x:c>
      <x:c r="K603" s="49" t="str">
        <x:v>Un-Aided</x:v>
      </x:c>
      <x:c r="L603" s="49" t="str">
        <x:v>MS Seats : 27+ EWS : 7</x:v>
      </x:c>
      <x:c r="M603" s="49" t="str">
        <x:v>https://dse2025.mahacet.org.in/dse25/admin/allotment/cap2/3221_4.pdf</x:v>
      </x:c>
    </x:row>
    <x:row r="604">
      <x:c r="A604" s="49" t="str">
        <x:v>2025-26</x:v>
      </x:c>
      <x:c r="B604" s="63" t="n">
        <x:v>3221</x:v>
      </x:c>
      <x:c r="C604" s="49" t="str">
        <x:v>Vishnu Waman Thakur Charitable Trust's VIVA Institute of Technology, Virar</x:v>
      </x:c>
      <x:c r="D604" s="72" t="n">
        <x:v>322161210</x:v>
      </x:c>
      <x:c r="E604" s="49" t="str">
        <x:v>Mechanical Engineering</x:v>
      </x:c>
      <x:c r="F604" s="73" t="n">
        <x:v>53</x:v>
      </x:c>
      <x:c r="G604" s="73" t="n">
        <x:v>46</x:v>
      </x:c>
      <x:c r="H604" s="73" t="n">
        <x:v>7</x:v>
      </x:c>
      <x:c r="I604" s="73"/>
      <x:c r="J604" s="73" t="n">
        <x:v>0</x:v>
      </x:c>
      <x:c r="K604" s="49" t="str">
        <x:v>Un-Aided</x:v>
      </x:c>
      <x:c r="L604" s="49" t="str">
        <x:v>MS Seats : 46+ EWS : 7</x:v>
      </x:c>
      <x:c r="M604" s="49" t="str">
        <x:v>https://dse2025.mahacet.org.in/dse25/admin/allotment/cap2/3221_4.pdf</x:v>
      </x:c>
    </x:row>
    <x:row r="605">
      <x:c r="A605" s="49" t="str">
        <x:v>2025-26</x:v>
      </x:c>
      <x:c r="B605" s="63" t="n">
        <x:v>3221</x:v>
      </x:c>
      <x:c r="C605" s="49" t="str">
        <x:v>Vishnu Waman Thakur Charitable Trust's VIVA Institute of Technology, Virar</x:v>
      </x:c>
      <x:c r="D605" s="72" t="n">
        <x:v>322191110</x:v>
      </x:c>
      <x:c r="E605" s="49" t="str">
        <x:v>Computer Science and Engineering(Artificial Intelligence and Machine Learning)</x:v>
      </x:c>
      <x:c r="F605" s="73" t="n">
        <x:v>27</x:v>
      </x:c>
      <x:c r="G605" s="73" t="n">
        <x:v>17</x:v>
      </x:c>
      <x:c r="H605" s="73" t="n">
        <x:v>10</x:v>
      </x:c>
      <x:c r="I605" s="73"/>
      <x:c r="J605" s="73" t="n">
        <x:v>0</x:v>
      </x:c>
      <x:c r="K605" s="49" t="str">
        <x:v>Un-Aided</x:v>
      </x:c>
      <x:c r="L605" s="49" t="str">
        <x:v>MS Seats : 17+ EWS : 10</x:v>
      </x:c>
      <x:c r="M605" s="49" t="str">
        <x:v>https://dse2025.mahacet.org.in/dse25/admin/allotment/cap2/3221_4.pdf</x:v>
      </x:c>
    </x:row>
    <x:row r="606">
      <x:c r="A606" s="49" t="str">
        <x:v>2025-26</x:v>
      </x:c>
      <x:c r="B606" s="63" t="n">
        <x:v>3221</x:v>
      </x:c>
      <x:c r="C606" s="49" t="str">
        <x:v>Vishnu Waman Thakur Charitable Trust's VIVA Institute of Technology, Virar</x:v>
      </x:c>
      <x:c r="D606" s="72" t="n">
        <x:v>322192610</x:v>
      </x:c>
      <x:c r="E606" s="49" t="str">
        <x:v>Electrical and Computer Engineering</x:v>
      </x:c>
      <x:c r="F606" s="73" t="n">
        <x:v>14</x:v>
      </x:c>
      <x:c r="G606" s="73" t="n">
        <x:v>7</x:v>
      </x:c>
      <x:c r="H606" s="73" t="n">
        <x:v>7</x:v>
      </x:c>
      <x:c r="I606" s="73"/>
      <x:c r="J606" s="73" t="n">
        <x:v>0</x:v>
      </x:c>
      <x:c r="K606" s="49" t="str">
        <x:v>Un-Aided</x:v>
      </x:c>
      <x:c r="L606" s="49" t="str">
        <x:v>MS Seats : 7+ EWS : 7</x:v>
      </x:c>
      <x:c r="M606" s="49" t="str">
        <x:v>https://dse2025.mahacet.org.in/dse25/admin/allotment/cap2/3221_4.pdf</x:v>
      </x:c>
    </x:row>
    <x:row r="607">
      <x:c r="A607" s="49" t="str">
        <x:v>2025-26</x:v>
      </x:c>
      <x:c r="B607" s="63" t="n">
        <x:v>3222</x:v>
      </x:c>
      <x:c r="C607" s="49" t="str">
        <x:v>Haji Jamaluddin Thim Trust's Theem College of Engineering, At. Villege Betegaon, Boisar</x:v>
      </x:c>
      <x:c r="D607" s="72" t="n">
        <x:v>322219110</x:v>
      </x:c>
      <x:c r="E607" s="49" t="str">
        <x:v>Civil Engineering</x:v>
      </x:c>
      <x:c r="F607" s="73" t="n">
        <x:v>28</x:v>
      </x:c>
      <x:c r="G607" s="73" t="n">
        <x:v>13</x:v>
      </x:c>
      <x:c r="H607" s="73"/>
      <x:c r="I607" s="73" t="n">
        <x:v>15</x:v>
      </x:c>
      <x:c r="J607" s="73" t="n">
        <x:v>0</x:v>
      </x:c>
      <x:c r="K607" s="49" t="str">
        <x:v>Un-Aided Religious Minority - Muslim</x:v>
      </x:c>
      <x:c r="L607" s="49" t="str">
        <x:v>MS Seats : 13 + Minority Seats : 15</x:v>
      </x:c>
      <x:c r="M607" s="49" t="str">
        <x:v>https://dse2025.mahacet.org.in/dse25/admin/allotment/cap2/3222_4.pdf</x:v>
      </x:c>
    </x:row>
    <x:row r="608">
      <x:c r="A608" s="49" t="str">
        <x:v>2025-26</x:v>
      </x:c>
      <x:c r="B608" s="63" t="n">
        <x:v>3222</x:v>
      </x:c>
      <x:c r="C608" s="49" t="str">
        <x:v>Haji Jamaluddin Thim Trust's Theem College of Engineering, At. Villege Betegaon, Boisar</x:v>
      </x:c>
      <x:c r="D608" s="72" t="n">
        <x:v>322224510</x:v>
      </x:c>
      <x:c r="E608" s="49" t="str">
        <x:v>Computer Engineering</x:v>
      </x:c>
      <x:c r="F608" s="73" t="n">
        <x:v>12</x:v>
      </x:c>
      <x:c r="G608" s="73" t="n">
        <x:v>5</x:v>
      </x:c>
      <x:c r="H608" s="73"/>
      <x:c r="I608" s="73" t="n">
        <x:v>7</x:v>
      </x:c>
      <x:c r="J608" s="73" t="n">
        <x:v>0</x:v>
      </x:c>
      <x:c r="K608" s="49" t="str">
        <x:v>Un-Aided Religious Minority - Muslim</x:v>
      </x:c>
      <x:c r="L608" s="49" t="str">
        <x:v>MS Seats : 5 + Minority Seats : 7</x:v>
      </x:c>
      <x:c r="M608" s="49" t="str">
        <x:v>https://dse2025.mahacet.org.in/dse25/admin/allotment/cap2/3222_4.pdf</x:v>
      </x:c>
    </x:row>
    <x:row r="609">
      <x:c r="A609" s="49" t="str">
        <x:v>2025-26</x:v>
      </x:c>
      <x:c r="B609" s="63" t="n">
        <x:v>3222</x:v>
      </x:c>
      <x:c r="C609" s="49" t="str">
        <x:v>Haji Jamaluddin Thim Trust's Theem College of Engineering, At. Villege Betegaon, Boisar</x:v>
      </x:c>
      <x:c r="D609" s="72" t="n">
        <x:v>322224610</x:v>
      </x:c>
      <x:c r="E609" s="49" t="str">
        <x:v>Information Technology</x:v>
      </x:c>
      <x:c r="F609" s="73" t="n">
        <x:v>17</x:v>
      </x:c>
      <x:c r="G609" s="73" t="n">
        <x:v>8</x:v>
      </x:c>
      <x:c r="H609" s="73"/>
      <x:c r="I609" s="73" t="n">
        <x:v>9</x:v>
      </x:c>
      <x:c r="J609" s="73" t="n">
        <x:v>0</x:v>
      </x:c>
      <x:c r="K609" s="49" t="str">
        <x:v>Un-Aided Religious Minority - Muslim</x:v>
      </x:c>
      <x:c r="L609" s="49" t="str">
        <x:v>MS Seats : 8 + Minority Seats : 9</x:v>
      </x:c>
      <x:c r="M609" s="49" t="str">
        <x:v>https://dse2025.mahacet.org.in/dse25/admin/allotment/cap2/3222_4.pdf</x:v>
      </x:c>
    </x:row>
    <x:row r="610">
      <x:c r="A610" s="49" t="str">
        <x:v>2025-26</x:v>
      </x:c>
      <x:c r="B610" s="63" t="n">
        <x:v>3222</x:v>
      </x:c>
      <x:c r="C610" s="49" t="str">
        <x:v>Haji Jamaluddin Thim Trust's Theem College of Engineering, At. Villege Betegaon, Boisar</x:v>
      </x:c>
      <x:c r="D610" s="72" t="n">
        <x:v>322229310</x:v>
      </x:c>
      <x:c r="E610" s="49" t="str">
        <x:v>Electrical Engineering</x:v>
      </x:c>
      <x:c r="F610" s="73" t="n">
        <x:v>23</x:v>
      </x:c>
      <x:c r="G610" s="73" t="n">
        <x:v>11</x:v>
      </x:c>
      <x:c r="H610" s="73"/>
      <x:c r="I610" s="73" t="n">
        <x:v>12</x:v>
      </x:c>
      <x:c r="J610" s="73" t="n">
        <x:v>0</x:v>
      </x:c>
      <x:c r="K610" s="49" t="str">
        <x:v>Un-Aided Religious Minority - Muslim</x:v>
      </x:c>
      <x:c r="L610" s="49" t="str">
        <x:v>MS Seats : 11 + Minority Seats : 12</x:v>
      </x:c>
      <x:c r="M610" s="49" t="str">
        <x:v>https://dse2025.mahacet.org.in/dse25/admin/allotment/cap2/3222_4.pdf</x:v>
      </x:c>
    </x:row>
    <x:row r="611">
      <x:c r="A611" s="49" t="str">
        <x:v>2025-26</x:v>
      </x:c>
      <x:c r="B611" s="63" t="n">
        <x:v>3222</x:v>
      </x:c>
      <x:c r="C611" s="49" t="str">
        <x:v>Haji Jamaluddin Thim Trust's Theem College of Engineering, At. Villege Betegaon, Boisar</x:v>
      </x:c>
      <x:c r="D611" s="72" t="n">
        <x:v>322260210</x:v>
      </x:c>
      <x:c r="E611" s="49" t="str">
        <x:v>Automobile Engineering</x:v>
      </x:c>
      <x:c r="F611" s="73" t="n">
        <x:v>31</x:v>
      </x:c>
      <x:c r="G611" s="73" t="n">
        <x:v>15</x:v>
      </x:c>
      <x:c r="H611" s="73"/>
      <x:c r="I611" s="73" t="n">
        <x:v>16</x:v>
      </x:c>
      <x:c r="J611" s="73" t="n">
        <x:v>0</x:v>
      </x:c>
      <x:c r="K611" s="49" t="str">
        <x:v>Un-Aided Religious Minority - Muslim</x:v>
      </x:c>
      <x:c r="L611" s="49" t="str">
        <x:v>MS Seats : 15 + Minority Seats : 16</x:v>
      </x:c>
      <x:c r="M611" s="49" t="str">
        <x:v>https://dse2025.mahacet.org.in/dse25/admin/allotment/cap2/3222_4.pdf</x:v>
      </x:c>
    </x:row>
    <x:row r="612">
      <x:c r="A612" s="49" t="str">
        <x:v>2025-26</x:v>
      </x:c>
      <x:c r="B612" s="63" t="n">
        <x:v>3222</x:v>
      </x:c>
      <x:c r="C612" s="49" t="str">
        <x:v>Haji Jamaluddin Thim Trust's Theem College of Engineering, At. Villege Betegaon, Boisar</x:v>
      </x:c>
      <x:c r="D612" s="72" t="n">
        <x:v>322261210</x:v>
      </x:c>
      <x:c r="E612" s="49" t="str">
        <x:v>Mechanical Engineering</x:v>
      </x:c>
      <x:c r="F612" s="73" t="n">
        <x:v>20</x:v>
      </x:c>
      <x:c r="G612" s="73" t="n">
        <x:v>9</x:v>
      </x:c>
      <x:c r="H612" s="73"/>
      <x:c r="I612" s="73" t="n">
        <x:v>11</x:v>
      </x:c>
      <x:c r="J612" s="73" t="n">
        <x:v>0</x:v>
      </x:c>
      <x:c r="K612" s="49" t="str">
        <x:v>Un-Aided Religious Minority - Muslim</x:v>
      </x:c>
      <x:c r="L612" s="49" t="str">
        <x:v>MS Seats : 9 + Minority Seats : 11</x:v>
      </x:c>
      <x:c r="M612" s="49" t="str">
        <x:v>https://dse2025.mahacet.org.in/dse25/admin/allotment/cap2/3222_4.pdf</x:v>
      </x:c>
    </x:row>
    <x:row r="613">
      <x:c r="A613" s="49" t="str">
        <x:v>2025-26</x:v>
      </x:c>
      <x:c r="B613" s="63" t="n">
        <x:v>3222</x:v>
      </x:c>
      <x:c r="C613" s="49" t="str">
        <x:v>Haji Jamaluddin Thim Trust's Theem College of Engineering, At. Villege Betegaon, Boisar</x:v>
      </x:c>
      <x:c r="D613" s="72" t="n">
        <x:v>322291110</x:v>
      </x:c>
      <x:c r="E613" s="49" t="str">
        <x:v>Computer Science and Engineering(Artificial Intelligence and Machine Learning)</x:v>
      </x:c>
      <x:c r="F613" s="73" t="n">
        <x:v>23</x:v>
      </x:c>
      <x:c r="G613" s="73" t="n">
        <x:v>11</x:v>
      </x:c>
      <x:c r="H613" s="73"/>
      <x:c r="I613" s="73" t="n">
        <x:v>12</x:v>
      </x:c>
      <x:c r="J613" s="73" t="n">
        <x:v>0</x:v>
      </x:c>
      <x:c r="K613" s="49" t="str">
        <x:v>Un-Aided Religious Minority - Muslim</x:v>
      </x:c>
      <x:c r="L613" s="49" t="str">
        <x:v>MS Seats : 11 + Minority Seats : 12</x:v>
      </x:c>
      <x:c r="M613" s="49" t="str">
        <x:v>https://dse2025.mahacet.org.in/dse25/admin/allotment/cap2/3222_4.pdf</x:v>
      </x:c>
    </x:row>
    <x:row r="614">
      <x:c r="A614" s="49" t="str">
        <x:v>2025-26</x:v>
      </x:c>
      <x:c r="B614" s="63" t="n">
        <x:v>3223</x:v>
      </x:c>
      <x:c r="C614" s="49" t="str">
        <x:v>Mahatma Education Society's Pillai HOC College of Engineering &amp; Technology, Tal. Khalapur. Dist. Raigad</x:v>
      </x:c>
      <x:c r="D614" s="72" t="n">
        <x:v>322319110</x:v>
      </x:c>
      <x:c r="E614" s="49" t="str">
        <x:v>Civil Engineering</x:v>
      </x:c>
      <x:c r="F614" s="73" t="n">
        <x:v>40</x:v>
      </x:c>
      <x:c r="G614" s="73" t="n">
        <x:v>19</x:v>
      </x:c>
      <x:c r="H614" s="73"/>
      <x:c r="I614" s="73" t="n">
        <x:v>21</x:v>
      </x:c>
      <x:c r="J614" s="73" t="n">
        <x:v>0</x:v>
      </x:c>
      <x:c r="K614" s="49" t="str">
        <x:v>Un-Aided Linguistic Minority - Malyalam</x:v>
      </x:c>
      <x:c r="L614" s="49" t="str">
        <x:v>MS Seats : 19 + Minority Seats : 21</x:v>
      </x:c>
      <x:c r="M614" s="49" t="str">
        <x:v>https://dse2025.mahacet.org.in/dse25/admin/allotment/cap2/3223_4.pdf</x:v>
      </x:c>
    </x:row>
    <x:row r="615">
      <x:c r="A615" s="49" t="str">
        <x:v>2025-26</x:v>
      </x:c>
      <x:c r="B615" s="63" t="n">
        <x:v>3223</x:v>
      </x:c>
      <x:c r="C615" s="49" t="str">
        <x:v>Mahatma Education Society's Pillai HOC College of Engineering &amp; Technology, Tal. Khalapur. Dist. Raigad</x:v>
      </x:c>
      <x:c r="D615" s="72" t="n">
        <x:v>322324510</x:v>
      </x:c>
      <x:c r="E615" s="49" t="str">
        <x:v>Computer Engineering</x:v>
      </x:c>
      <x:c r="F615" s="73" t="n">
        <x:v>25</x:v>
      </x:c>
      <x:c r="G615" s="73" t="n">
        <x:v>12</x:v>
      </x:c>
      <x:c r="H615" s="73"/>
      <x:c r="I615" s="73" t="n">
        <x:v>13</x:v>
      </x:c>
      <x:c r="J615" s="73" t="n">
        <x:v>0</x:v>
      </x:c>
      <x:c r="K615" s="49" t="str">
        <x:v>Un-Aided Linguistic Minority - Malyalam</x:v>
      </x:c>
      <x:c r="L615" s="49" t="str">
        <x:v>MS Seats : 12 + Minority Seats : 13</x:v>
      </x:c>
      <x:c r="M615" s="49" t="str">
        <x:v>https://dse2025.mahacet.org.in/dse25/admin/allotment/cap2/3223_4.pdf</x:v>
      </x:c>
    </x:row>
    <x:row r="616">
      <x:c r="A616" s="49" t="str">
        <x:v>2025-26</x:v>
      </x:c>
      <x:c r="B616" s="63" t="n">
        <x:v>3223</x:v>
      </x:c>
      <x:c r="C616" s="49" t="str">
        <x:v>Mahatma Education Society's Pillai HOC College of Engineering &amp; Technology, Tal. Khalapur. Dist. Raigad</x:v>
      </x:c>
      <x:c r="D616" s="72" t="n">
        <x:v>322324610</x:v>
      </x:c>
      <x:c r="E616" s="49" t="str">
        <x:v>Information Technology</x:v>
      </x:c>
      <x:c r="F616" s="73" t="n">
        <x:v>21</x:v>
      </x:c>
      <x:c r="G616" s="73" t="n">
        <x:v>10</x:v>
      </x:c>
      <x:c r="H616" s="73"/>
      <x:c r="I616" s="73" t="n">
        <x:v>11</x:v>
      </x:c>
      <x:c r="J616" s="73" t="n">
        <x:v>0</x:v>
      </x:c>
      <x:c r="K616" s="49" t="str">
        <x:v>Un-Aided Linguistic Minority - Malyalam</x:v>
      </x:c>
      <x:c r="L616" s="49" t="str">
        <x:v>MS Seats : 10 + Minority Seats : 11</x:v>
      </x:c>
      <x:c r="M616" s="49" t="str">
        <x:v>https://dse2025.mahacet.org.in/dse25/admin/allotment/cap2/3223_4.pdf</x:v>
      </x:c>
    </x:row>
    <x:row r="617">
      <x:c r="A617" s="49" t="str">
        <x:v>2025-26</x:v>
      </x:c>
      <x:c r="B617" s="63" t="n">
        <x:v>3223</x:v>
      </x:c>
      <x:c r="C617" s="49" t="str">
        <x:v>Mahatma Education Society's Pillai HOC College of Engineering &amp; Technology, Tal. Khalapur. Dist. Raigad</x:v>
      </x:c>
      <x:c r="D617" s="72" t="n">
        <x:v>322361210</x:v>
      </x:c>
      <x:c r="E617" s="49" t="str">
        <x:v>Mechanical Engineering</x:v>
      </x:c>
      <x:c r="F617" s="73" t="n">
        <x:v>22</x:v>
      </x:c>
      <x:c r="G617" s="73" t="n">
        <x:v>10</x:v>
      </x:c>
      <x:c r="H617" s="73"/>
      <x:c r="I617" s="73" t="n">
        <x:v>12</x:v>
      </x:c>
      <x:c r="J617" s="73" t="n">
        <x:v>0</x:v>
      </x:c>
      <x:c r="K617" s="49" t="str">
        <x:v>Un-Aided Linguistic Minority - Malyalam</x:v>
      </x:c>
      <x:c r="L617" s="49" t="str">
        <x:v>MS Seats : 10 + Minority Seats : 12</x:v>
      </x:c>
      <x:c r="M617" s="49" t="str">
        <x:v>https://dse2025.mahacet.org.in/dse25/admin/allotment/cap2/3223_4.pdf</x:v>
      </x:c>
    </x:row>
    <x:row r="618">
      <x:c r="A618" s="49" t="str">
        <x:v>2025-26</x:v>
      </x:c>
      <x:c r="B618" s="63" t="n">
        <x:v>3223</x:v>
      </x:c>
      <x:c r="C618" s="49" t="str">
        <x:v>Mahatma Education Society's Pillai HOC College of Engineering &amp; Technology, Tal. Khalapur. Dist. Raigad</x:v>
      </x:c>
      <x:c r="D618" s="72" t="n">
        <x:v>322390010</x:v>
      </x:c>
      <x:c r="E618" s="49" t="str">
        <x:v>Electronics and Computer Science</x:v>
      </x:c>
      <x:c r="F618" s="73" t="n">
        <x:v>15</x:v>
      </x:c>
      <x:c r="G618" s="73" t="n">
        <x:v>7</x:v>
      </x:c>
      <x:c r="H618" s="73"/>
      <x:c r="I618" s="73" t="n">
        <x:v>8</x:v>
      </x:c>
      <x:c r="J618" s="73" t="n">
        <x:v>0</x:v>
      </x:c>
      <x:c r="K618" s="49" t="str">
        <x:v>Un-Aided Linguistic Minority - Malyalam</x:v>
      </x:c>
      <x:c r="L618" s="49" t="str">
        <x:v>MS Seats : 7 + Minority Seats : 8</x:v>
      </x:c>
      <x:c r="M618" s="49" t="str">
        <x:v>https://dse2025.mahacet.org.in/dse25/admin/allotment/cap2/3223_4.pdf</x:v>
      </x:c>
    </x:row>
    <x:row r="619">
      <x:c r="A619" s="49" t="str">
        <x:v>2025-26</x:v>
      </x:c>
      <x:c r="B619" s="63" t="n">
        <x:v>3223</x:v>
      </x:c>
      <x:c r="C619" s="49" t="str">
        <x:v>Mahatma Education Society's Pillai HOC College of Engineering &amp; Technology, Tal. Khalapur. Dist. Raigad</x:v>
      </x:c>
      <x:c r="D619" s="72" t="n">
        <x:v>322392610</x:v>
      </x:c>
      <x:c r="E619" s="49" t="str">
        <x:v>Electrical and Computer Engineering</x:v>
      </x:c>
      <x:c r="F619" s="73" t="n">
        <x:v>20</x:v>
      </x:c>
      <x:c r="G619" s="73" t="n">
        <x:v>9</x:v>
      </x:c>
      <x:c r="H619" s="73"/>
      <x:c r="I619" s="73" t="n">
        <x:v>11</x:v>
      </x:c>
      <x:c r="J619" s="73" t="n">
        <x:v>0</x:v>
      </x:c>
      <x:c r="K619" s="49" t="str">
        <x:v>Un-Aided Linguistic Minority - Malyalam</x:v>
      </x:c>
      <x:c r="L619" s="49" t="str">
        <x:v>MS Seats : 9 + Minority Seats : 11</x:v>
      </x:c>
      <x:c r="M619" s="49" t="str">
        <x:v>https://dse2025.mahacet.org.in/dse25/admin/allotment/cap2/3223_4.pdf</x:v>
      </x:c>
    </x:row>
    <x:row r="620">
      <x:c r="A620" s="49" t="str">
        <x:v>2025-26</x:v>
      </x:c>
      <x:c r="B620" s="63" t="n">
        <x:v>3224</x:v>
      </x:c>
      <x:c r="C620" s="49" t="str">
        <x:v>Leela Education Society, G.V. Acharya Institute of Engineering and Technology, Shelu, Karjat</x:v>
      </x:c>
      <x:c r="D620" s="72" t="n">
        <x:v>322419110</x:v>
      </x:c>
      <x:c r="E620" s="49" t="str">
        <x:v>Civil Engineering</x:v>
      </x:c>
      <x:c r="F620" s="73" t="n">
        <x:v>34</x:v>
      </x:c>
      <x:c r="G620" s="73" t="n">
        <x:v>31</x:v>
      </x:c>
      <x:c r="H620" s="73" t="n">
        <x:v>3</x:v>
      </x:c>
      <x:c r="I620" s="73"/>
      <x:c r="J620" s="73" t="n">
        <x:v>0</x:v>
      </x:c>
      <x:c r="K620" s="49" t="str">
        <x:v>Un-Aided</x:v>
      </x:c>
      <x:c r="L620" s="49" t="str">
        <x:v>MS Seats : 31+ EWS : 3</x:v>
      </x:c>
      <x:c r="M620" s="49" t="str">
        <x:v>https://dse2025.mahacet.org.in/dse25/admin/allotment/cap2/3224_4.pdf</x:v>
      </x:c>
    </x:row>
    <x:row r="621">
      <x:c r="A621" s="49" t="str">
        <x:v>2025-26</x:v>
      </x:c>
      <x:c r="B621" s="63" t="n">
        <x:v>3224</x:v>
      </x:c>
      <x:c r="C621" s="49" t="str">
        <x:v>Leela Education Society, G.V. Acharya Institute of Engineering and Technology, Shelu, Karjat</x:v>
      </x:c>
      <x:c r="D621" s="72" t="n">
        <x:v>322424510</x:v>
      </x:c>
      <x:c r="E621" s="49" t="str">
        <x:v>Computer Engineering</x:v>
      </x:c>
      <x:c r="F621" s="73" t="n">
        <x:v>38</x:v>
      </x:c>
      <x:c r="G621" s="73" t="n">
        <x:v>31</x:v>
      </x:c>
      <x:c r="H621" s="73" t="n">
        <x:v>7</x:v>
      </x:c>
      <x:c r="I621" s="73"/>
      <x:c r="J621" s="73" t="n">
        <x:v>0</x:v>
      </x:c>
      <x:c r="K621" s="49" t="str">
        <x:v>Un-Aided</x:v>
      </x:c>
      <x:c r="L621" s="49" t="str">
        <x:v>MS Seats : 31+ EWS : 7</x:v>
      </x:c>
      <x:c r="M621" s="49" t="str">
        <x:v>https://dse2025.mahacet.org.in/dse25/admin/allotment/cap2/3224_4.pdf</x:v>
      </x:c>
    </x:row>
    <x:row r="622">
      <x:c r="A622" s="49" t="str">
        <x:v>2025-26</x:v>
      </x:c>
      <x:c r="B622" s="63" t="n">
        <x:v>3224</x:v>
      </x:c>
      <x:c r="C622" s="49" t="str">
        <x:v>Leela Education Society, G.V. Acharya Institute of Engineering and Technology, Shelu, Karjat</x:v>
      </x:c>
      <x:c r="D622" s="72" t="n">
        <x:v>322461210</x:v>
      </x:c>
      <x:c r="E622" s="49" t="str">
        <x:v>Mechanical Engineering</x:v>
      </x:c>
      <x:c r="F622" s="73" t="n">
        <x:v>73</x:v>
      </x:c>
      <x:c r="G622" s="73" t="n">
        <x:v>66</x:v>
      </x:c>
      <x:c r="H622" s="73" t="n">
        <x:v>7</x:v>
      </x:c>
      <x:c r="I622" s="73"/>
      <x:c r="J622" s="73" t="n">
        <x:v>0</x:v>
      </x:c>
      <x:c r="K622" s="49" t="str">
        <x:v>Un-Aided</x:v>
      </x:c>
      <x:c r="L622" s="49" t="str">
        <x:v>MS Seats : 66+ EWS : 7</x:v>
      </x:c>
      <x:c r="M622" s="49" t="str">
        <x:v>https://dse2025.mahacet.org.in/dse25/admin/allotment/cap2/3224_4.pdf</x:v>
      </x:c>
    </x:row>
    <x:row r="623">
      <x:c r="A623" s="49" t="str">
        <x:v>2025-26</x:v>
      </x:c>
      <x:c r="B623" s="63" t="n">
        <x:v>3224</x:v>
      </x:c>
      <x:c r="C623" s="49" t="str">
        <x:v>Leela Education Society, G.V. Acharya Institute of Engineering and Technology, Shelu, Karjat</x:v>
      </x:c>
      <x:c r="D623" s="72" t="n">
        <x:v>322491110</x:v>
      </x:c>
      <x:c r="E623" s="49" t="str">
        <x:v>Computer Science and Engineering(Artificial Intelligence and Machine Learning)</x:v>
      </x:c>
      <x:c r="F623" s="73" t="n">
        <x:v>25</x:v>
      </x:c>
      <x:c r="G623" s="73" t="n">
        <x:v>18</x:v>
      </x:c>
      <x:c r="H623" s="73" t="n">
        <x:v>7</x:v>
      </x:c>
      <x:c r="I623" s="73"/>
      <x:c r="J623" s="73" t="n">
        <x:v>0</x:v>
      </x:c>
      <x:c r="K623" s="49" t="str">
        <x:v>Un-Aided</x:v>
      </x:c>
      <x:c r="L623" s="49" t="str">
        <x:v>MS Seats : 18+ EWS : 7</x:v>
      </x:c>
      <x:c r="M623" s="49" t="str">
        <x:v>https://dse2025.mahacet.org.in/dse25/admin/allotment/cap2/3224_4.pdf</x:v>
      </x:c>
    </x:row>
    <x:row r="624">
      <x:c r="A624" s="49" t="str">
        <x:v>2025-26</x:v>
      </x:c>
      <x:c r="B624" s="63" t="n">
        <x:v>3224</x:v>
      </x:c>
      <x:c r="C624" s="49" t="str">
        <x:v>Leela Education Society, G.V. Acharya Institute of Engineering and Technology, Shelu, Karjat</x:v>
      </x:c>
      <x:c r="D624" s="72" t="n">
        <x:v>322492010</x:v>
      </x:c>
      <x:c r="E624" s="49" t="str">
        <x:v>Computer Science and Engineering (Internet of Things and Cyber Security Including Block Chain Technology)</x:v>
      </x:c>
      <x:c r="F624" s="73" t="n">
        <x:v>29</x:v>
      </x:c>
      <x:c r="G624" s="73" t="n">
        <x:v>22</x:v>
      </x:c>
      <x:c r="H624" s="73" t="n">
        <x:v>7</x:v>
      </x:c>
      <x:c r="I624" s="73"/>
      <x:c r="J624" s="73" t="n">
        <x:v>0</x:v>
      </x:c>
      <x:c r="K624" s="49" t="str">
        <x:v>Un-Aided</x:v>
      </x:c>
      <x:c r="L624" s="49" t="str">
        <x:v>MS Seats : 22+ EWS : 7</x:v>
      </x:c>
      <x:c r="M624" s="49" t="str">
        <x:v>https://dse2025.mahacet.org.in/dse25/admin/allotment/cap2/3224_4.pdf</x:v>
      </x:c>
    </x:row>
    <x:row r="625">
      <x:c r="A625" s="49" t="str">
        <x:v>2025-26</x:v>
      </x:c>
      <x:c r="B625" s="63" t="n">
        <x:v>3257</x:v>
      </x:c>
      <x:c r="C625" s="49" t="str">
        <x:v>Vidya Prasarak Mandal's College of Engineering, Thane</x:v>
      </x:c>
      <x:c r="D625" s="72" t="n">
        <x:v>325724510</x:v>
      </x:c>
      <x:c r="E625" s="49" t="str">
        <x:v>Computer Engineering</x:v>
      </x:c>
      <x:c r="F625" s="73" t="n">
        <x:v>10</x:v>
      </x:c>
      <x:c r="G625" s="73" t="n">
        <x:v>8</x:v>
      </x:c>
      <x:c r="H625" s="73" t="n">
        <x:v>2</x:v>
      </x:c>
      <x:c r="I625" s="73"/>
      <x:c r="J625" s="73" t="n">
        <x:v>0</x:v>
      </x:c>
      <x:c r="K625" s="49" t="str">
        <x:v>Un-Aided</x:v>
      </x:c>
      <x:c r="L625" s="49" t="str">
        <x:v>MS Seats : 8+ EWS : 2</x:v>
      </x:c>
      <x:c r="M625" s="49" t="str">
        <x:v>https://dse2025.mahacet.org.in/dse25/admin/allotment/cap2/3257_4.pdf</x:v>
      </x:c>
    </x:row>
    <x:row r="626">
      <x:c r="A626" s="49" t="str">
        <x:v>2025-26</x:v>
      </x:c>
      <x:c r="B626" s="63" t="n">
        <x:v>3257</x:v>
      </x:c>
      <x:c r="C626" s="49" t="str">
        <x:v>Vidya Prasarak Mandal's College of Engineering, Thane</x:v>
      </x:c>
      <x:c r="D626" s="72" t="n">
        <x:v>325724610</x:v>
      </x:c>
      <x:c r="E626" s="49" t="str">
        <x:v>Information Technology</x:v>
      </x:c>
      <x:c r="F626" s="73" t="n">
        <x:v>11</x:v>
      </x:c>
      <x:c r="G626" s="73" t="n">
        <x:v>10</x:v>
      </x:c>
      <x:c r="H626" s="73" t="n">
        <x:v>1</x:v>
      </x:c>
      <x:c r="I626" s="73"/>
      <x:c r="J626" s="73" t="n">
        <x:v>0</x:v>
      </x:c>
      <x:c r="K626" s="49" t="str">
        <x:v>Un-Aided</x:v>
      </x:c>
      <x:c r="L626" s="49" t="str">
        <x:v>MS Seats : 10+ EWS : 1</x:v>
      </x:c>
      <x:c r="M626" s="49" t="str">
        <x:v>https://dse2025.mahacet.org.in/dse25/admin/allotment/cap2/3257_4.pdf</x:v>
      </x:c>
    </x:row>
    <x:row r="627">
      <x:c r="A627" s="49" t="str">
        <x:v>2025-26</x:v>
      </x:c>
      <x:c r="B627" s="63" t="n">
        <x:v>3257</x:v>
      </x:c>
      <x:c r="C627" s="49" t="str">
        <x:v>Vidya Prasarak Mandal's College of Engineering, Thane</x:v>
      </x:c>
      <x:c r="D627" s="72" t="n">
        <x:v>325729310</x:v>
      </x:c>
      <x:c r="E627" s="49" t="str">
        <x:v>Electrical Engineering</x:v>
      </x:c>
      <x:c r="F627" s="73" t="n">
        <x:v>31</x:v>
      </x:c>
      <x:c r="G627" s="73" t="n">
        <x:v>24</x:v>
      </x:c>
      <x:c r="H627" s="73" t="n">
        <x:v>7</x:v>
      </x:c>
      <x:c r="I627" s="73"/>
      <x:c r="J627" s="73" t="n">
        <x:v>0</x:v>
      </x:c>
      <x:c r="K627" s="49" t="str">
        <x:v>Un-Aided</x:v>
      </x:c>
      <x:c r="L627" s="49" t="str">
        <x:v>MS Seats : 24+ EWS : 7</x:v>
      </x:c>
      <x:c r="M627" s="49" t="str">
        <x:v>https://dse2025.mahacet.org.in/dse25/admin/allotment/cap2/3257_4.pdf</x:v>
      </x:c>
    </x:row>
    <x:row r="628">
      <x:c r="A628" s="49" t="str">
        <x:v>2025-26</x:v>
      </x:c>
      <x:c r="B628" s="63" t="n">
        <x:v>3257</x:v>
      </x:c>
      <x:c r="C628" s="49" t="str">
        <x:v>Vidya Prasarak Mandal's College of Engineering, Thane</x:v>
      </x:c>
      <x:c r="D628" s="72" t="n">
        <x:v>325737210</x:v>
      </x:c>
      <x:c r="E628" s="49" t="str">
        <x:v>Electronics and Telecommunication Engg</x:v>
      </x:c>
      <x:c r="F628" s="73" t="n">
        <x:v>18</x:v>
      </x:c>
      <x:c r="G628" s="73" t="n">
        <x:v>11</x:v>
      </x:c>
      <x:c r="H628" s="73" t="n">
        <x:v>7</x:v>
      </x:c>
      <x:c r="I628" s="73"/>
      <x:c r="J628" s="73" t="n">
        <x:v>0</x:v>
      </x:c>
      <x:c r="K628" s="49" t="str">
        <x:v>Un-Aided</x:v>
      </x:c>
      <x:c r="L628" s="49" t="str">
        <x:v>MS Seats : 11+ EWS : 7</x:v>
      </x:c>
      <x:c r="M628" s="49" t="str">
        <x:v>https://dse2025.mahacet.org.in/dse25/admin/allotment/cap2/3257_4.pdf</x:v>
      </x:c>
    </x:row>
    <x:row r="629">
      <x:c r="A629" s="49" t="str">
        <x:v>2025-26</x:v>
      </x:c>
      <x:c r="B629" s="63" t="n">
        <x:v>3257</x:v>
      </x:c>
      <x:c r="C629" s="49" t="str">
        <x:v>Vidya Prasarak Mandal's College of Engineering, Thane</x:v>
      </x:c>
      <x:c r="D629" s="72" t="n">
        <x:v>325791610</x:v>
      </x:c>
      <x:c r="E629" s="49" t="str">
        <x:v>Automation and Robotics</x:v>
      </x:c>
      <x:c r="F629" s="73" t="n">
        <x:v>18</x:v>
      </x:c>
      <x:c r="G629" s="73" t="n">
        <x:v>11</x:v>
      </x:c>
      <x:c r="H629" s="73" t="n">
        <x:v>7</x:v>
      </x:c>
      <x:c r="I629" s="73"/>
      <x:c r="J629" s="73" t="n">
        <x:v>0</x:v>
      </x:c>
      <x:c r="K629" s="49" t="str">
        <x:v>Un-Aided</x:v>
      </x:c>
      <x:c r="L629" s="49" t="str">
        <x:v>MS Seats : 11+ EWS : 7</x:v>
      </x:c>
      <x:c r="M629" s="49" t="str">
        <x:v>https://dse2025.mahacet.org.in/dse25/admin/allotment/cap2/3257_4.pdf</x:v>
      </x:c>
    </x:row>
    <x:row r="630">
      <x:c r="A630" s="49" t="str">
        <x:v>2025-26</x:v>
      </x:c>
      <x:c r="B630" s="63" t="n">
        <x:v>3277</x:v>
      </x:c>
      <x:c r="C630" s="49" t="str">
        <x:v>Pravin Rohidas Patil College of Engineering &amp; Technology</x:v>
      </x:c>
      <x:c r="D630" s="72" t="n">
        <x:v>327724510</x:v>
      </x:c>
      <x:c r="E630" s="49" t="str">
        <x:v>Computer Engineering</x:v>
      </x:c>
      <x:c r="F630" s="73" t="n">
        <x:v>14</x:v>
      </x:c>
      <x:c r="G630" s="73" t="n">
        <x:v>8</x:v>
      </x:c>
      <x:c r="H630" s="73" t="n">
        <x:v>6</x:v>
      </x:c>
      <x:c r="I630" s="73"/>
      <x:c r="J630" s="73" t="n">
        <x:v>0</x:v>
      </x:c>
      <x:c r="K630" s="49" t="str">
        <x:v>Un-Aided</x:v>
      </x:c>
      <x:c r="L630" s="49" t="str">
        <x:v>MS Seats : 8+ EWS : 6</x:v>
      </x:c>
      <x:c r="M630" s="49" t="str">
        <x:v>https://dse2025.mahacet.org.in/dse25/admin/allotment/cap2/3277_4.pdf</x:v>
      </x:c>
    </x:row>
    <x:row r="631">
      <x:c r="A631" s="49" t="str">
        <x:v>2025-26</x:v>
      </x:c>
      <x:c r="B631" s="63" t="n">
        <x:v>3277</x:v>
      </x:c>
      <x:c r="C631" s="49" t="str">
        <x:v>Pravin Rohidas Patil College of Engineering &amp; Technology</x:v>
      </x:c>
      <x:c r="D631" s="72" t="n">
        <x:v>327724610</x:v>
      </x:c>
      <x:c r="E631" s="49" t="str">
        <x:v>Information Technology</x:v>
      </x:c>
      <x:c r="F631" s="73" t="n">
        <x:v>14</x:v>
      </x:c>
      <x:c r="G631" s="73" t="n">
        <x:v>8</x:v>
      </x:c>
      <x:c r="H631" s="73" t="n">
        <x:v>6</x:v>
      </x:c>
      <x:c r="I631" s="73"/>
      <x:c r="J631" s="73" t="n">
        <x:v>0</x:v>
      </x:c>
      <x:c r="K631" s="49" t="str">
        <x:v>Un-Aided</x:v>
      </x:c>
      <x:c r="L631" s="49" t="str">
        <x:v>MS Seats : 8+ EWS : 6</x:v>
      </x:c>
      <x:c r="M631" s="49" t="str">
        <x:v>https://dse2025.mahacet.org.in/dse25/admin/allotment/cap2/3277_4.pdf</x:v>
      </x:c>
    </x:row>
    <x:row r="632">
      <x:c r="A632" s="49" t="str">
        <x:v>2025-26</x:v>
      </x:c>
      <x:c r="B632" s="63" t="n">
        <x:v>3277</x:v>
      </x:c>
      <x:c r="C632" s="49" t="str">
        <x:v>Pravin Rohidas Patil College of Engineering &amp; Technology</x:v>
      </x:c>
      <x:c r="D632" s="72" t="n">
        <x:v>327735610</x:v>
      </x:c>
      <x:c r="E632" s="49" t="str">
        <x:v>Electrical Engg[Electronics and Power]</x:v>
      </x:c>
      <x:c r="F632" s="73" t="n">
        <x:v>55</x:v>
      </x:c>
      <x:c r="G632" s="73" t="n">
        <x:v>48</x:v>
      </x:c>
      <x:c r="H632" s="73" t="n">
        <x:v>7</x:v>
      </x:c>
      <x:c r="I632" s="73"/>
      <x:c r="J632" s="73" t="n">
        <x:v>0</x:v>
      </x:c>
      <x:c r="K632" s="49" t="str">
        <x:v>Un-Aided</x:v>
      </x:c>
      <x:c r="L632" s="49" t="str">
        <x:v>MS Seats : 48+ EWS : 7</x:v>
      </x:c>
      <x:c r="M632" s="49" t="str">
        <x:v>https://dse2025.mahacet.org.in/dse25/admin/allotment/cap2/3277_4.pdf</x:v>
      </x:c>
    </x:row>
    <x:row r="633">
      <x:c r="A633" s="49" t="str">
        <x:v>2025-26</x:v>
      </x:c>
      <x:c r="B633" s="63" t="n">
        <x:v>3277</x:v>
      </x:c>
      <x:c r="C633" s="49" t="str">
        <x:v>Pravin Rohidas Patil College of Engineering &amp; Technology</x:v>
      </x:c>
      <x:c r="D633" s="72" t="n">
        <x:v>327761510</x:v>
      </x:c>
      <x:c r="E633" s="49" t="str">
        <x:v>Mechanical &amp; Automation Engineering</x:v>
      </x:c>
      <x:c r="F633" s="73" t="n">
        <x:v>53</x:v>
      </x:c>
      <x:c r="G633" s="73" t="n">
        <x:v>46</x:v>
      </x:c>
      <x:c r="H633" s="73" t="n">
        <x:v>7</x:v>
      </x:c>
      <x:c r="I633" s="73"/>
      <x:c r="J633" s="73" t="n">
        <x:v>0</x:v>
      </x:c>
      <x:c r="K633" s="49" t="str">
        <x:v>Un-Aided</x:v>
      </x:c>
      <x:c r="L633" s="49" t="str">
        <x:v>MS Seats : 46+ EWS : 7</x:v>
      </x:c>
      <x:c r="M633" s="49" t="str">
        <x:v>https://dse2025.mahacet.org.in/dse25/admin/allotment/cap2/3277_4.pdf</x:v>
      </x:c>
    </x:row>
    <x:row r="634">
      <x:c r="A634" s="49" t="str">
        <x:v>2025-26</x:v>
      </x:c>
      <x:c r="B634" s="63" t="n">
        <x:v>3277</x:v>
      </x:c>
      <x:c r="C634" s="49" t="str">
        <x:v>Pravin Rohidas Patil College of Engineering &amp; Technology</x:v>
      </x:c>
      <x:c r="D634" s="72" t="n">
        <x:v>327793410</x:v>
      </x:c>
      <x:c r="E634" s="49" t="str">
        <x:v>Civil Engineering and Planning</x:v>
      </x:c>
      <x:c r="F634" s="73" t="n">
        <x:v>68</x:v>
      </x:c>
      <x:c r="G634" s="73" t="n">
        <x:v>61</x:v>
      </x:c>
      <x:c r="H634" s="73" t="n">
        <x:v>7</x:v>
      </x:c>
      <x:c r="I634" s="73"/>
      <x:c r="J634" s="73" t="n">
        <x:v>0</x:v>
      </x:c>
      <x:c r="K634" s="49" t="str">
        <x:v>Un-Aided</x:v>
      </x:c>
      <x:c r="L634" s="49" t="str">
        <x:v>MS Seats : 61+ EWS : 7</x:v>
      </x:c>
      <x:c r="M634" s="49" t="str">
        <x:v>https://dse2025.mahacet.org.in/dse25/admin/allotment/cap2/3277_4.pdf</x:v>
      </x:c>
    </x:row>
    <x:row r="635">
      <x:c r="A635" s="49" t="str">
        <x:v>2025-26</x:v>
      </x:c>
      <x:c r="B635" s="63" t="n">
        <x:v>3277</x:v>
      </x:c>
      <x:c r="C635" s="49" t="str">
        <x:v>Pravin Rohidas Patil College of Engineering &amp; Technology</x:v>
      </x:c>
      <x:c r="D635" s="72" t="n">
        <x:v>327793510</x:v>
      </x:c>
      <x:c r="E635" s="49" t="str">
        <x:v>Electronics and BiomedicalÂ Engineering</x:v>
      </x:c>
      <x:c r="F635" s="73" t="n">
        <x:v>45</x:v>
      </x:c>
      <x:c r="G635" s="73" t="n">
        <x:v>38</x:v>
      </x:c>
      <x:c r="H635" s="73" t="n">
        <x:v>7</x:v>
      </x:c>
      <x:c r="I635" s="73"/>
      <x:c r="J635" s="73" t="n">
        <x:v>0</x:v>
      </x:c>
      <x:c r="K635" s="49" t="str">
        <x:v>Un-Aided</x:v>
      </x:c>
      <x:c r="L635" s="49" t="str">
        <x:v>MS Seats : 38+ EWS : 7</x:v>
      </x:c>
      <x:c r="M635" s="49" t="str">
        <x:v>https://dse2025.mahacet.org.in/dse25/admin/allotment/cap2/3277_4.pdf</x:v>
      </x:c>
    </x:row>
    <x:row r="636">
      <x:c r="A636" s="49" t="str">
        <x:v>2025-26</x:v>
      </x:c>
      <x:c r="B636" s="63" t="n">
        <x:v>3351</x:v>
      </x:c>
      <x:c r="C636" s="49" t="str">
        <x:v>Bharat College of Engineering, Kanhor, Badlapur(W)</x:v>
      </x:c>
      <x:c r="D636" s="72" t="n">
        <x:v>335119110</x:v>
      </x:c>
      <x:c r="E636" s="49" t="str">
        <x:v>Civil Engineering</x:v>
      </x:c>
      <x:c r="F636" s="73" t="n">
        <x:v>34</x:v>
      </x:c>
      <x:c r="G636" s="73" t="n">
        <x:v>31</x:v>
      </x:c>
      <x:c r="H636" s="73" t="n">
        <x:v>3</x:v>
      </x:c>
      <x:c r="I636" s="73"/>
      <x:c r="J636" s="73" t="n">
        <x:v>0</x:v>
      </x:c>
      <x:c r="K636" s="49" t="str">
        <x:v>Un-Aided</x:v>
      </x:c>
      <x:c r="L636" s="49" t="str">
        <x:v>MS Seats : 31+ EWS : 3</x:v>
      </x:c>
      <x:c r="M636" s="49" t="str">
        <x:v>https://dse2025.mahacet.org.in/dse25/admin/allotment/cap2/3351_4.pdf</x:v>
      </x:c>
    </x:row>
    <x:row r="637">
      <x:c r="A637" s="49" t="str">
        <x:v>2025-26</x:v>
      </x:c>
      <x:c r="B637" s="63" t="n">
        <x:v>3351</x:v>
      </x:c>
      <x:c r="C637" s="49" t="str">
        <x:v>Bharat College of Engineering, Kanhor, Badlapur(W)</x:v>
      </x:c>
      <x:c r="D637" s="72" t="n">
        <x:v>335124510</x:v>
      </x:c>
      <x:c r="E637" s="49" t="str">
        <x:v>Computer Engineering</x:v>
      </x:c>
      <x:c r="F637" s="73" t="n">
        <x:v>32</x:v>
      </x:c>
      <x:c r="G637" s="73" t="n">
        <x:v>26</x:v>
      </x:c>
      <x:c r="H637" s="73" t="n">
        <x:v>6</x:v>
      </x:c>
      <x:c r="I637" s="73"/>
      <x:c r="J637" s="73" t="n">
        <x:v>0</x:v>
      </x:c>
      <x:c r="K637" s="49" t="str">
        <x:v>Un-Aided</x:v>
      </x:c>
      <x:c r="L637" s="49" t="str">
        <x:v>MS Seats : 26+ EWS : 6</x:v>
      </x:c>
      <x:c r="M637" s="49" t="str">
        <x:v>https://dse2025.mahacet.org.in/dse25/admin/allotment/cap2/3351_4.pdf</x:v>
      </x:c>
    </x:row>
    <x:row r="638">
      <x:c r="A638" s="49" t="str">
        <x:v>2025-26</x:v>
      </x:c>
      <x:c r="B638" s="63" t="n">
        <x:v>3351</x:v>
      </x:c>
      <x:c r="C638" s="49" t="str">
        <x:v>Bharat College of Engineering, Kanhor, Badlapur(W)</x:v>
      </x:c>
      <x:c r="D638" s="72" t="n">
        <x:v>335156810</x:v>
      </x:c>
      <x:c r="E638" s="49" t="str">
        <x:v>Computer Science and Information Technology</x:v>
      </x:c>
      <x:c r="F638" s="73" t="n">
        <x:v>41</x:v>
      </x:c>
      <x:c r="G638" s="73" t="n">
        <x:v>34</x:v>
      </x:c>
      <x:c r="H638" s="73" t="n">
        <x:v>7</x:v>
      </x:c>
      <x:c r="I638" s="73"/>
      <x:c r="J638" s="73" t="n">
        <x:v>0</x:v>
      </x:c>
      <x:c r="K638" s="49" t="str">
        <x:v>Un-Aided</x:v>
      </x:c>
      <x:c r="L638" s="49" t="str">
        <x:v>MS Seats : 34+ EWS : 7</x:v>
      </x:c>
      <x:c r="M638" s="49" t="str">
        <x:v>https://dse2025.mahacet.org.in/dse25/admin/allotment/cap2/3351_4.pdf</x:v>
      </x:c>
    </x:row>
    <x:row r="639">
      <x:c r="A639" s="49" t="str">
        <x:v>2025-26</x:v>
      </x:c>
      <x:c r="B639" s="63" t="n">
        <x:v>3351</x:v>
      </x:c>
      <x:c r="C639" s="49" t="str">
        <x:v>Bharat College of Engineering, Kanhor, Badlapur(W)</x:v>
      </x:c>
      <x:c r="D639" s="72" t="n">
        <x:v>335161210</x:v>
      </x:c>
      <x:c r="E639" s="49" t="str">
        <x:v>Mechanical Engineering</x:v>
      </x:c>
      <x:c r="F639" s="73" t="n">
        <x:v>71</x:v>
      </x:c>
      <x:c r="G639" s="73" t="n">
        <x:v>64</x:v>
      </x:c>
      <x:c r="H639" s="73" t="n">
        <x:v>7</x:v>
      </x:c>
      <x:c r="I639" s="73"/>
      <x:c r="J639" s="73" t="n">
        <x:v>0</x:v>
      </x:c>
      <x:c r="K639" s="49" t="str">
        <x:v>Un-Aided</x:v>
      </x:c>
      <x:c r="L639" s="49" t="str">
        <x:v>MS Seats : 64+ EWS : 7</x:v>
      </x:c>
      <x:c r="M639" s="49" t="str">
        <x:v>https://dse2025.mahacet.org.in/dse25/admin/allotment/cap2/3351_4.pdf</x:v>
      </x:c>
    </x:row>
    <x:row r="640">
      <x:c r="A640" s="49" t="str">
        <x:v>2025-26</x:v>
      </x:c>
      <x:c r="B640" s="63" t="n">
        <x:v>3351</x:v>
      </x:c>
      <x:c r="C640" s="49" t="str">
        <x:v>Bharat College of Engineering, Kanhor, Badlapur(W)</x:v>
      </x:c>
      <x:c r="D640" s="72" t="n">
        <x:v>335191110</x:v>
      </x:c>
      <x:c r="E640" s="49" t="str">
        <x:v>Computer Science and Engineering(Artificial Intelligence and Machine Learning)</x:v>
      </x:c>
      <x:c r="F640" s="73" t="n">
        <x:v>22</x:v>
      </x:c>
      <x:c r="G640" s="73" t="n">
        <x:v>15</x:v>
      </x:c>
      <x:c r="H640" s="73" t="n">
        <x:v>7</x:v>
      </x:c>
      <x:c r="I640" s="73"/>
      <x:c r="J640" s="73" t="n">
        <x:v>0</x:v>
      </x:c>
      <x:c r="K640" s="49" t="str">
        <x:v>Un-Aided</x:v>
      </x:c>
      <x:c r="L640" s="49" t="str">
        <x:v>MS Seats : 15+ EWS : 7</x:v>
      </x:c>
      <x:c r="M640" s="49" t="str">
        <x:v>https://dse2025.mahacet.org.in/dse25/admin/allotment/cap2/3351_4.pdf</x:v>
      </x:c>
    </x:row>
    <x:row r="641">
      <x:c r="A641" s="49" t="str">
        <x:v>2025-26</x:v>
      </x:c>
      <x:c r="B641" s="63" t="n">
        <x:v>3351</x:v>
      </x:c>
      <x:c r="C641" s="49" t="str">
        <x:v>Bharat College of Engineering, Kanhor, Badlapur(W)</x:v>
      </x:c>
      <x:c r="D641" s="72" t="n">
        <x:v>335191210</x:v>
      </x:c>
      <x:c r="E641" s="49" t="str">
        <x:v>Computer Science and Engineering(Data Science)</x:v>
      </x:c>
      <x:c r="F641" s="73" t="n">
        <x:v>32</x:v>
      </x:c>
      <x:c r="G641" s="73" t="n">
        <x:v>25</x:v>
      </x:c>
      <x:c r="H641" s="73" t="n">
        <x:v>7</x:v>
      </x:c>
      <x:c r="I641" s="73"/>
      <x:c r="J641" s="73" t="n">
        <x:v>0</x:v>
      </x:c>
      <x:c r="K641" s="49" t="str">
        <x:v>Un-Aided</x:v>
      </x:c>
      <x:c r="L641" s="49" t="str">
        <x:v>MS Seats : 25+ EWS : 7</x:v>
      </x:c>
      <x:c r="M641" s="49" t="str">
        <x:v>https://dse2025.mahacet.org.in/dse25/admin/allotment/cap2/3351_4.pdf</x:v>
      </x:c>
    </x:row>
    <x:row r="642">
      <x:c r="A642" s="49" t="str">
        <x:v>2025-26</x:v>
      </x:c>
      <x:c r="B642" s="63" t="n">
        <x:v>3353</x:v>
      </x:c>
      <x:c r="C642" s="49" t="str">
        <x:v>Dilkap Research Institute Of Engineering and Management Studies, At.Mamdapur, Post- Neral, Tal- Karjat, Mumbai</x:v>
      </x:c>
      <x:c r="D642" s="72" t="n">
        <x:v>335319110</x:v>
      </x:c>
      <x:c r="E642" s="49" t="str">
        <x:v>Civil Engineering</x:v>
      </x:c>
      <x:c r="F642" s="73" t="n">
        <x:v>72</x:v>
      </x:c>
      <x:c r="G642" s="73" t="n">
        <x:v>65</x:v>
      </x:c>
      <x:c r="H642" s="73" t="n">
        <x:v>7</x:v>
      </x:c>
      <x:c r="I642" s="73"/>
      <x:c r="J642" s="73" t="n">
        <x:v>0</x:v>
      </x:c>
      <x:c r="K642" s="49" t="str">
        <x:v>Un-Aided</x:v>
      </x:c>
      <x:c r="L642" s="49" t="str">
        <x:v>MS Seats : 65+ EWS : 7</x:v>
      </x:c>
      <x:c r="M642" s="49" t="str">
        <x:v>https://dse2025.mahacet.org.in/dse25/admin/allotment/cap2/3353_4.pdf</x:v>
      </x:c>
    </x:row>
    <x:row r="643">
      <x:c r="A643" s="49" t="str">
        <x:v>2025-26</x:v>
      </x:c>
      <x:c r="B643" s="63" t="n">
        <x:v>3353</x:v>
      </x:c>
      <x:c r="C643" s="49" t="str">
        <x:v>Dilkap Research Institute Of Engineering and Management Studies, At.Mamdapur, Post- Neral, Tal- Karjat, Mumbai</x:v>
      </x:c>
      <x:c r="D643" s="72" t="n">
        <x:v>335324510</x:v>
      </x:c>
      <x:c r="E643" s="49" t="str">
        <x:v>Computer Engineering</x:v>
      </x:c>
      <x:c r="F643" s="73" t="n">
        <x:v>55</x:v>
      </x:c>
      <x:c r="G643" s="73" t="n">
        <x:v>43</x:v>
      </x:c>
      <x:c r="H643" s="73" t="n">
        <x:v>12</x:v>
      </x:c>
      <x:c r="I643" s="73"/>
      <x:c r="J643" s="73" t="n">
        <x:v>0</x:v>
      </x:c>
      <x:c r="K643" s="49" t="str">
        <x:v>Un-Aided</x:v>
      </x:c>
      <x:c r="L643" s="49" t="str">
        <x:v>MS Seats : 43+ EWS : 12</x:v>
      </x:c>
      <x:c r="M643" s="49" t="str">
        <x:v>https://dse2025.mahacet.org.in/dse25/admin/allotment/cap2/3353_4.pdf</x:v>
      </x:c>
    </x:row>
    <x:row r="644">
      <x:c r="A644" s="49" t="str">
        <x:v>2025-26</x:v>
      </x:c>
      <x:c r="B644" s="63" t="n">
        <x:v>3353</x:v>
      </x:c>
      <x:c r="C644" s="49" t="str">
        <x:v>Dilkap Research Institute Of Engineering and Management Studies, At.Mamdapur, Post- Neral, Tal- Karjat, Mumbai</x:v>
      </x:c>
      <x:c r="D644" s="72" t="n">
        <x:v>335324610</x:v>
      </x:c>
      <x:c r="E644" s="49" t="str">
        <x:v>Information Technology</x:v>
      </x:c>
      <x:c r="F644" s="73" t="n">
        <x:v>14</x:v>
      </x:c>
      <x:c r="G644" s="73" t="n">
        <x:v>12</x:v>
      </x:c>
      <x:c r="H644" s="73" t="n">
        <x:v>2</x:v>
      </x:c>
      <x:c r="I644" s="73"/>
      <x:c r="J644" s="73" t="n">
        <x:v>0</x:v>
      </x:c>
      <x:c r="K644" s="49" t="str">
        <x:v>Un-Aided</x:v>
      </x:c>
      <x:c r="L644" s="49" t="str">
        <x:v>MS Seats : 12+ EWS : 2</x:v>
      </x:c>
      <x:c r="M644" s="49" t="str">
        <x:v>https://dse2025.mahacet.org.in/dse25/admin/allotment/cap2/3353_4.pdf</x:v>
      </x:c>
    </x:row>
    <x:row r="645">
      <x:c r="A645" s="49" t="str">
        <x:v>2025-26</x:v>
      </x:c>
      <x:c r="B645" s="63" t="n">
        <x:v>3353</x:v>
      </x:c>
      <x:c r="C645" s="49" t="str">
        <x:v>Dilkap Research Institute Of Engineering and Management Studies, At.Mamdapur, Post- Neral, Tal- Karjat, Mumbai</x:v>
      </x:c>
      <x:c r="D645" s="72" t="n">
        <x:v>335329310</x:v>
      </x:c>
      <x:c r="E645" s="49" t="str">
        <x:v>Electrical Engineering</x:v>
      </x:c>
      <x:c r="F645" s="73" t="n">
        <x:v>69</x:v>
      </x:c>
      <x:c r="G645" s="73" t="n">
        <x:v>62</x:v>
      </x:c>
      <x:c r="H645" s="73" t="n">
        <x:v>7</x:v>
      </x:c>
      <x:c r="I645" s="73"/>
      <x:c r="J645" s="73" t="n">
        <x:v>0</x:v>
      </x:c>
      <x:c r="K645" s="49" t="str">
        <x:v>Un-Aided</x:v>
      </x:c>
      <x:c r="L645" s="49" t="str">
        <x:v>MS Seats : 62+ EWS : 7</x:v>
      </x:c>
      <x:c r="M645" s="49" t="str">
        <x:v>https://dse2025.mahacet.org.in/dse25/admin/allotment/cap2/3353_4.pdf</x:v>
      </x:c>
    </x:row>
    <x:row r="646">
      <x:c r="A646" s="49" t="str">
        <x:v>2025-26</x:v>
      </x:c>
      <x:c r="B646" s="63" t="n">
        <x:v>3353</x:v>
      </x:c>
      <x:c r="C646" s="49" t="str">
        <x:v>Dilkap Research Institute Of Engineering and Management Studies, At.Mamdapur, Post- Neral, Tal- Karjat, Mumbai</x:v>
      </x:c>
      <x:c r="D646" s="72" t="n">
        <x:v>335361210</x:v>
      </x:c>
      <x:c r="E646" s="49" t="str">
        <x:v>Mechanical Engineering</x:v>
      </x:c>
      <x:c r="F646" s="73" t="n">
        <x:v>36</x:v>
      </x:c>
      <x:c r="G646" s="73" t="n">
        <x:v>33</x:v>
      </x:c>
      <x:c r="H646" s="73" t="n">
        <x:v>3</x:v>
      </x:c>
      <x:c r="I646" s="73"/>
      <x:c r="J646" s="73" t="n">
        <x:v>0</x:v>
      </x:c>
      <x:c r="K646" s="49" t="str">
        <x:v>Un-Aided</x:v>
      </x:c>
      <x:c r="L646" s="49" t="str">
        <x:v>MS Seats : 33+ EWS : 3</x:v>
      </x:c>
      <x:c r="M646" s="49" t="str">
        <x:v>https://dse2025.mahacet.org.in/dse25/admin/allotment/cap2/3353_4.pdf</x:v>
      </x:c>
    </x:row>
    <x:row r="647">
      <x:c r="A647" s="49" t="str">
        <x:v>2025-26</x:v>
      </x:c>
      <x:c r="B647" s="63" t="n">
        <x:v>3353</x:v>
      </x:c>
      <x:c r="C647" s="49" t="str">
        <x:v>Dilkap Research Institute Of Engineering and Management Studies, At.Mamdapur, Post- Neral, Tal- Karjat, Mumbai</x:v>
      </x:c>
      <x:c r="D647" s="72" t="n">
        <x:v>335392010</x:v>
      </x:c>
      <x:c r="E647" s="49" t="str">
        <x:v>Computer Science and Engineering (Internet of Things and Cyber Security Including Block Chain Technology)</x:v>
      </x:c>
      <x:c r="F647" s="73" t="n">
        <x:v>20</x:v>
      </x:c>
      <x:c r="G647" s="73" t="n">
        <x:v>16</x:v>
      </x:c>
      <x:c r="H647" s="73" t="n">
        <x:v>4</x:v>
      </x:c>
      <x:c r="I647" s="73"/>
      <x:c r="J647" s="73" t="n">
        <x:v>0</x:v>
      </x:c>
      <x:c r="K647" s="49" t="str">
        <x:v>Un-Aided</x:v>
      </x:c>
      <x:c r="L647" s="49" t="str">
        <x:v>MS Seats : 16+ EWS : 4</x:v>
      </x:c>
      <x:c r="M647" s="49" t="str">
        <x:v>https://dse2025.mahacet.org.in/dse25/admin/allotment/cap2/3353_4.pdf</x:v>
      </x:c>
    </x:row>
    <x:row r="648">
      <x:c r="A648" s="49" t="str">
        <x:v>2025-26</x:v>
      </x:c>
      <x:c r="B648" s="63" t="n">
        <x:v>3353</x:v>
      </x:c>
      <x:c r="C648" s="49" t="str">
        <x:v>Dilkap Research Institute Of Engineering and Management Studies, At.Mamdapur, Post- Neral, Tal- Karjat, Mumbai</x:v>
      </x:c>
      <x:c r="D648" s="72" t="n">
        <x:v>335392110</x:v>
      </x:c>
      <x:c r="E648" s="49" t="str">
        <x:v>Artificial Intelligence and Machine Learning</x:v>
      </x:c>
      <x:c r="F648" s="73" t="n">
        <x:v>24</x:v>
      </x:c>
      <x:c r="G648" s="73" t="n">
        <x:v>17</x:v>
      </x:c>
      <x:c r="H648" s="73" t="n">
        <x:v>7</x:v>
      </x:c>
      <x:c r="I648" s="73"/>
      <x:c r="J648" s="73" t="n">
        <x:v>0</x:v>
      </x:c>
      <x:c r="K648" s="49" t="str">
        <x:v>Un-Aided</x:v>
      </x:c>
      <x:c r="L648" s="49" t="str">
        <x:v>MS Seats : 17+ EWS : 7</x:v>
      </x:c>
      <x:c r="M648" s="49" t="str">
        <x:v>https://dse2025.mahacet.org.in/dse25/admin/allotment/cap2/3353_4.pdf</x:v>
      </x:c>
    </x:row>
    <x:row r="649">
      <x:c r="A649" s="49" t="str">
        <x:v>2025-26</x:v>
      </x:c>
      <x:c r="B649" s="63" t="n">
        <x:v>3423</x:v>
      </x:c>
      <x:c r="C649" s="49" t="str">
        <x:v>Shree L.R. Tiwari College of Engineering, Mira Road, Mumbai</x:v>
      </x:c>
      <x:c r="D649" s="72" t="n">
        <x:v>342319110</x:v>
      </x:c>
      <x:c r="E649" s="49" t="str">
        <x:v>Civil Engineering</x:v>
      </x:c>
      <x:c r="F649" s="73" t="n">
        <x:v>19</x:v>
      </x:c>
      <x:c r="G649" s="73" t="n">
        <x:v>9</x:v>
      </x:c>
      <x:c r="H649" s="73"/>
      <x:c r="I649" s="73" t="n">
        <x:v>10</x:v>
      </x:c>
      <x:c r="J649" s="73" t="n">
        <x:v>0</x:v>
      </x:c>
      <x:c r="K649" s="49" t="str">
        <x:v>Un-Aided Linguistic Minority - Hindi</x:v>
      </x:c>
      <x:c r="L649" s="49" t="str">
        <x:v>MS Seats : 9 + Minority Seats : 10</x:v>
      </x:c>
      <x:c r="M649" s="49" t="str">
        <x:v>https://dse2025.mahacet.org.in/dse25/admin/allotment/cap2/3423_4.pdf</x:v>
      </x:c>
    </x:row>
    <x:row r="650">
      <x:c r="A650" s="49" t="str">
        <x:v>2025-26</x:v>
      </x:c>
      <x:c r="B650" s="63" t="n">
        <x:v>3423</x:v>
      </x:c>
      <x:c r="C650" s="49" t="str">
        <x:v>Shree L.R. Tiwari College of Engineering, Mira Road, Mumbai</x:v>
      </x:c>
      <x:c r="D650" s="72" t="n">
        <x:v>342324510</x:v>
      </x:c>
      <x:c r="E650" s="49" t="str">
        <x:v>Computer Engineering</x:v>
      </x:c>
      <x:c r="F650" s="73" t="n">
        <x:v>20</x:v>
      </x:c>
      <x:c r="G650" s="73" t="n">
        <x:v>9</x:v>
      </x:c>
      <x:c r="H650" s="73"/>
      <x:c r="I650" s="73" t="n">
        <x:v>11</x:v>
      </x:c>
      <x:c r="J650" s="73" t="n">
        <x:v>0</x:v>
      </x:c>
      <x:c r="K650" s="49" t="str">
        <x:v>Un-Aided Linguistic Minority - Hindi</x:v>
      </x:c>
      <x:c r="L650" s="49" t="str">
        <x:v>MS Seats : 9 + Minority Seats : 11</x:v>
      </x:c>
      <x:c r="M650" s="49" t="str">
        <x:v>https://dse2025.mahacet.org.in/dse25/admin/allotment/cap2/3423_4.pdf</x:v>
      </x:c>
    </x:row>
    <x:row r="651">
      <x:c r="A651" s="49" t="str">
        <x:v>2025-26</x:v>
      </x:c>
      <x:c r="B651" s="63" t="n">
        <x:v>3423</x:v>
      </x:c>
      <x:c r="C651" s="49" t="str">
        <x:v>Shree L.R. Tiwari College of Engineering, Mira Road, Mumbai</x:v>
      </x:c>
      <x:c r="D651" s="72" t="n">
        <x:v>342324610</x:v>
      </x:c>
      <x:c r="E651" s="49" t="str">
        <x:v>Information Technology</x:v>
      </x:c>
      <x:c r="F651" s="73" t="n">
        <x:v>19</x:v>
      </x:c>
      <x:c r="G651" s="73" t="n">
        <x:v>9</x:v>
      </x:c>
      <x:c r="H651" s="73"/>
      <x:c r="I651" s="73" t="n">
        <x:v>10</x:v>
      </x:c>
      <x:c r="J651" s="73" t="n">
        <x:v>0</x:v>
      </x:c>
      <x:c r="K651" s="49" t="str">
        <x:v>Un-Aided Linguistic Minority - Hindi</x:v>
      </x:c>
      <x:c r="L651" s="49" t="str">
        <x:v>MS Seats : 9 + Minority Seats : 10</x:v>
      </x:c>
      <x:c r="M651" s="49" t="str">
        <x:v>https://dse2025.mahacet.org.in/dse25/admin/allotment/cap2/3423_4.pdf</x:v>
      </x:c>
    </x:row>
    <x:row r="652">
      <x:c r="A652" s="49" t="str">
        <x:v>2025-26</x:v>
      </x:c>
      <x:c r="B652" s="63" t="n">
        <x:v>3423</x:v>
      </x:c>
      <x:c r="C652" s="49" t="str">
        <x:v>Shree L.R. Tiwari College of Engineering, Mira Road, Mumbai</x:v>
      </x:c>
      <x:c r="D652" s="72" t="n">
        <x:v>342337210</x:v>
      </x:c>
      <x:c r="E652" s="49" t="str">
        <x:v>Electronics and Telecommunication Engg</x:v>
      </x:c>
      <x:c r="F652" s="73" t="n">
        <x:v>7</x:v>
      </x:c>
      <x:c r="G652" s="73" t="n">
        <x:v>2</x:v>
      </x:c>
      <x:c r="H652" s="73"/>
      <x:c r="I652" s="73" t="n">
        <x:v>5</x:v>
      </x:c>
      <x:c r="J652" s="73" t="n">
        <x:v>0</x:v>
      </x:c>
      <x:c r="K652" s="49" t="str">
        <x:v>Un-Aided Linguistic Minority - Hindi</x:v>
      </x:c>
      <x:c r="L652" s="49" t="str">
        <x:v>MS Seats : 2 + Minority Seats : 5</x:v>
      </x:c>
      <x:c r="M652" s="49" t="str">
        <x:v>https://dse2025.mahacet.org.in/dse25/admin/allotment/cap2/3423_4.pdf</x:v>
      </x:c>
    </x:row>
    <x:row r="653">
      <x:c r="A653" s="49" t="str">
        <x:v>2025-26</x:v>
      </x:c>
      <x:c r="B653" s="63" t="n">
        <x:v>3423</x:v>
      </x:c>
      <x:c r="C653" s="49" t="str">
        <x:v>Shree L.R. Tiwari College of Engineering, Mira Road, Mumbai</x:v>
      </x:c>
      <x:c r="D653" s="72" t="n">
        <x:v>342361210</x:v>
      </x:c>
      <x:c r="E653" s="49" t="str">
        <x:v>Mechanical Engineering</x:v>
      </x:c>
      <x:c r="F653" s="73" t="n">
        <x:v>16</x:v>
      </x:c>
      <x:c r="G653" s="73" t="n">
        <x:v>7</x:v>
      </x:c>
      <x:c r="H653" s="73"/>
      <x:c r="I653" s="73" t="n">
        <x:v>9</x:v>
      </x:c>
      <x:c r="J653" s="73" t="n">
        <x:v>0</x:v>
      </x:c>
      <x:c r="K653" s="49" t="str">
        <x:v>Un-Aided Linguistic Minority - Hindi</x:v>
      </x:c>
      <x:c r="L653" s="49" t="str">
        <x:v>MS Seats : 7 + Minority Seats : 9</x:v>
      </x:c>
      <x:c r="M653" s="49" t="str">
        <x:v>https://dse2025.mahacet.org.in/dse25/admin/allotment/cap2/3423_4.pdf</x:v>
      </x:c>
    </x:row>
    <x:row r="654">
      <x:c r="A654" s="49" t="str">
        <x:v>2025-26</x:v>
      </x:c>
      <x:c r="B654" s="63" t="n">
        <x:v>3423</x:v>
      </x:c>
      <x:c r="C654" s="49" t="str">
        <x:v>Shree L.R. Tiwari College of Engineering, Mira Road, Mumbai</x:v>
      </x:c>
      <x:c r="D654" s="72" t="n">
        <x:v>342390010</x:v>
      </x:c>
      <x:c r="E654" s="49" t="str">
        <x:v>Electronics and Computer Science</x:v>
      </x:c>
      <x:c r="F654" s="73" t="n">
        <x:v>8</x:v>
      </x:c>
      <x:c r="G654" s="73" t="n">
        <x:v>3</x:v>
      </x:c>
      <x:c r="H654" s="73"/>
      <x:c r="I654" s="73" t="n">
        <x:v>5</x:v>
      </x:c>
      <x:c r="J654" s="73" t="n">
        <x:v>0</x:v>
      </x:c>
      <x:c r="K654" s="49" t="str">
        <x:v>Un-Aided Linguistic Minority - Hindi</x:v>
      </x:c>
      <x:c r="L654" s="49" t="str">
        <x:v>MS Seats : 3 + Minority Seats : 5</x:v>
      </x:c>
      <x:c r="M654" s="49" t="str">
        <x:v>https://dse2025.mahacet.org.in/dse25/admin/allotment/cap2/3423_4.pdf</x:v>
      </x:c>
    </x:row>
    <x:row r="655">
      <x:c r="A655" s="49" t="str">
        <x:v>2025-26</x:v>
      </x:c>
      <x:c r="B655" s="63" t="n">
        <x:v>3436</x:v>
      </x:c>
      <x:c r="C655" s="49" t="str">
        <x:v>B.R. Harne College of Engineering &amp; Technology, Karav, Tal-Ambernath.</x:v>
      </x:c>
      <x:c r="D655" s="72" t="n">
        <x:v>343619110</x:v>
      </x:c>
      <x:c r="E655" s="49" t="str">
        <x:v>Civil Engineering</x:v>
      </x:c>
      <x:c r="F655" s="73" t="n">
        <x:v>35</x:v>
      </x:c>
      <x:c r="G655" s="73" t="n">
        <x:v>31</x:v>
      </x:c>
      <x:c r="H655" s="73" t="n">
        <x:v>4</x:v>
      </x:c>
      <x:c r="I655" s="73"/>
      <x:c r="J655" s="73" t="n">
        <x:v>0</x:v>
      </x:c>
      <x:c r="K655" s="49" t="str">
        <x:v>Un-Aided</x:v>
      </x:c>
      <x:c r="L655" s="49" t="str">
        <x:v>MS Seats : 31+ EWS : 4</x:v>
      </x:c>
      <x:c r="M655" s="49" t="str">
        <x:v>https://dse2025.mahacet.org.in/dse25/admin/allotment/cap2/3436_4.pdf</x:v>
      </x:c>
    </x:row>
    <x:row r="656">
      <x:c r="A656" s="49" t="str">
        <x:v>2025-26</x:v>
      </x:c>
      <x:c r="B656" s="63" t="n">
        <x:v>3436</x:v>
      </x:c>
      <x:c r="C656" s="49" t="str">
        <x:v>B.R. Harne College of Engineering &amp; Technology, Karav, Tal-Ambernath.</x:v>
      </x:c>
      <x:c r="D656" s="72" t="n">
        <x:v>343624510</x:v>
      </x:c>
      <x:c r="E656" s="49" t="str">
        <x:v>Computer Engineering</x:v>
      </x:c>
      <x:c r="F656" s="73" t="n">
        <x:v>64</x:v>
      </x:c>
      <x:c r="G656" s="73" t="n">
        <x:v>54</x:v>
      </x:c>
      <x:c r="H656" s="73" t="n">
        <x:v>10</x:v>
      </x:c>
      <x:c r="I656" s="73"/>
      <x:c r="J656" s="73" t="n">
        <x:v>0</x:v>
      </x:c>
      <x:c r="K656" s="49" t="str">
        <x:v>Un-Aided</x:v>
      </x:c>
      <x:c r="L656" s="49" t="str">
        <x:v>MS Seats : 54+ EWS : 10</x:v>
      </x:c>
      <x:c r="M656" s="49" t="str">
        <x:v>https://dse2025.mahacet.org.in/dse25/admin/allotment/cap2/3436_4.pdf</x:v>
      </x:c>
    </x:row>
    <x:row r="657">
      <x:c r="A657" s="49" t="str">
        <x:v>2025-26</x:v>
      </x:c>
      <x:c r="B657" s="63" t="n">
        <x:v>3436</x:v>
      </x:c>
      <x:c r="C657" s="49" t="str">
        <x:v>B.R. Harne College of Engineering &amp; Technology, Karav, Tal-Ambernath.</x:v>
      </x:c>
      <x:c r="D657" s="72" t="n">
        <x:v>343624610</x:v>
      </x:c>
      <x:c r="E657" s="49" t="str">
        <x:v>Information Technology</x:v>
      </x:c>
      <x:c r="F657" s="73" t="n">
        <x:v>39</x:v>
      </x:c>
      <x:c r="G657" s="73" t="n">
        <x:v>32</x:v>
      </x:c>
      <x:c r="H657" s="73" t="n">
        <x:v>7</x:v>
      </x:c>
      <x:c r="I657" s="73"/>
      <x:c r="J657" s="73" t="n">
        <x:v>0</x:v>
      </x:c>
      <x:c r="K657" s="49" t="str">
        <x:v>Un-Aided</x:v>
      </x:c>
      <x:c r="L657" s="49" t="str">
        <x:v>MS Seats : 32+ EWS : 7</x:v>
      </x:c>
      <x:c r="M657" s="49" t="str">
        <x:v>https://dse2025.mahacet.org.in/dse25/admin/allotment/cap2/3436_4.pdf</x:v>
      </x:c>
    </x:row>
    <x:row r="658">
      <x:c r="A658" s="49" t="str">
        <x:v>2025-26</x:v>
      </x:c>
      <x:c r="B658" s="63" t="n">
        <x:v>3436</x:v>
      </x:c>
      <x:c r="C658" s="49" t="str">
        <x:v>B.R. Harne College of Engineering &amp; Technology, Karav, Tal-Ambernath.</x:v>
      </x:c>
      <x:c r="D658" s="72" t="n">
        <x:v>343629310</x:v>
      </x:c>
      <x:c r="E658" s="49" t="str">
        <x:v>Electrical Engineering</x:v>
      </x:c>
      <x:c r="F658" s="73" t="n">
        <x:v>36</x:v>
      </x:c>
      <x:c r="G658" s="73" t="n">
        <x:v>33</x:v>
      </x:c>
      <x:c r="H658" s="73" t="n">
        <x:v>3</x:v>
      </x:c>
      <x:c r="I658" s="73"/>
      <x:c r="J658" s="73" t="n">
        <x:v>0</x:v>
      </x:c>
      <x:c r="K658" s="49" t="str">
        <x:v>Un-Aided</x:v>
      </x:c>
      <x:c r="L658" s="49" t="str">
        <x:v>MS Seats : 33+ EWS : 3</x:v>
      </x:c>
      <x:c r="M658" s="49" t="str">
        <x:v>https://dse2025.mahacet.org.in/dse25/admin/allotment/cap2/3436_4.pdf</x:v>
      </x:c>
    </x:row>
    <x:row r="659">
      <x:c r="A659" s="49" t="str">
        <x:v>2025-26</x:v>
      </x:c>
      <x:c r="B659" s="63" t="n">
        <x:v>3436</x:v>
      </x:c>
      <x:c r="C659" s="49" t="str">
        <x:v>B.R. Harne College of Engineering &amp; Technology, Karav, Tal-Ambernath.</x:v>
      </x:c>
      <x:c r="D659" s="72" t="n">
        <x:v>343661210</x:v>
      </x:c>
      <x:c r="E659" s="49" t="str">
        <x:v>Mechanical Engineering</x:v>
      </x:c>
      <x:c r="F659" s="73" t="n">
        <x:v>37</x:v>
      </x:c>
      <x:c r="G659" s="73" t="n">
        <x:v>34</x:v>
      </x:c>
      <x:c r="H659" s="73" t="n">
        <x:v>3</x:v>
      </x:c>
      <x:c r="I659" s="73"/>
      <x:c r="J659" s="73" t="n">
        <x:v>0</x:v>
      </x:c>
      <x:c r="K659" s="49" t="str">
        <x:v>Un-Aided</x:v>
      </x:c>
      <x:c r="L659" s="49" t="str">
        <x:v>MS Seats : 34+ EWS : 3</x:v>
      </x:c>
      <x:c r="M659" s="49" t="str">
        <x:v>https://dse2025.mahacet.org.in/dse25/admin/allotment/cap2/3436_4.pdf</x:v>
      </x:c>
    </x:row>
    <x:row r="660">
      <x:c r="A660" s="49" t="str">
        <x:v>2025-26</x:v>
      </x:c>
      <x:c r="B660" s="63" t="n">
        <x:v>3436</x:v>
      </x:c>
      <x:c r="C660" s="49" t="str">
        <x:v>B.R. Harne College of Engineering &amp; Technology, Karav, Tal-Ambernath.</x:v>
      </x:c>
      <x:c r="D660" s="72" t="n">
        <x:v>343690010</x:v>
      </x:c>
      <x:c r="E660" s="49" t="str">
        <x:v>Electronics and Computer Science</x:v>
      </x:c>
      <x:c r="F660" s="73" t="n">
        <x:v>27</x:v>
      </x:c>
      <x:c r="G660" s="73" t="n">
        <x:v>23</x:v>
      </x:c>
      <x:c r="H660" s="73" t="n">
        <x:v>4</x:v>
      </x:c>
      <x:c r="I660" s="73"/>
      <x:c r="J660" s="73" t="n">
        <x:v>0</x:v>
      </x:c>
      <x:c r="K660" s="49" t="str">
        <x:v>Un-Aided</x:v>
      </x:c>
      <x:c r="L660" s="49" t="str">
        <x:v>MS Seats : 23+ EWS : 4</x:v>
      </x:c>
      <x:c r="M660" s="49" t="str">
        <x:v>https://dse2025.mahacet.org.in/dse25/admin/allotment/cap2/3436_4.pdf</x:v>
      </x:c>
    </x:row>
    <x:row r="661">
      <x:c r="A661" s="49" t="str">
        <x:v>2025-26</x:v>
      </x:c>
      <x:c r="B661" s="63" t="n">
        <x:v>3436</x:v>
      </x:c>
      <x:c r="C661" s="49" t="str">
        <x:v>B.R. Harne College of Engineering &amp; Technology, Karav, Tal-Ambernath.</x:v>
      </x:c>
      <x:c r="D661" s="72" t="n">
        <x:v>343691110</x:v>
      </x:c>
      <x:c r="E661" s="49" t="str">
        <x:v>Computer Science and Engineering(Artificial Intelligence and Machine Learning)</x:v>
      </x:c>
      <x:c r="F661" s="73" t="n">
        <x:v>43</x:v>
      </x:c>
      <x:c r="G661" s="73" t="n">
        <x:v>36</x:v>
      </x:c>
      <x:c r="H661" s="73" t="n">
        <x:v>7</x:v>
      </x:c>
      <x:c r="I661" s="73"/>
      <x:c r="J661" s="73" t="n">
        <x:v>0</x:v>
      </x:c>
      <x:c r="K661" s="49" t="str">
        <x:v>Un-Aided</x:v>
      </x:c>
      <x:c r="L661" s="49" t="str">
        <x:v>MS Seats : 36+ EWS : 7</x:v>
      </x:c>
      <x:c r="M661" s="49" t="str">
        <x:v>https://dse2025.mahacet.org.in/dse25/admin/allotment/cap2/3436_4.pdf</x:v>
      </x:c>
    </x:row>
    <x:row r="662">
      <x:c r="A662" s="49" t="str">
        <x:v>2025-26</x:v>
      </x:c>
      <x:c r="B662" s="63" t="n">
        <x:v>3439</x:v>
      </x:c>
      <x:c r="C662" s="49" t="str">
        <x:v>Anjuman-I-Islam's Kalsekar Technical Campus, Panvel</x:v>
      </x:c>
      <x:c r="D662" s="72" t="n">
        <x:v>343919110</x:v>
      </x:c>
      <x:c r="E662" s="49" t="str">
        <x:v>Civil Engineering</x:v>
      </x:c>
      <x:c r="F662" s="73" t="n">
        <x:v>46</x:v>
      </x:c>
      <x:c r="G662" s="73" t="n">
        <x:v>22</x:v>
      </x:c>
      <x:c r="H662" s="73"/>
      <x:c r="I662" s="73" t="n">
        <x:v>24</x:v>
      </x:c>
      <x:c r="J662" s="73" t="n">
        <x:v>0</x:v>
      </x:c>
      <x:c r="K662" s="49" t="str">
        <x:v>Un-Aided Religious Minority - Muslim</x:v>
      </x:c>
      <x:c r="L662" s="49" t="str">
        <x:v>MS Seats : 22 + Minority Seats : 24</x:v>
      </x:c>
      <x:c r="M662" s="49" t="str">
        <x:v>https://dse2025.mahacet.org.in/dse25/admin/allotment/cap2/3439_4.pdf</x:v>
      </x:c>
    </x:row>
    <x:row r="663">
      <x:c r="A663" s="49" t="str">
        <x:v>2025-26</x:v>
      </x:c>
      <x:c r="B663" s="63" t="n">
        <x:v>3439</x:v>
      </x:c>
      <x:c r="C663" s="49" t="str">
        <x:v>Anjuman-I-Islam's Kalsekar Technical Campus, Panvel</x:v>
      </x:c>
      <x:c r="D663" s="72" t="n">
        <x:v>343924510</x:v>
      </x:c>
      <x:c r="E663" s="49" t="str">
        <x:v>Computer Engineering</x:v>
      </x:c>
      <x:c r="F663" s="73" t="n">
        <x:v>13</x:v>
      </x:c>
      <x:c r="G663" s="73" t="n">
        <x:v>2</x:v>
      </x:c>
      <x:c r="H663" s="73"/>
      <x:c r="I663" s="73" t="n">
        <x:v>11</x:v>
      </x:c>
      <x:c r="J663" s="73" t="n">
        <x:v>0</x:v>
      </x:c>
      <x:c r="K663" s="49" t="str">
        <x:v>Un-Aided Religious Minority - Muslim</x:v>
      </x:c>
      <x:c r="L663" s="49" t="str">
        <x:v>MS Seats : 2 + Minority Seats : 11</x:v>
      </x:c>
      <x:c r="M663" s="49" t="str">
        <x:v>https://dse2025.mahacet.org.in/dse25/admin/allotment/cap2/3439_4.pdf</x:v>
      </x:c>
    </x:row>
    <x:row r="664">
      <x:c r="A664" s="49" t="str">
        <x:v>2025-26</x:v>
      </x:c>
      <x:c r="B664" s="63" t="n">
        <x:v>3439</x:v>
      </x:c>
      <x:c r="C664" s="49" t="str">
        <x:v>Anjuman-I-Islam's Kalsekar Technical Campus, Panvel</x:v>
      </x:c>
      <x:c r="D664" s="72" t="n">
        <x:v>343961210</x:v>
      </x:c>
      <x:c r="E664" s="49" t="str">
        <x:v>Mechanical Engineering</x:v>
      </x:c>
      <x:c r="F664" s="73" t="n">
        <x:v>19</x:v>
      </x:c>
      <x:c r="G664" s="73" t="n">
        <x:v>5</x:v>
      </x:c>
      <x:c r="H664" s="73"/>
      <x:c r="I664" s="73" t="n">
        <x:v>14</x:v>
      </x:c>
      <x:c r="J664" s="73" t="n">
        <x:v>0</x:v>
      </x:c>
      <x:c r="K664" s="49" t="str">
        <x:v>Un-Aided Religious Minority - Muslim</x:v>
      </x:c>
      <x:c r="L664" s="49" t="str">
        <x:v>MS Seats : 5 + Minority Seats : 14</x:v>
      </x:c>
      <x:c r="M664" s="49" t="str">
        <x:v>https://dse2025.mahacet.org.in/dse25/admin/allotment/cap2/3439_4.pdf</x:v>
      </x:c>
    </x:row>
    <x:row r="665">
      <x:c r="A665" s="49" t="str">
        <x:v>2025-26</x:v>
      </x:c>
      <x:c r="B665" s="63" t="n">
        <x:v>3439</x:v>
      </x:c>
      <x:c r="C665" s="49" t="str">
        <x:v>Anjuman-I-Islam's Kalsekar Technical Campus, Panvel</x:v>
      </x:c>
      <x:c r="D665" s="72" t="n">
        <x:v>343990010</x:v>
      </x:c>
      <x:c r="E665" s="49" t="str">
        <x:v>Electronics and Computer Science</x:v>
      </x:c>
      <x:c r="F665" s="73" t="n">
        <x:v>7</x:v>
      </x:c>
      <x:c r="G665" s="73" t="n">
        <x:v>2</x:v>
      </x:c>
      <x:c r="H665" s="73"/>
      <x:c r="I665" s="73" t="n">
        <x:v>5</x:v>
      </x:c>
      <x:c r="J665" s="73" t="n">
        <x:v>0</x:v>
      </x:c>
      <x:c r="K665" s="49" t="str">
        <x:v>Un-Aided Religious Minority - Muslim</x:v>
      </x:c>
      <x:c r="L665" s="49" t="str">
        <x:v>MS Seats : 2 + Minority Seats : 5</x:v>
      </x:c>
      <x:c r="M665" s="49" t="str">
        <x:v>https://dse2025.mahacet.org.in/dse25/admin/allotment/cap2/3439_4.pdf</x:v>
      </x:c>
    </x:row>
    <x:row r="666">
      <x:c r="A666" s="49" t="str">
        <x:v>2025-26</x:v>
      </x:c>
      <x:c r="B666" s="63" t="n">
        <x:v>3439</x:v>
      </x:c>
      <x:c r="C666" s="49" t="str">
        <x:v>Anjuman-I-Islam's Kalsekar Technical Campus, Panvel</x:v>
      </x:c>
      <x:c r="D666" s="72" t="n">
        <x:v>343991110</x:v>
      </x:c>
      <x:c r="E666" s="49" t="str">
        <x:v>Computer Science and Engineering(Artificial Intelligence and Machine Learning)</x:v>
      </x:c>
      <x:c r="F666" s="73" t="n">
        <x:v>6</x:v>
      </x:c>
      <x:c r="G666" s="73" t="n">
        <x:v>1</x:v>
      </x:c>
      <x:c r="H666" s="73"/>
      <x:c r="I666" s="73" t="n">
        <x:v>5</x:v>
      </x:c>
      <x:c r="J666" s="73" t="n">
        <x:v>0</x:v>
      </x:c>
      <x:c r="K666" s="49" t="str">
        <x:v>Un-Aided Religious Minority - Muslim</x:v>
      </x:c>
      <x:c r="L666" s="49" t="str">
        <x:v>MS Seats : 1 + Minority Seats : 5</x:v>
      </x:c>
      <x:c r="M666" s="49" t="str">
        <x:v>https://dse2025.mahacet.org.in/dse25/admin/allotment/cap2/3439_4.pdf</x:v>
      </x:c>
    </x:row>
    <x:row r="667">
      <x:c r="A667" s="49" t="str">
        <x:v>2025-26</x:v>
      </x:c>
      <x:c r="B667" s="63" t="n">
        <x:v>3439</x:v>
      </x:c>
      <x:c r="C667" s="49" t="str">
        <x:v>Anjuman-I-Islam's Kalsekar Technical Campus, Panvel</x:v>
      </x:c>
      <x:c r="D667" s="72" t="n">
        <x:v>343991210</x:v>
      </x:c>
      <x:c r="E667" s="49" t="str">
        <x:v>Computer Science and Engineering(Data Science)</x:v>
      </x:c>
      <x:c r="F667" s="73" t="n">
        <x:v>6</x:v>
      </x:c>
      <x:c r="G667" s="73" t="n">
        <x:v>1</x:v>
      </x:c>
      <x:c r="H667" s="73"/>
      <x:c r="I667" s="73" t="n">
        <x:v>5</x:v>
      </x:c>
      <x:c r="J667" s="73" t="n">
        <x:v>0</x:v>
      </x:c>
      <x:c r="K667" s="49" t="str">
        <x:v>Un-Aided Religious Minority - Muslim</x:v>
      </x:c>
      <x:c r="L667" s="49" t="str">
        <x:v>MS Seats : 1 + Minority Seats : 5</x:v>
      </x:c>
      <x:c r="M667" s="49" t="str">
        <x:v>https://dse2025.mahacet.org.in/dse25/admin/allotment/cap2/3439_4.pdf</x:v>
      </x:c>
    </x:row>
    <x:row r="668">
      <x:c r="A668" s="49" t="str">
        <x:v>2025-26</x:v>
      </x:c>
      <x:c r="B668" s="63" t="n">
        <x:v>3439</x:v>
      </x:c>
      <x:c r="C668" s="49" t="str">
        <x:v>Anjuman-I-Islam's Kalsekar Technical Campus, Panvel</x:v>
      </x:c>
      <x:c r="D668" s="72" t="n">
        <x:v>343992610</x:v>
      </x:c>
      <x:c r="E668" s="49" t="str">
        <x:v>Electrical and Computer Engineering</x:v>
      </x:c>
      <x:c r="F668" s="73" t="n">
        <x:v>17</x:v>
      </x:c>
      <x:c r="G668" s="73" t="n">
        <x:v>5</x:v>
      </x:c>
      <x:c r="H668" s="73"/>
      <x:c r="I668" s="73" t="n">
        <x:v>12</x:v>
      </x:c>
      <x:c r="J668" s="73" t="n">
        <x:v>0</x:v>
      </x:c>
      <x:c r="K668" s="49" t="str">
        <x:v>Un-Aided Religious Minority - Muslim</x:v>
      </x:c>
      <x:c r="L668" s="49" t="str">
        <x:v>MS Seats : 5 + Minority Seats : 12</x:v>
      </x:c>
      <x:c r="M668" s="49" t="str">
        <x:v>https://dse2025.mahacet.org.in/dse25/admin/allotment/cap2/3439_4.pdf</x:v>
      </x:c>
    </x:row>
    <x:row r="669">
      <x:c r="A669" s="49" t="str">
        <x:v>2025-26</x:v>
      </x:c>
      <x:c r="B669" s="63" t="n">
        <x:v>3440</x:v>
      </x:c>
      <x:c r="C669" s="49" t="str">
        <x:v>Metropolitan Institute of Technology &amp; Management, Sukhalwad, Sindhudurg.</x:v>
      </x:c>
      <x:c r="D669" s="72" t="n">
        <x:v>344019110</x:v>
      </x:c>
      <x:c r="E669" s="49" t="str">
        <x:v>Civil Engineering</x:v>
      </x:c>
      <x:c r="F669" s="73" t="n">
        <x:v>102</x:v>
      </x:c>
      <x:c r="G669" s="73" t="n">
        <x:v>92</x:v>
      </x:c>
      <x:c r="H669" s="73" t="n">
        <x:v>10</x:v>
      </x:c>
      <x:c r="I669" s="73"/>
      <x:c r="J669" s="73" t="n">
        <x:v>0</x:v>
      </x:c>
      <x:c r="K669" s="49" t="str">
        <x:v>Un-Aided</x:v>
      </x:c>
      <x:c r="L669" s="49" t="str">
        <x:v>MS Seats : 92+ EWS : 10</x:v>
      </x:c>
      <x:c r="M669" s="49" t="str">
        <x:v>https://dse2025.mahacet.org.in/dse25/admin/allotment/cap2/3440_4.pdf</x:v>
      </x:c>
    </x:row>
    <x:row r="670">
      <x:c r="A670" s="49" t="str">
        <x:v>2025-26</x:v>
      </x:c>
      <x:c r="B670" s="63" t="n">
        <x:v>3440</x:v>
      </x:c>
      <x:c r="C670" s="49" t="str">
        <x:v>Metropolitan Institute of Technology &amp; Management, Sukhalwad, Sindhudurg.</x:v>
      </x:c>
      <x:c r="D670" s="72" t="n">
        <x:v>344024510</x:v>
      </x:c>
      <x:c r="E670" s="49" t="str">
        <x:v>Computer Engineering</x:v>
      </x:c>
      <x:c r="F670" s="73" t="n">
        <x:v>21</x:v>
      </x:c>
      <x:c r="G670" s="73" t="n">
        <x:v>15</x:v>
      </x:c>
      <x:c r="H670" s="73" t="n">
        <x:v>6</x:v>
      </x:c>
      <x:c r="I670" s="73"/>
      <x:c r="J670" s="73" t="n">
        <x:v>0</x:v>
      </x:c>
      <x:c r="K670" s="49" t="str">
        <x:v>Un-Aided</x:v>
      </x:c>
      <x:c r="L670" s="49" t="str">
        <x:v>MS Seats : 15+ EWS : 6</x:v>
      </x:c>
      <x:c r="M670" s="49" t="str">
        <x:v>https://dse2025.mahacet.org.in/dse25/admin/allotment/cap2/3440_4.pdf</x:v>
      </x:c>
    </x:row>
    <x:row r="671">
      <x:c r="A671" s="49" t="str">
        <x:v>2025-26</x:v>
      </x:c>
      <x:c r="B671" s="63" t="n">
        <x:v>3440</x:v>
      </x:c>
      <x:c r="C671" s="49" t="str">
        <x:v>Metropolitan Institute of Technology &amp; Management, Sukhalwad, Sindhudurg.</x:v>
      </x:c>
      <x:c r="D671" s="72" t="n">
        <x:v>344037210</x:v>
      </x:c>
      <x:c r="E671" s="49" t="str">
        <x:v>Electronics and Telecommunication Engg</x:v>
      </x:c>
      <x:c r="F671" s="73" t="n">
        <x:v>55</x:v>
      </x:c>
      <x:c r="G671" s="73" t="n">
        <x:v>49</x:v>
      </x:c>
      <x:c r="H671" s="73" t="n">
        <x:v>6</x:v>
      </x:c>
      <x:c r="I671" s="73"/>
      <x:c r="J671" s="73" t="n">
        <x:v>0</x:v>
      </x:c>
      <x:c r="K671" s="49" t="str">
        <x:v>Un-Aided</x:v>
      </x:c>
      <x:c r="L671" s="49" t="str">
        <x:v>MS Seats : 49+ EWS : 6</x:v>
      </x:c>
      <x:c r="M671" s="49" t="str">
        <x:v>https://dse2025.mahacet.org.in/dse25/admin/allotment/cap2/3440_4.pdf</x:v>
      </x:c>
    </x:row>
    <x:row r="672">
      <x:c r="A672" s="49" t="str">
        <x:v>2025-26</x:v>
      </x:c>
      <x:c r="B672" s="63" t="n">
        <x:v>3440</x:v>
      </x:c>
      <x:c r="C672" s="49" t="str">
        <x:v>Metropolitan Institute of Technology &amp; Management, Sukhalwad, Sindhudurg.</x:v>
      </x:c>
      <x:c r="D672" s="72" t="n">
        <x:v>344061210</x:v>
      </x:c>
      <x:c r="E672" s="49" t="str">
        <x:v>Mechanical Engineering</x:v>
      </x:c>
      <x:c r="F672" s="73" t="n">
        <x:v>110</x:v>
      </x:c>
      <x:c r="G672" s="73" t="n">
        <x:v>100</x:v>
      </x:c>
      <x:c r="H672" s="73" t="n">
        <x:v>10</x:v>
      </x:c>
      <x:c r="I672" s="73"/>
      <x:c r="J672" s="73" t="n">
        <x:v>0</x:v>
      </x:c>
      <x:c r="K672" s="49" t="str">
        <x:v>Un-Aided</x:v>
      </x:c>
      <x:c r="L672" s="49" t="str">
        <x:v>MS Seats : 100+ EWS : 10</x:v>
      </x:c>
      <x:c r="M672" s="49" t="str">
        <x:v>https://dse2025.mahacet.org.in/dse25/admin/allotment/cap2/3440_4.pdf</x:v>
      </x:c>
    </x:row>
    <x:row r="673">
      <x:c r="A673" s="49" t="str">
        <x:v>2025-26</x:v>
      </x:c>
      <x:c r="B673" s="63" t="n">
        <x:v>3445</x:v>
      </x:c>
      <x:c r="C673" s="49" t="str">
        <x:v>Vishwatmak Jangli Maharaj Ashram Trust (Kokamthan), Atma Malik Institute Of Technology &amp; Research</x:v>
      </x:c>
      <x:c r="D673" s="72" t="n">
        <x:v>344519110</x:v>
      </x:c>
      <x:c r="E673" s="49" t="str">
        <x:v>Civil Engineering</x:v>
      </x:c>
      <x:c r="F673" s="73" t="n">
        <x:v>33</x:v>
      </x:c>
      <x:c r="G673" s="73" t="n">
        <x:v>29</x:v>
      </x:c>
      <x:c r="H673" s="73" t="n">
        <x:v>4</x:v>
      </x:c>
      <x:c r="I673" s="73"/>
      <x:c r="J673" s="73" t="n">
        <x:v>0</x:v>
      </x:c>
      <x:c r="K673" s="49" t="str">
        <x:v>Un-Aided</x:v>
      </x:c>
      <x:c r="L673" s="49" t="str">
        <x:v>MS Seats : 29+ EWS : 4</x:v>
      </x:c>
      <x:c r="M673" s="49" t="str">
        <x:v>https://dse2025.mahacet.org.in/dse25/admin/allotment/cap2/3445_4.pdf</x:v>
      </x:c>
    </x:row>
    <x:row r="674">
      <x:c r="A674" s="49" t="str">
        <x:v>2025-26</x:v>
      </x:c>
      <x:c r="B674" s="63" t="n">
        <x:v>3445</x:v>
      </x:c>
      <x:c r="C674" s="49" t="str">
        <x:v>Vishwatmak Jangli Maharaj Ashram Trust (Kokamthan), Atma Malik Institute Of Technology &amp; Research</x:v>
      </x:c>
      <x:c r="D674" s="72" t="n">
        <x:v>344524510</x:v>
      </x:c>
      <x:c r="E674" s="49" t="str">
        <x:v>Computer Engineering</x:v>
      </x:c>
      <x:c r="F674" s="73" t="n">
        <x:v>40</x:v>
      </x:c>
      <x:c r="G674" s="73" t="n">
        <x:v>34</x:v>
      </x:c>
      <x:c r="H674" s="73" t="n">
        <x:v>6</x:v>
      </x:c>
      <x:c r="I674" s="73"/>
      <x:c r="J674" s="73" t="n">
        <x:v>0</x:v>
      </x:c>
      <x:c r="K674" s="49" t="str">
        <x:v>Un-Aided</x:v>
      </x:c>
      <x:c r="L674" s="49" t="str">
        <x:v>MS Seats : 34+ EWS : 6</x:v>
      </x:c>
      <x:c r="M674" s="49" t="str">
        <x:v>https://dse2025.mahacet.org.in/dse25/admin/allotment/cap2/3445_4.pdf</x:v>
      </x:c>
    </x:row>
    <x:row r="675">
      <x:c r="A675" s="49" t="str">
        <x:v>2025-26</x:v>
      </x:c>
      <x:c r="B675" s="63" t="n">
        <x:v>3445</x:v>
      </x:c>
      <x:c r="C675" s="49" t="str">
        <x:v>Vishwatmak Jangli Maharaj Ashram Trust (Kokamthan), Atma Malik Institute Of Technology &amp; Research</x:v>
      </x:c>
      <x:c r="D675" s="72" t="n">
        <x:v>344537210</x:v>
      </x:c>
      <x:c r="E675" s="49" t="str">
        <x:v>Electronics and Telecommunication Engg</x:v>
      </x:c>
      <x:c r="F675" s="73" t="n">
        <x:v>32</x:v>
      </x:c>
      <x:c r="G675" s="73" t="n">
        <x:v>29</x:v>
      </x:c>
      <x:c r="H675" s="73" t="n">
        <x:v>3</x:v>
      </x:c>
      <x:c r="I675" s="73"/>
      <x:c r="J675" s="73" t="n">
        <x:v>0</x:v>
      </x:c>
      <x:c r="K675" s="49" t="str">
        <x:v>Un-Aided</x:v>
      </x:c>
      <x:c r="L675" s="49" t="str">
        <x:v>MS Seats : 29+ EWS : 3</x:v>
      </x:c>
      <x:c r="M675" s="49" t="str">
        <x:v>https://dse2025.mahacet.org.in/dse25/admin/allotment/cap2/3445_4.pdf</x:v>
      </x:c>
    </x:row>
    <x:row r="676">
      <x:c r="A676" s="49" t="str">
        <x:v>2025-26</x:v>
      </x:c>
      <x:c r="B676" s="63" t="n">
        <x:v>3445</x:v>
      </x:c>
      <x:c r="C676" s="49" t="str">
        <x:v>Vishwatmak Jangli Maharaj Ashram Trust (Kokamthan), Atma Malik Institute Of Technology &amp; Research</x:v>
      </x:c>
      <x:c r="D676" s="72" t="n">
        <x:v>344561210</x:v>
      </x:c>
      <x:c r="E676" s="49" t="str">
        <x:v>Mechanical Engineering</x:v>
      </x:c>
      <x:c r="F676" s="73" t="n">
        <x:v>28</x:v>
      </x:c>
      <x:c r="G676" s="73" t="n">
        <x:v>25</x:v>
      </x:c>
      <x:c r="H676" s="73" t="n">
        <x:v>3</x:v>
      </x:c>
      <x:c r="I676" s="73"/>
      <x:c r="J676" s="73" t="n">
        <x:v>0</x:v>
      </x:c>
      <x:c r="K676" s="49" t="str">
        <x:v>Un-Aided</x:v>
      </x:c>
      <x:c r="L676" s="49" t="str">
        <x:v>MS Seats : 25+ EWS : 3</x:v>
      </x:c>
      <x:c r="M676" s="49" t="str">
        <x:v>https://dse2025.mahacet.org.in/dse25/admin/allotment/cap2/3445_4.pdf</x:v>
      </x:c>
    </x:row>
    <x:row r="677">
      <x:c r="A677" s="49" t="str">
        <x:v>2025-26</x:v>
      </x:c>
      <x:c r="B677" s="63" t="n">
        <x:v>3445</x:v>
      </x:c>
      <x:c r="C677" s="49" t="str">
        <x:v>Vishwatmak Jangli Maharaj Ashram Trust (Kokamthan), Atma Malik Institute Of Technology &amp; Research</x:v>
      </x:c>
      <x:c r="D677" s="72" t="n">
        <x:v>344592010</x:v>
      </x:c>
      <x:c r="E677" s="49" t="str">
        <x:v>Computer Science and Engineering (Internet of Things and Cyber Security Including Block Chain Technology)</x:v>
      </x:c>
      <x:c r="F677" s="73" t="n">
        <x:v>20</x:v>
      </x:c>
      <x:c r="G677" s="73" t="n">
        <x:v>16</x:v>
      </x:c>
      <x:c r="H677" s="73" t="n">
        <x:v>4</x:v>
      </x:c>
      <x:c r="I677" s="73"/>
      <x:c r="J677" s="73" t="n">
        <x:v>0</x:v>
      </x:c>
      <x:c r="K677" s="49" t="str">
        <x:v>Un-Aided</x:v>
      </x:c>
      <x:c r="L677" s="49" t="str">
        <x:v>MS Seats : 16+ EWS : 4</x:v>
      </x:c>
      <x:c r="M677" s="49" t="str">
        <x:v>https://dse2025.mahacet.org.in/dse25/admin/allotment/cap2/3445_4.pdf</x:v>
      </x:c>
    </x:row>
    <x:row r="678">
      <x:c r="A678" s="49" t="str">
        <x:v>2025-26</x:v>
      </x:c>
      <x:c r="B678" s="63" t="n">
        <x:v>3445</x:v>
      </x:c>
      <x:c r="C678" s="49" t="str">
        <x:v>Vishwatmak Jangli Maharaj Ashram Trust (Kokamthan), Atma Malik Institute Of Technology &amp; Research</x:v>
      </x:c>
      <x:c r="D678" s="72" t="n">
        <x:v>344592110</x:v>
      </x:c>
      <x:c r="E678" s="49" t="str">
        <x:v>Artificial Intelligence and Machine Learning</x:v>
      </x:c>
      <x:c r="F678" s="73" t="n">
        <x:v>25</x:v>
      </x:c>
      <x:c r="G678" s="73" t="n">
        <x:v>22</x:v>
      </x:c>
      <x:c r="H678" s="73" t="n">
        <x:v>3</x:v>
      </x:c>
      <x:c r="I678" s="73"/>
      <x:c r="J678" s="73" t="n">
        <x:v>0</x:v>
      </x:c>
      <x:c r="K678" s="49" t="str">
        <x:v>Un-Aided</x:v>
      </x:c>
      <x:c r="L678" s="49" t="str">
        <x:v>MS Seats : 22+ EWS : 3</x:v>
      </x:c>
      <x:c r="M678" s="49" t="str">
        <x:v>https://dse2025.mahacet.org.in/dse25/admin/allotment/cap2/3445_4.pdf</x:v>
      </x:c>
    </x:row>
    <x:row r="679">
      <x:c r="A679" s="49" t="str">
        <x:v>2025-26</x:v>
      </x:c>
      <x:c r="B679" s="63" t="n">
        <x:v>3447</x:v>
      </x:c>
      <x:c r="C679" s="49" t="str">
        <x:v>G.M.Vedak Institute of Technology, Tala, Raigad.</x:v>
      </x:c>
      <x:c r="D679" s="72" t="n">
        <x:v>344719110</x:v>
      </x:c>
      <x:c r="E679" s="49" t="str">
        <x:v>Civil Engineering</x:v>
      </x:c>
      <x:c r="F679" s="73" t="n">
        <x:v>30</x:v>
      </x:c>
      <x:c r="G679" s="73" t="n">
        <x:v>27</x:v>
      </x:c>
      <x:c r="H679" s="73" t="n">
        <x:v>3</x:v>
      </x:c>
      <x:c r="I679" s="73"/>
      <x:c r="J679" s="73" t="n">
        <x:v>0</x:v>
      </x:c>
      <x:c r="K679" s="49" t="str">
        <x:v>Un-Aided</x:v>
      </x:c>
      <x:c r="L679" s="49" t="str">
        <x:v>MS Seats : 27+ EWS : 3</x:v>
      </x:c>
      <x:c r="M679" s="49" t="str">
        <x:v>https://dse2025.mahacet.org.in/dse25/admin/allotment/cap2/3447_4.pdf</x:v>
      </x:c>
    </x:row>
    <x:row r="680">
      <x:c r="A680" s="49" t="str">
        <x:v>2025-26</x:v>
      </x:c>
      <x:c r="B680" s="63" t="n">
        <x:v>3447</x:v>
      </x:c>
      <x:c r="C680" s="49" t="str">
        <x:v>G.M.Vedak Institute of Technology, Tala, Raigad.</x:v>
      </x:c>
      <x:c r="D680" s="72" t="n">
        <x:v>344724510</x:v>
      </x:c>
      <x:c r="E680" s="49" t="str">
        <x:v>Computer Engineering</x:v>
      </x:c>
      <x:c r="F680" s="73" t="n">
        <x:v>37</x:v>
      </x:c>
      <x:c r="G680" s="73" t="n">
        <x:v>30</x:v>
      </x:c>
      <x:c r="H680" s="73" t="n">
        <x:v>7</x:v>
      </x:c>
      <x:c r="I680" s="73"/>
      <x:c r="J680" s="73" t="n">
        <x:v>0</x:v>
      </x:c>
      <x:c r="K680" s="49" t="str">
        <x:v>Un-Aided</x:v>
      </x:c>
      <x:c r="L680" s="49" t="str">
        <x:v>MS Seats : 30+ EWS : 7</x:v>
      </x:c>
      <x:c r="M680" s="49" t="str">
        <x:v>https://dse2025.mahacet.org.in/dse25/admin/allotment/cap2/3447_4.pdf</x:v>
      </x:c>
    </x:row>
    <x:row r="681">
      <x:c r="A681" s="49" t="str">
        <x:v>2025-26</x:v>
      </x:c>
      <x:c r="B681" s="63" t="n">
        <x:v>3447</x:v>
      </x:c>
      <x:c r="C681" s="49" t="str">
        <x:v>G.M.Vedak Institute of Technology, Tala, Raigad.</x:v>
      </x:c>
      <x:c r="D681" s="72" t="n">
        <x:v>344761210</x:v>
      </x:c>
      <x:c r="E681" s="49" t="str">
        <x:v>Mechanical Engineering</x:v>
      </x:c>
      <x:c r="F681" s="73" t="n">
        <x:v>34</x:v>
      </x:c>
      <x:c r="G681" s="73" t="n">
        <x:v>31</x:v>
      </x:c>
      <x:c r="H681" s="73" t="n">
        <x:v>3</x:v>
      </x:c>
      <x:c r="I681" s="73"/>
      <x:c r="J681" s="73" t="n">
        <x:v>0</x:v>
      </x:c>
      <x:c r="K681" s="49" t="str">
        <x:v>Un-Aided</x:v>
      </x:c>
      <x:c r="L681" s="49" t="str">
        <x:v>MS Seats : 31+ EWS : 3</x:v>
      </x:c>
      <x:c r="M681" s="49" t="str">
        <x:v>https://dse2025.mahacet.org.in/dse25/admin/allotment/cap2/3447_4.pdf</x:v>
      </x:c>
    </x:row>
    <x:row r="682">
      <x:c r="A682" s="49" t="str">
        <x:v>2025-26</x:v>
      </x:c>
      <x:c r="B682" s="63" t="n">
        <x:v>3460</x:v>
      </x:c>
      <x:c r="C682" s="49" t="str">
        <x:v>Universal College of Engineering,Kaman Dist. Palghar</x:v>
      </x:c>
      <x:c r="D682" s="72" t="n">
        <x:v>346019110</x:v>
      </x:c>
      <x:c r="E682" s="49" t="str">
        <x:v>Civil Engineering</x:v>
      </x:c>
      <x:c r="F682" s="73" t="n">
        <x:v>59</x:v>
      </x:c>
      <x:c r="G682" s="73" t="n">
        <x:v>29</x:v>
      </x:c>
      <x:c r="H682" s="73"/>
      <x:c r="I682" s="73" t="n">
        <x:v>30</x:v>
      </x:c>
      <x:c r="J682" s="73" t="n">
        <x:v>0</x:v>
      </x:c>
      <x:c r="K682" s="49" t="str">
        <x:v>Un-Aided Linguistic Minority - Gujarathi</x:v>
      </x:c>
      <x:c r="L682" s="49" t="str">
        <x:v>MS Seats : 29 + Minority Seats : 30</x:v>
      </x:c>
      <x:c r="M682" s="49" t="str">
        <x:v>https://dse2025.mahacet.org.in/dse25/admin/allotment/cap2/3460_4.pdf</x:v>
      </x:c>
    </x:row>
    <x:row r="683">
      <x:c r="A683" s="49" t="str">
        <x:v>2025-26</x:v>
      </x:c>
      <x:c r="B683" s="63" t="n">
        <x:v>3460</x:v>
      </x:c>
      <x:c r="C683" s="49" t="str">
        <x:v>Universal College of Engineering,Kaman Dist. Palghar</x:v>
      </x:c>
      <x:c r="D683" s="72" t="n">
        <x:v>346024510</x:v>
      </x:c>
      <x:c r="E683" s="49" t="str">
        <x:v>Computer Engineering</x:v>
      </x:c>
      <x:c r="F683" s="73" t="n">
        <x:v>17</x:v>
      </x:c>
      <x:c r="G683" s="73" t="n">
        <x:v>8</x:v>
      </x:c>
      <x:c r="H683" s="73"/>
      <x:c r="I683" s="73" t="n">
        <x:v>9</x:v>
      </x:c>
      <x:c r="J683" s="73" t="n">
        <x:v>0</x:v>
      </x:c>
      <x:c r="K683" s="49" t="str">
        <x:v>Un-Aided Linguistic Minority - Gujarathi</x:v>
      </x:c>
      <x:c r="L683" s="49" t="str">
        <x:v>MS Seats : 8 + Minority Seats : 9</x:v>
      </x:c>
      <x:c r="M683" s="49" t="str">
        <x:v>https://dse2025.mahacet.org.in/dse25/admin/allotment/cap2/3460_4.pdf</x:v>
      </x:c>
    </x:row>
    <x:row r="684">
      <x:c r="A684" s="49" t="str">
        <x:v>2025-26</x:v>
      </x:c>
      <x:c r="B684" s="63" t="n">
        <x:v>3460</x:v>
      </x:c>
      <x:c r="C684" s="49" t="str">
        <x:v>Universal College of Engineering,Kaman Dist. Palghar</x:v>
      </x:c>
      <x:c r="D684" s="72" t="n">
        <x:v>346024610</x:v>
      </x:c>
      <x:c r="E684" s="49" t="str">
        <x:v>Information Technology</x:v>
      </x:c>
      <x:c r="F684" s="73" t="n">
        <x:v>19</x:v>
      </x:c>
      <x:c r="G684" s="73" t="n">
        <x:v>9</x:v>
      </x:c>
      <x:c r="H684" s="73"/>
      <x:c r="I684" s="73" t="n">
        <x:v>10</x:v>
      </x:c>
      <x:c r="J684" s="73" t="n">
        <x:v>0</x:v>
      </x:c>
      <x:c r="K684" s="49" t="str">
        <x:v>Un-Aided Linguistic Minority - Gujarathi</x:v>
      </x:c>
      <x:c r="L684" s="49" t="str">
        <x:v>MS Seats : 9 + Minority Seats : 10</x:v>
      </x:c>
      <x:c r="M684" s="49" t="str">
        <x:v>https://dse2025.mahacet.org.in/dse25/admin/allotment/cap2/3460_4.pdf</x:v>
      </x:c>
    </x:row>
    <x:row r="685">
      <x:c r="A685" s="49" t="str">
        <x:v>2025-26</x:v>
      </x:c>
      <x:c r="B685" s="63" t="n">
        <x:v>3460</x:v>
      </x:c>
      <x:c r="C685" s="49" t="str">
        <x:v>Universal College of Engineering,Kaman Dist. Palghar</x:v>
      </x:c>
      <x:c r="D685" s="72" t="n">
        <x:v>346092110</x:v>
      </x:c>
      <x:c r="E685" s="49" t="str">
        <x:v>Artificial Intelligence and Machine Learning</x:v>
      </x:c>
      <x:c r="F685" s="73" t="n">
        <x:v>30</x:v>
      </x:c>
      <x:c r="G685" s="73" t="n">
        <x:v>14</x:v>
      </x:c>
      <x:c r="H685" s="73"/>
      <x:c r="I685" s="73" t="n">
        <x:v>16</x:v>
      </x:c>
      <x:c r="J685" s="73" t="n">
        <x:v>0</x:v>
      </x:c>
      <x:c r="K685" s="49" t="str">
        <x:v>Un-Aided Linguistic Minority - Gujarathi</x:v>
      </x:c>
      <x:c r="L685" s="49" t="str">
        <x:v>MS Seats : 14 + Minority Seats : 16</x:v>
      </x:c>
      <x:c r="M685" s="49" t="str">
        <x:v>https://dse2025.mahacet.org.in/dse25/admin/allotment/cap2/3460_4.pdf</x:v>
      </x:c>
    </x:row>
    <x:row r="686">
      <x:c r="A686" s="49" t="str">
        <x:v>2025-26</x:v>
      </x:c>
      <x:c r="B686" s="63" t="n">
        <x:v>3460</x:v>
      </x:c>
      <x:c r="C686" s="49" t="str">
        <x:v>Universal College of Engineering,Kaman Dist. Palghar</x:v>
      </x:c>
      <x:c r="D686" s="72" t="n">
        <x:v>346092410</x:v>
      </x:c>
      <x:c r="E686" s="49" t="str">
        <x:v>Data Engineering</x:v>
      </x:c>
      <x:c r="F686" s="73" t="n">
        <x:v>21</x:v>
      </x:c>
      <x:c r="G686" s="73" t="n">
        <x:v>10</x:v>
      </x:c>
      <x:c r="H686" s="73"/>
      <x:c r="I686" s="73" t="n">
        <x:v>11</x:v>
      </x:c>
      <x:c r="J686" s="73" t="n">
        <x:v>0</x:v>
      </x:c>
      <x:c r="K686" s="49" t="str">
        <x:v>Un-Aided Linguistic Minority - Gujarathi</x:v>
      </x:c>
      <x:c r="L686" s="49" t="str">
        <x:v>MS Seats : 10 + Minority Seats : 11</x:v>
      </x:c>
      <x:c r="M686" s="49" t="str">
        <x:v>https://dse2025.mahacet.org.in/dse25/admin/allotment/cap2/3460_4.pdf</x:v>
      </x:c>
    </x:row>
    <x:row r="687">
      <x:c r="A687" s="49" t="str">
        <x:v>2025-26</x:v>
      </x:c>
      <x:c r="B687" s="63" t="n">
        <x:v>3462</x:v>
      </x:c>
      <x:c r="C687" s="49" t="str">
        <x:v>VPM's Maharshi Parshuram College of Engineering, Velneshwar, Ratnagiri.</x:v>
      </x:c>
      <x:c r="D687" s="72" t="n">
        <x:v>346219110</x:v>
      </x:c>
      <x:c r="E687" s="49" t="str">
        <x:v>Civil Engineering</x:v>
      </x:c>
      <x:c r="F687" s="73" t="n">
        <x:v>34</x:v>
      </x:c>
      <x:c r="G687" s="73" t="n">
        <x:v>31</x:v>
      </x:c>
      <x:c r="H687" s="73" t="n">
        <x:v>3</x:v>
      </x:c>
      <x:c r="I687" s="73"/>
      <x:c r="J687" s="73" t="n">
        <x:v>0</x:v>
      </x:c>
      <x:c r="K687" s="49" t="str">
        <x:v>Un-Aided</x:v>
      </x:c>
      <x:c r="L687" s="49" t="str">
        <x:v>MS Seats : 31+ EWS : 3</x:v>
      </x:c>
      <x:c r="M687" s="49" t="str">
        <x:v>https://dse2025.mahacet.org.in/dse25/admin/allotment/cap2/3462_4.pdf</x:v>
      </x:c>
    </x:row>
    <x:row r="688">
      <x:c r="A688" s="49" t="str">
        <x:v>2025-26</x:v>
      </x:c>
      <x:c r="B688" s="63" t="n">
        <x:v>3462</x:v>
      </x:c>
      <x:c r="C688" s="49" t="str">
        <x:v>VPM's Maharshi Parshuram College of Engineering, Velneshwar, Ratnagiri.</x:v>
      </x:c>
      <x:c r="D688" s="72" t="n">
        <x:v>346224510</x:v>
      </x:c>
      <x:c r="E688" s="49" t="str">
        <x:v>Computer Engineering</x:v>
      </x:c>
      <x:c r="F688" s="73" t="n">
        <x:v>17</x:v>
      </x:c>
      <x:c r="G688" s="73" t="n">
        <x:v>16</x:v>
      </x:c>
      <x:c r="H688" s="73" t="n">
        <x:v>1</x:v>
      </x:c>
      <x:c r="I688" s="73"/>
      <x:c r="J688" s="73" t="n">
        <x:v>0</x:v>
      </x:c>
      <x:c r="K688" s="49" t="str">
        <x:v>Un-Aided</x:v>
      </x:c>
      <x:c r="L688" s="49" t="str">
        <x:v>MS Seats : 16+ EWS : 1</x:v>
      </x:c>
      <x:c r="M688" s="49" t="str">
        <x:v>https://dse2025.mahacet.org.in/dse25/admin/allotment/cap2/3462_4.pdf</x:v>
      </x:c>
    </x:row>
    <x:row r="689">
      <x:c r="A689" s="49" t="str">
        <x:v>2025-26</x:v>
      </x:c>
      <x:c r="B689" s="63" t="n">
        <x:v>3462</x:v>
      </x:c>
      <x:c r="C689" s="49" t="str">
        <x:v>VPM's Maharshi Parshuram College of Engineering, Velneshwar, Ratnagiri.</x:v>
      </x:c>
      <x:c r="D689" s="72" t="n">
        <x:v>346229310</x:v>
      </x:c>
      <x:c r="E689" s="49" t="str">
        <x:v>Electrical Engineering</x:v>
      </x:c>
      <x:c r="F689" s="73" t="n">
        <x:v>34</x:v>
      </x:c>
      <x:c r="G689" s="73" t="n">
        <x:v>31</x:v>
      </x:c>
      <x:c r="H689" s="73" t="n">
        <x:v>3</x:v>
      </x:c>
      <x:c r="I689" s="73"/>
      <x:c r="J689" s="73" t="n">
        <x:v>0</x:v>
      </x:c>
      <x:c r="K689" s="49" t="str">
        <x:v>Un-Aided</x:v>
      </x:c>
      <x:c r="L689" s="49" t="str">
        <x:v>MS Seats : 31+ EWS : 3</x:v>
      </x:c>
      <x:c r="M689" s="49" t="str">
        <x:v>https://dse2025.mahacet.org.in/dse25/admin/allotment/cap2/3462_4.pdf</x:v>
      </x:c>
    </x:row>
    <x:row r="690">
      <x:c r="A690" s="49" t="str">
        <x:v>2025-26</x:v>
      </x:c>
      <x:c r="B690" s="63" t="n">
        <x:v>3462</x:v>
      </x:c>
      <x:c r="C690" s="49" t="str">
        <x:v>VPM's Maharshi Parshuram College of Engineering, Velneshwar, Ratnagiri.</x:v>
      </x:c>
      <x:c r="D690" s="72" t="n">
        <x:v>346246610</x:v>
      </x:c>
      <x:c r="E690" s="49" t="str">
        <x:v>Instrumentation Engineering</x:v>
      </x:c>
      <x:c r="F690" s="73" t="n">
        <x:v>32</x:v>
      </x:c>
      <x:c r="G690" s="73" t="n">
        <x:v>29</x:v>
      </x:c>
      <x:c r="H690" s="73" t="n">
        <x:v>3</x:v>
      </x:c>
      <x:c r="I690" s="73"/>
      <x:c r="J690" s="73" t="n">
        <x:v>0</x:v>
      </x:c>
      <x:c r="K690" s="49" t="str">
        <x:v>Un-Aided</x:v>
      </x:c>
      <x:c r="L690" s="49" t="str">
        <x:v>MS Seats : 29+ EWS : 3</x:v>
      </x:c>
      <x:c r="M690" s="49" t="str">
        <x:v>https://dse2025.mahacet.org.in/dse25/admin/allotment/cap2/3462_4.pdf</x:v>
      </x:c>
    </x:row>
    <x:row r="691">
      <x:c r="A691" s="49" t="str">
        <x:v>2025-26</x:v>
      </x:c>
      <x:c r="B691" s="63" t="n">
        <x:v>3462</x:v>
      </x:c>
      <x:c r="C691" s="49" t="str">
        <x:v>VPM's Maharshi Parshuram College of Engineering, Velneshwar, Ratnagiri.</x:v>
      </x:c>
      <x:c r="D691" s="72" t="n">
        <x:v>346261210</x:v>
      </x:c>
      <x:c r="E691" s="49" t="str">
        <x:v>Mechanical Engineering</x:v>
      </x:c>
      <x:c r="F691" s="73" t="n">
        <x:v>36</x:v>
      </x:c>
      <x:c r="G691" s="73" t="n">
        <x:v>33</x:v>
      </x:c>
      <x:c r="H691" s="73" t="n">
        <x:v>3</x:v>
      </x:c>
      <x:c r="I691" s="73"/>
      <x:c r="J691" s="73" t="n">
        <x:v>0</x:v>
      </x:c>
      <x:c r="K691" s="49" t="str">
        <x:v>Un-Aided</x:v>
      </x:c>
      <x:c r="L691" s="49" t="str">
        <x:v>MS Seats : 33+ EWS : 3</x:v>
      </x:c>
      <x:c r="M691" s="49" t="str">
        <x:v>https://dse2025.mahacet.org.in/dse25/admin/allotment/cap2/3462_4.pdf</x:v>
      </x:c>
    </x:row>
    <x:row r="692">
      <x:c r="A692" s="49" t="str">
        <x:v>2025-26</x:v>
      </x:c>
      <x:c r="B692" s="63" t="n">
        <x:v>3462</x:v>
      </x:c>
      <x:c r="C692" s="49" t="str">
        <x:v>VPM's Maharshi Parshuram College of Engineering, Velneshwar, Ratnagiri.</x:v>
      </x:c>
      <x:c r="D692" s="72" t="n">
        <x:v>346284410</x:v>
      </x:c>
      <x:c r="E692" s="49" t="str">
        <x:v>Electronics and Computer Engineering</x:v>
      </x:c>
      <x:c r="F692" s="73" t="n">
        <x:v>32</x:v>
      </x:c>
      <x:c r="G692" s="73" t="n">
        <x:v>29</x:v>
      </x:c>
      <x:c r="H692" s="73" t="n">
        <x:v>3</x:v>
      </x:c>
      <x:c r="I692" s="73"/>
      <x:c r="J692" s="73" t="n">
        <x:v>0</x:v>
      </x:c>
      <x:c r="K692" s="49" t="str">
        <x:v>Un-Aided</x:v>
      </x:c>
      <x:c r="L692" s="49" t="str">
        <x:v>MS Seats : 29+ EWS : 3</x:v>
      </x:c>
      <x:c r="M692" s="49" t="str">
        <x:v>https://dse2025.mahacet.org.in/dse25/admin/allotment/cap2/3462_4.pdf</x:v>
      </x:c>
    </x:row>
    <x:row r="693">
      <x:c r="A693" s="49" t="str">
        <x:v>2025-26</x:v>
      </x:c>
      <x:c r="B693" s="63" t="n">
        <x:v>3465</x:v>
      </x:c>
      <x:c r="C693" s="49" t="str">
        <x:v>Ideal Institute of Technology, Wada, Dist.Thane</x:v>
      </x:c>
      <x:c r="D693" s="72" t="n">
        <x:v>346519110</x:v>
      </x:c>
      <x:c r="E693" s="49" t="str">
        <x:v>Civil Engineering</x:v>
      </x:c>
      <x:c r="F693" s="73" t="n">
        <x:v>74</x:v>
      </x:c>
      <x:c r="G693" s="73" t="n">
        <x:v>67</x:v>
      </x:c>
      <x:c r="H693" s="73" t="n">
        <x:v>7</x:v>
      </x:c>
      <x:c r="I693" s="73"/>
      <x:c r="J693" s="73" t="n">
        <x:v>0</x:v>
      </x:c>
      <x:c r="K693" s="49" t="str">
        <x:v>Un-Aided</x:v>
      </x:c>
      <x:c r="L693" s="49" t="str">
        <x:v>MS Seats : 67+ EWS : 7</x:v>
      </x:c>
      <x:c r="M693" s="49" t="str">
        <x:v>https://dse2025.mahacet.org.in/dse25/admin/allotment/cap2/3465_4.pdf</x:v>
      </x:c>
    </x:row>
    <x:row r="694">
      <x:c r="A694" s="49" t="str">
        <x:v>2025-26</x:v>
      </x:c>
      <x:c r="B694" s="63" t="n">
        <x:v>3465</x:v>
      </x:c>
      <x:c r="C694" s="49" t="str">
        <x:v>Ideal Institute of Technology, Wada, Dist.Thane</x:v>
      </x:c>
      <x:c r="D694" s="72" t="n">
        <x:v>346524210</x:v>
      </x:c>
      <x:c r="E694" s="49" t="str">
        <x:v>Computer Science and Engineering</x:v>
      </x:c>
      <x:c r="F694" s="73" t="n">
        <x:v>67</x:v>
      </x:c>
      <x:c r="G694" s="73" t="n">
        <x:v>60</x:v>
      </x:c>
      <x:c r="H694" s="73" t="n">
        <x:v>7</x:v>
      </x:c>
      <x:c r="I694" s="73"/>
      <x:c r="J694" s="73" t="n">
        <x:v>0</x:v>
      </x:c>
      <x:c r="K694" s="49" t="str">
        <x:v>Un-Aided</x:v>
      </x:c>
      <x:c r="L694" s="49" t="str">
        <x:v>MS Seats : 60+ EWS : 7</x:v>
      </x:c>
      <x:c r="M694" s="49" t="str">
        <x:v>https://dse2025.mahacet.org.in/dse25/admin/allotment/cap2/3465_4.pdf</x:v>
      </x:c>
    </x:row>
    <x:row r="695">
      <x:c r="A695" s="49" t="str">
        <x:v>2025-26</x:v>
      </x:c>
      <x:c r="B695" s="63" t="n">
        <x:v>3465</x:v>
      </x:c>
      <x:c r="C695" s="49" t="str">
        <x:v>Ideal Institute of Technology, Wada, Dist.Thane</x:v>
      </x:c>
      <x:c r="D695" s="72" t="n">
        <x:v>346529310</x:v>
      </x:c>
      <x:c r="E695" s="49" t="str">
        <x:v>Electrical Engineering</x:v>
      </x:c>
      <x:c r="F695" s="73" t="n">
        <x:v>36</x:v>
      </x:c>
      <x:c r="G695" s="73" t="n">
        <x:v>33</x:v>
      </x:c>
      <x:c r="H695" s="73" t="n">
        <x:v>3</x:v>
      </x:c>
      <x:c r="I695" s="73"/>
      <x:c r="J695" s="73" t="n">
        <x:v>0</x:v>
      </x:c>
      <x:c r="K695" s="49" t="str">
        <x:v>Un-Aided</x:v>
      </x:c>
      <x:c r="L695" s="49" t="str">
        <x:v>MS Seats : 33+ EWS : 3</x:v>
      </x:c>
      <x:c r="M695" s="49" t="str">
        <x:v>https://dse2025.mahacet.org.in/dse25/admin/allotment/cap2/3465_4.pdf</x:v>
      </x:c>
    </x:row>
    <x:row r="696">
      <x:c r="A696" s="49" t="str">
        <x:v>2025-26</x:v>
      </x:c>
      <x:c r="B696" s="63" t="n">
        <x:v>3465</x:v>
      </x:c>
      <x:c r="C696" s="49" t="str">
        <x:v>Ideal Institute of Technology, Wada, Dist.Thane</x:v>
      </x:c>
      <x:c r="D696" s="72" t="n">
        <x:v>346537210</x:v>
      </x:c>
      <x:c r="E696" s="49" t="str">
        <x:v>Electronics and Telecommunication Engg</x:v>
      </x:c>
      <x:c r="F696" s="73" t="n">
        <x:v>36</x:v>
      </x:c>
      <x:c r="G696" s="73" t="n">
        <x:v>33</x:v>
      </x:c>
      <x:c r="H696" s="73" t="n">
        <x:v>3</x:v>
      </x:c>
      <x:c r="I696" s="73"/>
      <x:c r="J696" s="73" t="n">
        <x:v>0</x:v>
      </x:c>
      <x:c r="K696" s="49" t="str">
        <x:v>Un-Aided</x:v>
      </x:c>
      <x:c r="L696" s="49" t="str">
        <x:v>MS Seats : 33+ EWS : 3</x:v>
      </x:c>
      <x:c r="M696" s="49" t="str">
        <x:v>https://dse2025.mahacet.org.in/dse25/admin/allotment/cap2/3465_4.pdf</x:v>
      </x:c>
    </x:row>
    <x:row r="697">
      <x:c r="A697" s="49" t="str">
        <x:v>2025-26</x:v>
      </x:c>
      <x:c r="B697" s="63" t="n">
        <x:v>3465</x:v>
      </x:c>
      <x:c r="C697" s="49" t="str">
        <x:v>Ideal Institute of Technology, Wada, Dist.Thane</x:v>
      </x:c>
      <x:c r="D697" s="72" t="n">
        <x:v>346561210</x:v>
      </x:c>
      <x:c r="E697" s="49" t="str">
        <x:v>Mechanical Engineering</x:v>
      </x:c>
      <x:c r="F697" s="73" t="n">
        <x:v>73</x:v>
      </x:c>
      <x:c r="G697" s="73" t="n">
        <x:v>66</x:v>
      </x:c>
      <x:c r="H697" s="73" t="n">
        <x:v>7</x:v>
      </x:c>
      <x:c r="I697" s="73"/>
      <x:c r="J697" s="73" t="n">
        <x:v>0</x:v>
      </x:c>
      <x:c r="K697" s="49" t="str">
        <x:v>Un-Aided</x:v>
      </x:c>
      <x:c r="L697" s="49" t="str">
        <x:v>MS Seats : 66+ EWS : 7</x:v>
      </x:c>
      <x:c r="M697" s="49" t="str">
        <x:v>https://dse2025.mahacet.org.in/dse25/admin/allotment/cap2/3465_4.pdf</x:v>
      </x:c>
    </x:row>
    <x:row r="698">
      <x:c r="A698" s="49" t="str">
        <x:v>2025-26</x:v>
      </x:c>
      <x:c r="B698" s="63" t="n">
        <x:v>3467</x:v>
      </x:c>
      <x:c r="C698" s="49" t="str">
        <x:v>Vishwaniketan's Institute of Management Entrepreneurship and Engineering Technology(i MEET), Khalapur Dist Raigad</x:v>
      </x:c>
      <x:c r="D698" s="72" t="n">
        <x:v>346719110</x:v>
      </x:c>
      <x:c r="E698" s="49" t="str">
        <x:v>Civil Engineering</x:v>
      </x:c>
      <x:c r="F698" s="73" t="n">
        <x:v>65</x:v>
      </x:c>
      <x:c r="G698" s="73" t="n">
        <x:v>58</x:v>
      </x:c>
      <x:c r="H698" s="73" t="n">
        <x:v>7</x:v>
      </x:c>
      <x:c r="I698" s="73"/>
      <x:c r="J698" s="73" t="n">
        <x:v>0</x:v>
      </x:c>
      <x:c r="K698" s="49" t="str">
        <x:v>Un-Aided</x:v>
      </x:c>
      <x:c r="L698" s="49" t="str">
        <x:v>MS Seats : 58+ EWS : 7</x:v>
      </x:c>
      <x:c r="M698" s="49" t="str">
        <x:v>https://dse2025.mahacet.org.in/dse25/admin/allotment/cap2/3467_4.pdf</x:v>
      </x:c>
    </x:row>
    <x:row r="699">
      <x:c r="A699" s="49" t="str">
        <x:v>2025-26</x:v>
      </x:c>
      <x:c r="B699" s="63" t="n">
        <x:v>3467</x:v>
      </x:c>
      <x:c r="C699" s="49" t="str">
        <x:v>Vishwaniketan's Institute of Management Entrepreneurship and Engineering Technology(i MEET), Khalapur Dist Raigad</x:v>
      </x:c>
      <x:c r="D699" s="72" t="n">
        <x:v>346724510</x:v>
      </x:c>
      <x:c r="E699" s="49" t="str">
        <x:v>Computer Engineering</x:v>
      </x:c>
      <x:c r="F699" s="73" t="n">
        <x:v>14</x:v>
      </x:c>
      <x:c r="G699" s="73" t="n">
        <x:v>10</x:v>
      </x:c>
      <x:c r="H699" s="73" t="n">
        <x:v>4</x:v>
      </x:c>
      <x:c r="I699" s="73"/>
      <x:c r="J699" s="73" t="n">
        <x:v>0</x:v>
      </x:c>
      <x:c r="K699" s="49" t="str">
        <x:v>Un-Aided</x:v>
      </x:c>
      <x:c r="L699" s="49" t="str">
        <x:v>MS Seats : 10+ EWS : 4</x:v>
      </x:c>
      <x:c r="M699" s="49" t="str">
        <x:v>https://dse2025.mahacet.org.in/dse25/admin/allotment/cap2/3467_4.pdf</x:v>
      </x:c>
    </x:row>
    <x:row r="700">
      <x:c r="A700" s="49" t="str">
        <x:v>2025-26</x:v>
      </x:c>
      <x:c r="B700" s="63" t="n">
        <x:v>3467</x:v>
      </x:c>
      <x:c r="C700" s="49" t="str">
        <x:v>Vishwaniketan's Institute of Management Entrepreneurship and Engineering Technology(i MEET), Khalapur Dist Raigad</x:v>
      </x:c>
      <x:c r="D700" s="72" t="n">
        <x:v>346729310</x:v>
      </x:c>
      <x:c r="E700" s="49" t="str">
        <x:v>Electrical Engineering</x:v>
      </x:c>
      <x:c r="F700" s="73" t="n">
        <x:v>51</x:v>
      </x:c>
      <x:c r="G700" s="73" t="n">
        <x:v>44</x:v>
      </x:c>
      <x:c r="H700" s="73" t="n">
        <x:v>7</x:v>
      </x:c>
      <x:c r="I700" s="73"/>
      <x:c r="J700" s="73" t="n">
        <x:v>0</x:v>
      </x:c>
      <x:c r="K700" s="49" t="str">
        <x:v>Un-Aided</x:v>
      </x:c>
      <x:c r="L700" s="49" t="str">
        <x:v>MS Seats : 44+ EWS : 7</x:v>
      </x:c>
      <x:c r="M700" s="49" t="str">
        <x:v>https://dse2025.mahacet.org.in/dse25/admin/allotment/cap2/3467_4.pdf</x:v>
      </x:c>
    </x:row>
    <x:row r="701">
      <x:c r="A701" s="49" t="str">
        <x:v>2025-26</x:v>
      </x:c>
      <x:c r="B701" s="63" t="n">
        <x:v>3467</x:v>
      </x:c>
      <x:c r="C701" s="49" t="str">
        <x:v>Vishwaniketan's Institute of Management Entrepreneurship and Engineering Technology(i MEET), Khalapur Dist Raigad</x:v>
      </x:c>
      <x:c r="D701" s="72" t="n">
        <x:v>346737210</x:v>
      </x:c>
      <x:c r="E701" s="49" t="str">
        <x:v>Electronics and Telecommunication Engg</x:v>
      </x:c>
      <x:c r="F701" s="73" t="n">
        <x:v>23</x:v>
      </x:c>
      <x:c r="G701" s="73" t="n">
        <x:v>18</x:v>
      </x:c>
      <x:c r="H701" s="73" t="n">
        <x:v>5</x:v>
      </x:c>
      <x:c r="I701" s="73"/>
      <x:c r="J701" s="73" t="n">
        <x:v>0</x:v>
      </x:c>
      <x:c r="K701" s="49" t="str">
        <x:v>Un-Aided</x:v>
      </x:c>
      <x:c r="L701" s="49" t="str">
        <x:v>MS Seats : 18+ EWS : 5</x:v>
      </x:c>
      <x:c r="M701" s="49" t="str">
        <x:v>https://dse2025.mahacet.org.in/dse25/admin/allotment/cap2/3467_4.pdf</x:v>
      </x:c>
    </x:row>
    <x:row r="702">
      <x:c r="A702" s="49" t="str">
        <x:v>2025-26</x:v>
      </x:c>
      <x:c r="B702" s="63" t="n">
        <x:v>3467</x:v>
      </x:c>
      <x:c r="C702" s="49" t="str">
        <x:v>Vishwaniketan's Institute of Management Entrepreneurship and Engineering Technology(i MEET), Khalapur Dist Raigad</x:v>
      </x:c>
      <x:c r="D702" s="72" t="n">
        <x:v>346761210</x:v>
      </x:c>
      <x:c r="E702" s="49" t="str">
        <x:v>Mechanical Engineering</x:v>
      </x:c>
      <x:c r="F702" s="73" t="n">
        <x:v>46</x:v>
      </x:c>
      <x:c r="G702" s="73" t="n">
        <x:v>39</x:v>
      </x:c>
      <x:c r="H702" s="73" t="n">
        <x:v>7</x:v>
      </x:c>
      <x:c r="I702" s="73"/>
      <x:c r="J702" s="73" t="n">
        <x:v>0</x:v>
      </x:c>
      <x:c r="K702" s="49" t="str">
        <x:v>Un-Aided</x:v>
      </x:c>
      <x:c r="L702" s="49" t="str">
        <x:v>MS Seats : 39+ EWS : 7</x:v>
      </x:c>
      <x:c r="M702" s="49" t="str">
        <x:v>https://dse2025.mahacet.org.in/dse25/admin/allotment/cap2/3467_4.pdf</x:v>
      </x:c>
    </x:row>
    <x:row r="703">
      <x:c r="A703" s="49" t="str">
        <x:v>2025-26</x:v>
      </x:c>
      <x:c r="B703" s="63" t="n">
        <x:v>3467</x:v>
      </x:c>
      <x:c r="C703" s="49" t="str">
        <x:v>Vishwaniketan's Institute of Management Entrepreneurship and Engineering Technology(i MEET), Khalapur Dist Raigad</x:v>
      </x:c>
      <x:c r="D703" s="72" t="n">
        <x:v>346791110</x:v>
      </x:c>
      <x:c r="E703" s="49" t="str">
        <x:v>Computer Science and Engineering(Artificial Intelligence and Machine Learning)</x:v>
      </x:c>
      <x:c r="F703" s="73" t="n">
        <x:v>26</x:v>
      </x:c>
      <x:c r="G703" s="73" t="n">
        <x:v>18</x:v>
      </x:c>
      <x:c r="H703" s="73" t="n">
        <x:v>8</x:v>
      </x:c>
      <x:c r="I703" s="73"/>
      <x:c r="J703" s="73" t="n">
        <x:v>0</x:v>
      </x:c>
      <x:c r="K703" s="49" t="str">
        <x:v>Un-Aided</x:v>
      </x:c>
      <x:c r="L703" s="49" t="str">
        <x:v>MS Seats : 18+ EWS : 8</x:v>
      </x:c>
      <x:c r="M703" s="49" t="str">
        <x:v>https://dse2025.mahacet.org.in/dse25/admin/allotment/cap2/3467_4.pdf</x:v>
      </x:c>
    </x:row>
    <x:row r="704">
      <x:c r="A704" s="49" t="str">
        <x:v>2025-26</x:v>
      </x:c>
      <x:c r="B704" s="63" t="n">
        <x:v>3470</x:v>
      </x:c>
      <x:c r="C704" s="49" t="str">
        <x:v>YASHWANTRAO BHONSALE INSTITUTE OF TECHNOLOGY</x:v>
      </x:c>
      <x:c r="D704" s="72" t="n">
        <x:v>347024210</x:v>
      </x:c>
      <x:c r="E704" s="49" t="str">
        <x:v>Computer Science and Engineering</x:v>
      </x:c>
      <x:c r="F704" s="73" t="n">
        <x:v>16</x:v>
      </x:c>
      <x:c r="G704" s="73" t="n">
        <x:v>14</x:v>
      </x:c>
      <x:c r="H704" s="73" t="n">
        <x:v>2</x:v>
      </x:c>
      <x:c r="I704" s="73"/>
      <x:c r="J704" s="73" t="n">
        <x:v>0</x:v>
      </x:c>
      <x:c r="K704" s="49" t="str">
        <x:v>Un-Aided</x:v>
      </x:c>
      <x:c r="L704" s="49" t="str">
        <x:v>MS Seats : 14+ EWS : 2</x:v>
      </x:c>
      <x:c r="M704" s="49" t="str">
        <x:v>https://dse2025.mahacet.org.in/dse25/admin/allotment/cap2/3470_4.pdf</x:v>
      </x:c>
    </x:row>
    <x:row r="705">
      <x:c r="A705" s="49" t="str">
        <x:v>2025-26</x:v>
      </x:c>
      <x:c r="B705" s="63" t="n">
        <x:v>3470</x:v>
      </x:c>
      <x:c r="C705" s="49" t="str">
        <x:v>YASHWANTRAO BHONSALE INSTITUTE OF TECHNOLOGY</x:v>
      </x:c>
      <x:c r="D705" s="72" t="n">
        <x:v>347024510</x:v>
      </x:c>
      <x:c r="E705" s="49" t="str">
        <x:v>Computer Engineering</x:v>
      </x:c>
      <x:c r="F705" s="73" t="n">
        <x:v>80</x:v>
      </x:c>
      <x:c r="G705" s="73" t="n">
        <x:v>66</x:v>
      </x:c>
      <x:c r="H705" s="73" t="n">
        <x:v>14</x:v>
      </x:c>
      <x:c r="I705" s="73"/>
      <x:c r="J705" s="73" t="n">
        <x:v>0</x:v>
      </x:c>
      <x:c r="K705" s="49" t="str">
        <x:v>Un-Aided</x:v>
      </x:c>
      <x:c r="L705" s="49" t="str">
        <x:v>MS Seats : 66+ EWS : 14</x:v>
      </x:c>
      <x:c r="M705" s="49" t="str">
        <x:v>https://dse2025.mahacet.org.in/dse25/admin/allotment/cap2/3470_4.pdf</x:v>
      </x:c>
    </x:row>
    <x:row r="706">
      <x:c r="A706" s="49" t="str">
        <x:v>2025-26</x:v>
      </x:c>
      <x:c r="B706" s="63" t="n">
        <x:v>3470</x:v>
      </x:c>
      <x:c r="C706" s="49" t="str">
        <x:v>YASHWANTRAO BHONSALE INSTITUTE OF TECHNOLOGY</x:v>
      </x:c>
      <x:c r="D706" s="72" t="n">
        <x:v>347029310</x:v>
      </x:c>
      <x:c r="E706" s="49" t="str">
        <x:v>Electrical Engineering</x:v>
      </x:c>
      <x:c r="F706" s="73" t="n">
        <x:v>43</x:v>
      </x:c>
      <x:c r="G706" s="73" t="n">
        <x:v>36</x:v>
      </x:c>
      <x:c r="H706" s="73" t="n">
        <x:v>7</x:v>
      </x:c>
      <x:c r="I706" s="73"/>
      <x:c r="J706" s="73" t="n">
        <x:v>0</x:v>
      </x:c>
      <x:c r="K706" s="49" t="str">
        <x:v>Un-Aided</x:v>
      </x:c>
      <x:c r="L706" s="49" t="str">
        <x:v>MS Seats : 36+ EWS : 7</x:v>
      </x:c>
      <x:c r="M706" s="49" t="str">
        <x:v>https://dse2025.mahacet.org.in/dse25/admin/allotment/cap2/3470_4.pdf</x:v>
      </x:c>
    </x:row>
    <x:row r="707">
      <x:c r="A707" s="49" t="str">
        <x:v>2025-26</x:v>
      </x:c>
      <x:c r="B707" s="63" t="n">
        <x:v>3470</x:v>
      </x:c>
      <x:c r="C707" s="49" t="str">
        <x:v>YASHWANTRAO BHONSALE INSTITUTE OF TECHNOLOGY</x:v>
      </x:c>
      <x:c r="D707" s="72" t="n">
        <x:v>347061210</x:v>
      </x:c>
      <x:c r="E707" s="49" t="str">
        <x:v>Mechanical Engineering</x:v>
      </x:c>
      <x:c r="F707" s="73" t="n">
        <x:v>52</x:v>
      </x:c>
      <x:c r="G707" s="73" t="n">
        <x:v>45</x:v>
      </x:c>
      <x:c r="H707" s="73" t="n">
        <x:v>7</x:v>
      </x:c>
      <x:c r="I707" s="73"/>
      <x:c r="J707" s="73" t="n">
        <x:v>0</x:v>
      </x:c>
      <x:c r="K707" s="49" t="str">
        <x:v>Un-Aided</x:v>
      </x:c>
      <x:c r="L707" s="49" t="str">
        <x:v>MS Seats : 45+ EWS : 7</x:v>
      </x:c>
      <x:c r="M707" s="49" t="str">
        <x:v>https://dse2025.mahacet.org.in/dse25/admin/allotment/cap2/3470_4.pdf</x:v>
      </x:c>
    </x:row>
    <x:row r="708">
      <x:c r="A708" s="49" t="str">
        <x:v>2025-26</x:v>
      </x:c>
      <x:c r="B708" s="63" t="n">
        <x:v>3471</x:v>
      </x:c>
      <x:c r="C708" s="49" t="str">
        <x:v>New Horizon Institute of Technology &amp; Management, Thane</x:v>
      </x:c>
      <x:c r="D708" s="72" t="n">
        <x:v>347119110</x:v>
      </x:c>
      <x:c r="E708" s="49" t="str">
        <x:v>Civil Engineering</x:v>
      </x:c>
      <x:c r="F708" s="73" t="n">
        <x:v>56</x:v>
      </x:c>
      <x:c r="G708" s="73" t="n">
        <x:v>49</x:v>
      </x:c>
      <x:c r="H708" s="73" t="n">
        <x:v>7</x:v>
      </x:c>
      <x:c r="I708" s="73"/>
      <x:c r="J708" s="73" t="n">
        <x:v>0</x:v>
      </x:c>
      <x:c r="K708" s="49" t="str">
        <x:v>Un-Aided</x:v>
      </x:c>
      <x:c r="L708" s="49" t="str">
        <x:v>MS Seats : 49+ EWS : 7</x:v>
      </x:c>
      <x:c r="M708" s="49" t="str">
        <x:v>https://dse2025.mahacet.org.in/dse25/admin/allotment/cap2/3471_4.pdf</x:v>
      </x:c>
    </x:row>
    <x:row r="709">
      <x:c r="A709" s="49" t="str">
        <x:v>2025-26</x:v>
      </x:c>
      <x:c r="B709" s="63" t="n">
        <x:v>3471</x:v>
      </x:c>
      <x:c r="C709" s="49" t="str">
        <x:v>New Horizon Institute of Technology &amp; Management, Thane</x:v>
      </x:c>
      <x:c r="D709" s="72" t="n">
        <x:v>347124510</x:v>
      </x:c>
      <x:c r="E709" s="49" t="str">
        <x:v>Computer Engineering</x:v>
      </x:c>
      <x:c r="F709" s="73" t="n">
        <x:v>26</x:v>
      </x:c>
      <x:c r="G709" s="73" t="n">
        <x:v>20</x:v>
      </x:c>
      <x:c r="H709" s="73" t="n">
        <x:v>6</x:v>
      </x:c>
      <x:c r="I709" s="73"/>
      <x:c r="J709" s="73" t="n">
        <x:v>0</x:v>
      </x:c>
      <x:c r="K709" s="49" t="str">
        <x:v>Un-Aided</x:v>
      </x:c>
      <x:c r="L709" s="49" t="str">
        <x:v>MS Seats : 20+ EWS : 6</x:v>
      </x:c>
      <x:c r="M709" s="49" t="str">
        <x:v>https://dse2025.mahacet.org.in/dse25/admin/allotment/cap2/3471_4.pdf</x:v>
      </x:c>
    </x:row>
    <x:row r="710">
      <x:c r="A710" s="49" t="str">
        <x:v>2025-26</x:v>
      </x:c>
      <x:c r="B710" s="63" t="n">
        <x:v>3471</x:v>
      </x:c>
      <x:c r="C710" s="49" t="str">
        <x:v>New Horizon Institute of Technology &amp; Management, Thane</x:v>
      </x:c>
      <x:c r="D710" s="72" t="n">
        <x:v>347125710</x:v>
      </x:c>
      <x:c r="E710" s="49" t="str">
        <x:v>Computer Science and Design</x:v>
      </x:c>
      <x:c r="F710" s="73" t="n">
        <x:v>14</x:v>
      </x:c>
      <x:c r="G710" s="73" t="n">
        <x:v>9</x:v>
      </x:c>
      <x:c r="H710" s="73" t="n">
        <x:v>5</x:v>
      </x:c>
      <x:c r="I710" s="73"/>
      <x:c r="J710" s="73" t="n">
        <x:v>0</x:v>
      </x:c>
      <x:c r="K710" s="49" t="str">
        <x:v>Un-Aided</x:v>
      </x:c>
      <x:c r="L710" s="49" t="str">
        <x:v>MS Seats : 9+ EWS : 5</x:v>
      </x:c>
      <x:c r="M710" s="49" t="str">
        <x:v>https://dse2025.mahacet.org.in/dse25/admin/allotment/cap2/3471_4.pdf</x:v>
      </x:c>
    </x:row>
    <x:row r="711">
      <x:c r="A711" s="49" t="str">
        <x:v>2025-26</x:v>
      </x:c>
      <x:c r="B711" s="63" t="n">
        <x:v>3471</x:v>
      </x:c>
      <x:c r="C711" s="49" t="str">
        <x:v>New Horizon Institute of Technology &amp; Management, Thane</x:v>
      </x:c>
      <x:c r="D711" s="72" t="n">
        <x:v>347161210</x:v>
      </x:c>
      <x:c r="E711" s="49" t="str">
        <x:v>Mechanical Engineering</x:v>
      </x:c>
      <x:c r="F711" s="73" t="n">
        <x:v>21</x:v>
      </x:c>
      <x:c r="G711" s="73" t="n">
        <x:v>18</x:v>
      </x:c>
      <x:c r="H711" s="73" t="n">
        <x:v>3</x:v>
      </x:c>
      <x:c r="I711" s="73"/>
      <x:c r="J711" s="73" t="n">
        <x:v>0</x:v>
      </x:c>
      <x:c r="K711" s="49" t="str">
        <x:v>Un-Aided</x:v>
      </x:c>
      <x:c r="L711" s="49" t="str">
        <x:v>MS Seats : 18+ EWS : 3</x:v>
      </x:c>
      <x:c r="M711" s="49" t="str">
        <x:v>https://dse2025.mahacet.org.in/dse25/admin/allotment/cap2/3471_4.pdf</x:v>
      </x:c>
    </x:row>
    <x:row r="712">
      <x:c r="A712" s="49" t="str">
        <x:v>2025-26</x:v>
      </x:c>
      <x:c r="B712" s="63" t="n">
        <x:v>3471</x:v>
      </x:c>
      <x:c r="C712" s="49" t="str">
        <x:v>New Horizon Institute of Technology &amp; Management, Thane</x:v>
      </x:c>
      <x:c r="D712" s="72" t="n">
        <x:v>347162410</x:v>
      </x:c>
      <x:c r="E712" s="49" t="str">
        <x:v>Mechatronics Engineering</x:v>
      </x:c>
      <x:c r="F712" s="73" t="n">
        <x:v>19</x:v>
      </x:c>
      <x:c r="G712" s="73" t="n">
        <x:v>15</x:v>
      </x:c>
      <x:c r="H712" s="73" t="n">
        <x:v>4</x:v>
      </x:c>
      <x:c r="I712" s="73"/>
      <x:c r="J712" s="73" t="n">
        <x:v>0</x:v>
      </x:c>
      <x:c r="K712" s="49" t="str">
        <x:v>Un-Aided</x:v>
      </x:c>
      <x:c r="L712" s="49" t="str">
        <x:v>MS Seats : 15+ EWS : 4</x:v>
      </x:c>
      <x:c r="M712" s="49" t="str">
        <x:v>https://dse2025.mahacet.org.in/dse25/admin/allotment/cap2/3471_4.pdf</x:v>
      </x:c>
    </x:row>
    <x:row r="713">
      <x:c r="A713" s="49" t="str">
        <x:v>2025-26</x:v>
      </x:c>
      <x:c r="B713" s="63" t="n">
        <x:v>3471</x:v>
      </x:c>
      <x:c r="C713" s="49" t="str">
        <x:v>New Horizon Institute of Technology &amp; Management, Thane</x:v>
      </x:c>
      <x:c r="D713" s="72" t="n">
        <x:v>347199510</x:v>
      </x:c>
      <x:c r="E713" s="49" t="str">
        <x:v>Artificial Intelligence and Data Science</x:v>
      </x:c>
      <x:c r="F713" s="73" t="n">
        <x:v>16</x:v>
      </x:c>
      <x:c r="G713" s="73" t="n">
        <x:v>11</x:v>
      </x:c>
      <x:c r="H713" s="73" t="n">
        <x:v>5</x:v>
      </x:c>
      <x:c r="I713" s="73"/>
      <x:c r="J713" s="73" t="n">
        <x:v>0</x:v>
      </x:c>
      <x:c r="K713" s="49" t="str">
        <x:v>Un-Aided</x:v>
      </x:c>
      <x:c r="L713" s="49" t="str">
        <x:v>MS Seats : 11+ EWS : 5</x:v>
      </x:c>
      <x:c r="M713" s="49" t="str">
        <x:v>https://dse2025.mahacet.org.in/dse25/admin/allotment/cap2/3471_4.pdf</x:v>
      </x:c>
    </x:row>
    <x:row r="714">
      <x:c r="A714" s="49" t="str">
        <x:v>2025-26</x:v>
      </x:c>
      <x:c r="B714" s="63" t="n">
        <x:v>3475</x:v>
      </x:c>
      <x:c r="C714" s="49" t="str">
        <x:v>A. P. Shah Institute of Technology, Thane</x:v>
      </x:c>
      <x:c r="D714" s="72" t="n">
        <x:v>347519110</x:v>
      </x:c>
      <x:c r="E714" s="49" t="str">
        <x:v>Civil Engineering</x:v>
      </x:c>
      <x:c r="F714" s="73" t="n">
        <x:v>5</x:v>
      </x:c>
      <x:c r="G714" s="73" t="n">
        <x:v>2</x:v>
      </x:c>
      <x:c r="H714" s="73"/>
      <x:c r="I714" s="73" t="n">
        <x:v>3</x:v>
      </x:c>
      <x:c r="J714" s="73" t="n">
        <x:v>0</x:v>
      </x:c>
      <x:c r="K714" s="49" t="str">
        <x:v>Un-Aided Religious Minority - Jain</x:v>
      </x:c>
      <x:c r="L714" s="49" t="str">
        <x:v>MS Seats : 2 + Minority Seats : 3</x:v>
      </x:c>
      <x:c r="M714" s="49" t="str">
        <x:v>https://dse2025.mahacet.org.in/dse25/admin/allotment/cap2/3475_4.pdf</x:v>
      </x:c>
    </x:row>
    <x:row r="715">
      <x:c r="A715" s="49" t="str">
        <x:v>2025-26</x:v>
      </x:c>
      <x:c r="B715" s="63" t="n">
        <x:v>3475</x:v>
      </x:c>
      <x:c r="C715" s="49" t="str">
        <x:v>A. P. Shah Institute of Technology, Thane</x:v>
      </x:c>
      <x:c r="D715" s="72" t="n">
        <x:v>347524510</x:v>
      </x:c>
      <x:c r="E715" s="49" t="str">
        <x:v>Computer Engineering</x:v>
      </x:c>
      <x:c r="F715" s="73" t="n">
        <x:v>21</x:v>
      </x:c>
      <x:c r="G715" s="73" t="n">
        <x:v>9</x:v>
      </x:c>
      <x:c r="H715" s="73"/>
      <x:c r="I715" s="73" t="n">
        <x:v>12</x:v>
      </x:c>
      <x:c r="J715" s="73" t="n">
        <x:v>0</x:v>
      </x:c>
      <x:c r="K715" s="49" t="str">
        <x:v>Un-Aided Religious Minority - Jain</x:v>
      </x:c>
      <x:c r="L715" s="49" t="str">
        <x:v>MS Seats : 9 + Minority Seats : 12</x:v>
      </x:c>
      <x:c r="M715" s="49" t="str">
        <x:v>https://dse2025.mahacet.org.in/dse25/admin/allotment/cap2/3475_4.pdf</x:v>
      </x:c>
    </x:row>
    <x:row r="716">
      <x:c r="A716" s="49" t="str">
        <x:v>2025-26</x:v>
      </x:c>
      <x:c r="B716" s="63" t="n">
        <x:v>3475</x:v>
      </x:c>
      <x:c r="C716" s="49" t="str">
        <x:v>A. P. Shah Institute of Technology, Thane</x:v>
      </x:c>
      <x:c r="D716" s="72" t="n">
        <x:v>347524610</x:v>
      </x:c>
      <x:c r="E716" s="49" t="str">
        <x:v>Information Technology</x:v>
      </x:c>
      <x:c r="F716" s="73" t="n">
        <x:v>20</x:v>
      </x:c>
      <x:c r="G716" s="73" t="n">
        <x:v>9</x:v>
      </x:c>
      <x:c r="H716" s="73"/>
      <x:c r="I716" s="73" t="n">
        <x:v>11</x:v>
      </x:c>
      <x:c r="J716" s="73" t="n">
        <x:v>0</x:v>
      </x:c>
      <x:c r="K716" s="49" t="str">
        <x:v>Un-Aided Religious Minority - Jain</x:v>
      </x:c>
      <x:c r="L716" s="49" t="str">
        <x:v>MS Seats : 9 + Minority Seats : 11</x:v>
      </x:c>
      <x:c r="M716" s="49" t="str">
        <x:v>https://dse2025.mahacet.org.in/dse25/admin/allotment/cap2/3475_4.pdf</x:v>
      </x:c>
    </x:row>
    <x:row r="717">
      <x:c r="A717" s="49" t="str">
        <x:v>2025-26</x:v>
      </x:c>
      <x:c r="B717" s="63" t="n">
        <x:v>3475</x:v>
      </x:c>
      <x:c r="C717" s="49" t="str">
        <x:v>A. P. Shah Institute of Technology, Thane</x:v>
      </x:c>
      <x:c r="D717" s="72" t="n">
        <x:v>347561210</x:v>
      </x:c>
      <x:c r="E717" s="49" t="str">
        <x:v>Mechanical Engineering</x:v>
      </x:c>
      <x:c r="F717" s="73" t="n">
        <x:v>4</x:v>
      </x:c>
      <x:c r="G717" s="73" t="n">
        <x:v>1</x:v>
      </x:c>
      <x:c r="H717" s="73"/>
      <x:c r="I717" s="73" t="n">
        <x:v>3</x:v>
      </x:c>
      <x:c r="J717" s="73" t="n">
        <x:v>0</x:v>
      </x:c>
      <x:c r="K717" s="49" t="str">
        <x:v>Un-Aided Religious Minority - Jain</x:v>
      </x:c>
      <x:c r="L717" s="49" t="str">
        <x:v>MS Seats : 1 + Minority Seats : 3</x:v>
      </x:c>
      <x:c r="M717" s="49" t="str">
        <x:v>https://dse2025.mahacet.org.in/dse25/admin/allotment/cap2/3475_4.pdf</x:v>
      </x:c>
    </x:row>
    <x:row r="718">
      <x:c r="A718" s="49" t="str">
        <x:v>2025-26</x:v>
      </x:c>
      <x:c r="B718" s="63" t="n">
        <x:v>3475</x:v>
      </x:c>
      <x:c r="C718" s="49" t="str">
        <x:v>A. P. Shah Institute of Technology, Thane</x:v>
      </x:c>
      <x:c r="D718" s="72" t="n">
        <x:v>347591110</x:v>
      </x:c>
      <x:c r="E718" s="49" t="str">
        <x:v>Computer Science and Engineering(Artificial Intelligence and Machine Learning)</x:v>
      </x:c>
      <x:c r="F718" s="73" t="n">
        <x:v>21</x:v>
      </x:c>
      <x:c r="G718" s="73" t="n">
        <x:v>10</x:v>
      </x:c>
      <x:c r="H718" s="73"/>
      <x:c r="I718" s="73" t="n">
        <x:v>11</x:v>
      </x:c>
      <x:c r="J718" s="73" t="n">
        <x:v>0</x:v>
      </x:c>
      <x:c r="K718" s="49" t="str">
        <x:v>Un-Aided Religious Minority - Jain</x:v>
      </x:c>
      <x:c r="L718" s="49" t="str">
        <x:v>MS Seats : 10 + Minority Seats : 11</x:v>
      </x:c>
      <x:c r="M718" s="49" t="str">
        <x:v>https://dse2025.mahacet.org.in/dse25/admin/allotment/cap2/3475_4.pdf</x:v>
      </x:c>
    </x:row>
    <x:row r="719">
      <x:c r="A719" s="49" t="str">
        <x:v>2025-26</x:v>
      </x:c>
      <x:c r="B719" s="63" t="n">
        <x:v>3475</x:v>
      </x:c>
      <x:c r="C719" s="49" t="str">
        <x:v>A. P. Shah Institute of Technology, Thane</x:v>
      </x:c>
      <x:c r="D719" s="72" t="n">
        <x:v>347591210</x:v>
      </x:c>
      <x:c r="E719" s="49" t="str">
        <x:v>Computer Science and Engineering(Data Science)</x:v>
      </x:c>
      <x:c r="F719" s="73" t="n">
        <x:v>14</x:v>
      </x:c>
      <x:c r="G719" s="73" t="n">
        <x:v>6</x:v>
      </x:c>
      <x:c r="H719" s="73"/>
      <x:c r="I719" s="73" t="n">
        <x:v>8</x:v>
      </x:c>
      <x:c r="J719" s="73" t="n">
        <x:v>0</x:v>
      </x:c>
      <x:c r="K719" s="49" t="str">
        <x:v>Un-Aided Religious Minority - Jain</x:v>
      </x:c>
      <x:c r="L719" s="49" t="str">
        <x:v>MS Seats : 6 + Minority Seats : 8</x:v>
      </x:c>
      <x:c r="M719" s="49" t="str">
        <x:v>https://dse2025.mahacet.org.in/dse25/admin/allotment/cap2/3475_4.pdf</x:v>
      </x:c>
    </x:row>
    <x:row r="720">
      <x:c r="A720" s="49" t="str">
        <x:v>2025-26</x:v>
      </x:c>
      <x:c r="B720" s="63" t="n">
        <x:v>3477</x:v>
      </x:c>
      <x:c r="C720" s="49" t="str">
        <x:v>Chhartrapati Shivaji Maharaj Institute of Technology, Shedung, Panvel</x:v>
      </x:c>
      <x:c r="D720" s="72" t="n">
        <x:v>347719110</x:v>
      </x:c>
      <x:c r="E720" s="49" t="str">
        <x:v>Civil Engineering</x:v>
      </x:c>
      <x:c r="F720" s="73" t="n">
        <x:v>145</x:v>
      </x:c>
      <x:c r="G720" s="73" t="n">
        <x:v>131</x:v>
      </x:c>
      <x:c r="H720" s="73" t="n">
        <x:v>14</x:v>
      </x:c>
      <x:c r="I720" s="73"/>
      <x:c r="J720" s="73" t="n">
        <x:v>0</x:v>
      </x:c>
      <x:c r="K720" s="49" t="str">
        <x:v>Un-Aided</x:v>
      </x:c>
      <x:c r="L720" s="49" t="str">
        <x:v>MS Seats : 131+ EWS : 14</x:v>
      </x:c>
      <x:c r="M720" s="49" t="str">
        <x:v>https://dse2025.mahacet.org.in/dse25/admin/allotment/cap2/3477_4.pdf</x:v>
      </x:c>
    </x:row>
    <x:row r="721">
      <x:c r="A721" s="49" t="str">
        <x:v>2025-26</x:v>
      </x:c>
      <x:c r="B721" s="63" t="n">
        <x:v>3477</x:v>
      </x:c>
      <x:c r="C721" s="49" t="str">
        <x:v>Chhartrapati Shivaji Maharaj Institute of Technology, Shedung, Panvel</x:v>
      </x:c>
      <x:c r="D721" s="72" t="n">
        <x:v>347724510</x:v>
      </x:c>
      <x:c r="E721" s="49" t="str">
        <x:v>Computer Engineering</x:v>
      </x:c>
      <x:c r="F721" s="73" t="n">
        <x:v>30</x:v>
      </x:c>
      <x:c r="G721" s="73" t="n">
        <x:v>26</x:v>
      </x:c>
      <x:c r="H721" s="73" t="n">
        <x:v>4</x:v>
      </x:c>
      <x:c r="I721" s="73"/>
      <x:c r="J721" s="73" t="n">
        <x:v>0</x:v>
      </x:c>
      <x:c r="K721" s="49" t="str">
        <x:v>Un-Aided</x:v>
      </x:c>
      <x:c r="L721" s="49" t="str">
        <x:v>MS Seats : 26+ EWS : 4</x:v>
      </x:c>
      <x:c r="M721" s="49" t="str">
        <x:v>https://dse2025.mahacet.org.in/dse25/admin/allotment/cap2/3477_4.pdf</x:v>
      </x:c>
    </x:row>
    <x:row r="722">
      <x:c r="A722" s="49" t="str">
        <x:v>2025-26</x:v>
      </x:c>
      <x:c r="B722" s="63" t="n">
        <x:v>3477</x:v>
      </x:c>
      <x:c r="C722" s="49" t="str">
        <x:v>Chhartrapati Shivaji Maharaj Institute of Technology, Shedung, Panvel</x:v>
      </x:c>
      <x:c r="D722" s="72" t="n">
        <x:v>347761210</x:v>
      </x:c>
      <x:c r="E722" s="49" t="str">
        <x:v>Mechanical Engineering</x:v>
      </x:c>
      <x:c r="F722" s="73" t="n">
        <x:v>139</x:v>
      </x:c>
      <x:c r="G722" s="73" t="n">
        <x:v>125</x:v>
      </x:c>
      <x:c r="H722" s="73" t="n">
        <x:v>14</x:v>
      </x:c>
      <x:c r="I722" s="73"/>
      <x:c r="J722" s="73" t="n">
        <x:v>0</x:v>
      </x:c>
      <x:c r="K722" s="49" t="str">
        <x:v>Un-Aided</x:v>
      </x:c>
      <x:c r="L722" s="49" t="str">
        <x:v>MS Seats : 125+ EWS : 14</x:v>
      </x:c>
      <x:c r="M722" s="49" t="str">
        <x:v>https://dse2025.mahacet.org.in/dse25/admin/allotment/cap2/3477_4.pdf</x:v>
      </x:c>
    </x:row>
    <x:row r="723">
      <x:c r="A723" s="49" t="str">
        <x:v>2025-26</x:v>
      </x:c>
      <x:c r="B723" s="63" t="n">
        <x:v>3503</x:v>
      </x:c>
      <x:c r="C723" s="49" t="str">
        <x:v>Indala College Of Engineering, Bapsai Tal.Kalyan</x:v>
      </x:c>
      <x:c r="D723" s="72" t="n">
        <x:v>350319110</x:v>
      </x:c>
      <x:c r="E723" s="49" t="str">
        <x:v>Civil Engineering</x:v>
      </x:c>
      <x:c r="F723" s="73" t="n">
        <x:v>65</x:v>
      </x:c>
      <x:c r="G723" s="73" t="n">
        <x:v>58</x:v>
      </x:c>
      <x:c r="H723" s="73" t="n">
        <x:v>7</x:v>
      </x:c>
      <x:c r="I723" s="73"/>
      <x:c r="J723" s="73" t="n">
        <x:v>0</x:v>
      </x:c>
      <x:c r="K723" s="49" t="str">
        <x:v>Un-Aided</x:v>
      </x:c>
      <x:c r="L723" s="49" t="str">
        <x:v>MS Seats : 58+ EWS : 7</x:v>
      </x:c>
      <x:c r="M723" s="49" t="str">
        <x:v>https://dse2025.mahacet.org.in/dse25/admin/allotment/cap2/3503_4.pdf</x:v>
      </x:c>
    </x:row>
    <x:row r="724">
      <x:c r="A724" s="49" t="str">
        <x:v>2025-26</x:v>
      </x:c>
      <x:c r="B724" s="63" t="n">
        <x:v>3503</x:v>
      </x:c>
      <x:c r="C724" s="49" t="str">
        <x:v>Indala College Of Engineering, Bapsai Tal.Kalyan</x:v>
      </x:c>
      <x:c r="D724" s="72" t="n">
        <x:v>350324510</x:v>
      </x:c>
      <x:c r="E724" s="49" t="str">
        <x:v>Computer Engineering</x:v>
      </x:c>
      <x:c r="F724" s="73" t="n">
        <x:v>25</x:v>
      </x:c>
      <x:c r="G724" s="73" t="n">
        <x:v>19</x:v>
      </x:c>
      <x:c r="H724" s="73" t="n">
        <x:v>6</x:v>
      </x:c>
      <x:c r="I724" s="73"/>
      <x:c r="J724" s="73" t="n">
        <x:v>0</x:v>
      </x:c>
      <x:c r="K724" s="49" t="str">
        <x:v>Un-Aided</x:v>
      </x:c>
      <x:c r="L724" s="49" t="str">
        <x:v>MS Seats : 19+ EWS : 6</x:v>
      </x:c>
      <x:c r="M724" s="49" t="str">
        <x:v>https://dse2025.mahacet.org.in/dse25/admin/allotment/cap2/3503_4.pdf</x:v>
      </x:c>
    </x:row>
    <x:row r="725">
      <x:c r="A725" s="49" t="str">
        <x:v>2025-26</x:v>
      </x:c>
      <x:c r="B725" s="63" t="n">
        <x:v>3503</x:v>
      </x:c>
      <x:c r="C725" s="49" t="str">
        <x:v>Indala College Of Engineering, Bapsai Tal.Kalyan</x:v>
      </x:c>
      <x:c r="D725" s="72" t="n">
        <x:v>350324610</x:v>
      </x:c>
      <x:c r="E725" s="49" t="str">
        <x:v>Information Technology</x:v>
      </x:c>
      <x:c r="F725" s="73" t="n">
        <x:v>39</x:v>
      </x:c>
      <x:c r="G725" s="73" t="n">
        <x:v>32</x:v>
      </x:c>
      <x:c r="H725" s="73" t="n">
        <x:v>7</x:v>
      </x:c>
      <x:c r="I725" s="73"/>
      <x:c r="J725" s="73" t="n">
        <x:v>0</x:v>
      </x:c>
      <x:c r="K725" s="49" t="str">
        <x:v>Un-Aided</x:v>
      </x:c>
      <x:c r="L725" s="49" t="str">
        <x:v>MS Seats : 32+ EWS : 7</x:v>
      </x:c>
      <x:c r="M725" s="49" t="str">
        <x:v>https://dse2025.mahacet.org.in/dse25/admin/allotment/cap2/3503_4.pdf</x:v>
      </x:c>
    </x:row>
    <x:row r="726">
      <x:c r="A726" s="49" t="str">
        <x:v>2025-26</x:v>
      </x:c>
      <x:c r="B726" s="63" t="n">
        <x:v>3503</x:v>
      </x:c>
      <x:c r="C726" s="49" t="str">
        <x:v>Indala College Of Engineering, Bapsai Tal.Kalyan</x:v>
      </x:c>
      <x:c r="D726" s="72" t="n">
        <x:v>350326310</x:v>
      </x:c>
      <x:c r="E726" s="49" t="str">
        <x:v>Artificial Intelligence (AI) and Data Science</x:v>
      </x:c>
      <x:c r="F726" s="73" t="n">
        <x:v>40</x:v>
      </x:c>
      <x:c r="G726" s="73" t="n">
        <x:v>33</x:v>
      </x:c>
      <x:c r="H726" s="73" t="n">
        <x:v>7</x:v>
      </x:c>
      <x:c r="I726" s="73"/>
      <x:c r="J726" s="73" t="n">
        <x:v>0</x:v>
      </x:c>
      <x:c r="K726" s="49" t="str">
        <x:v>Un-Aided</x:v>
      </x:c>
      <x:c r="L726" s="49" t="str">
        <x:v>MS Seats : 33+ EWS : 7</x:v>
      </x:c>
      <x:c r="M726" s="49" t="str">
        <x:v>https://dse2025.mahacet.org.in/dse25/admin/allotment/cap2/3503_4.pdf</x:v>
      </x:c>
    </x:row>
    <x:row r="727">
      <x:c r="A727" s="49" t="str">
        <x:v>2025-26</x:v>
      </x:c>
      <x:c r="B727" s="63" t="n">
        <x:v>3503</x:v>
      </x:c>
      <x:c r="C727" s="49" t="str">
        <x:v>Indala College Of Engineering, Bapsai Tal.Kalyan</x:v>
      </x:c>
      <x:c r="D727" s="72" t="n">
        <x:v>350329310</x:v>
      </x:c>
      <x:c r="E727" s="49" t="str">
        <x:v>Electrical Engineering</x:v>
      </x:c>
      <x:c r="F727" s="73" t="n">
        <x:v>70</x:v>
      </x:c>
      <x:c r="G727" s="73" t="n">
        <x:v>63</x:v>
      </x:c>
      <x:c r="H727" s="73" t="n">
        <x:v>7</x:v>
      </x:c>
      <x:c r="I727" s="73"/>
      <x:c r="J727" s="73" t="n">
        <x:v>0</x:v>
      </x:c>
      <x:c r="K727" s="49" t="str">
        <x:v>Un-Aided</x:v>
      </x:c>
      <x:c r="L727" s="49" t="str">
        <x:v>MS Seats : 63+ EWS : 7</x:v>
      </x:c>
      <x:c r="M727" s="49" t="str">
        <x:v>https://dse2025.mahacet.org.in/dse25/admin/allotment/cap2/3503_4.pdf</x:v>
      </x:c>
    </x:row>
    <x:row r="728">
      <x:c r="A728" s="49" t="str">
        <x:v>2025-26</x:v>
      </x:c>
      <x:c r="B728" s="63" t="n">
        <x:v>3503</x:v>
      </x:c>
      <x:c r="C728" s="49" t="str">
        <x:v>Indala College Of Engineering, Bapsai Tal.Kalyan</x:v>
      </x:c>
      <x:c r="D728" s="72" t="n">
        <x:v>350361210</x:v>
      </x:c>
      <x:c r="E728" s="49" t="str">
        <x:v>Mechanical Engineering</x:v>
      </x:c>
      <x:c r="F728" s="73" t="n">
        <x:v>73</x:v>
      </x:c>
      <x:c r="G728" s="73" t="n">
        <x:v>66</x:v>
      </x:c>
      <x:c r="H728" s="73" t="n">
        <x:v>7</x:v>
      </x:c>
      <x:c r="I728" s="73"/>
      <x:c r="J728" s="73" t="n">
        <x:v>0</x:v>
      </x:c>
      <x:c r="K728" s="49" t="str">
        <x:v>Un-Aided</x:v>
      </x:c>
      <x:c r="L728" s="49" t="str">
        <x:v>MS Seats : 66+ EWS : 7</x:v>
      </x:c>
      <x:c r="M728" s="49" t="str">
        <x:v>https://dse2025.mahacet.org.in/dse25/admin/allotment/cap2/3503_4.pdf</x:v>
      </x:c>
    </x:row>
    <x:row r="729">
      <x:c r="A729" s="49" t="str">
        <x:v>2025-26</x:v>
      </x:c>
      <x:c r="B729" s="63" t="n">
        <x:v>3546</x:v>
      </x:c>
      <x:c r="C729" s="49" t="str">
        <x:v>Devi Mahalaxmi College of Engineering and Technology</x:v>
      </x:c>
      <x:c r="D729" s="72" t="n">
        <x:v>354619110</x:v>
      </x:c>
      <x:c r="E729" s="49" t="str">
        <x:v>Civil Engineering</x:v>
      </x:c>
      <x:c r="F729" s="73" t="n">
        <x:v>74</x:v>
      </x:c>
      <x:c r="G729" s="73" t="n">
        <x:v>67</x:v>
      </x:c>
      <x:c r="H729" s="73" t="n">
        <x:v>7</x:v>
      </x:c>
      <x:c r="I729" s="73"/>
      <x:c r="J729" s="73" t="n">
        <x:v>0</x:v>
      </x:c>
      <x:c r="K729" s="49" t="str">
        <x:v>Un-Aided</x:v>
      </x:c>
      <x:c r="L729" s="49" t="str">
        <x:v>MS Seats : 67+ EWS : 7</x:v>
      </x:c>
      <x:c r="M729" s="49" t="str">
        <x:v>https://dse2025.mahacet.org.in/dse25/admin/allotment/cap2/3546_4.pdf</x:v>
      </x:c>
    </x:row>
    <x:row r="730">
      <x:c r="A730" s="49" t="str">
        <x:v>2025-26</x:v>
      </x:c>
      <x:c r="B730" s="63" t="n">
        <x:v>3546</x:v>
      </x:c>
      <x:c r="C730" s="49" t="str">
        <x:v>Devi Mahalaxmi College of Engineering and Technology</x:v>
      </x:c>
      <x:c r="D730" s="72" t="n">
        <x:v>354624510</x:v>
      </x:c>
      <x:c r="E730" s="49" t="str">
        <x:v>Computer Engineering</x:v>
      </x:c>
      <x:c r="F730" s="73" t="n">
        <x:v>62</x:v>
      </x:c>
      <x:c r="G730" s="73" t="n">
        <x:v>55</x:v>
      </x:c>
      <x:c r="H730" s="73" t="n">
        <x:v>7</x:v>
      </x:c>
      <x:c r="I730" s="73"/>
      <x:c r="J730" s="73" t="n">
        <x:v>0</x:v>
      </x:c>
      <x:c r="K730" s="49" t="str">
        <x:v>Un-Aided</x:v>
      </x:c>
      <x:c r="L730" s="49" t="str">
        <x:v>MS Seats : 55+ EWS : 7</x:v>
      </x:c>
      <x:c r="M730" s="49" t="str">
        <x:v>https://dse2025.mahacet.org.in/dse25/admin/allotment/cap2/3546_4.pdf</x:v>
      </x:c>
    </x:row>
    <x:row r="731">
      <x:c r="A731" s="49" t="str">
        <x:v>2025-26</x:v>
      </x:c>
      <x:c r="B731" s="63" t="n">
        <x:v>3546</x:v>
      </x:c>
      <x:c r="C731" s="49" t="str">
        <x:v>Devi Mahalaxmi College of Engineering and Technology</x:v>
      </x:c>
      <x:c r="D731" s="72" t="n">
        <x:v>354629310</x:v>
      </x:c>
      <x:c r="E731" s="49" t="str">
        <x:v>Electrical Engineering</x:v>
      </x:c>
      <x:c r="F731" s="73" t="n">
        <x:v>72</x:v>
      </x:c>
      <x:c r="G731" s="73" t="n">
        <x:v>65</x:v>
      </x:c>
      <x:c r="H731" s="73" t="n">
        <x:v>7</x:v>
      </x:c>
      <x:c r="I731" s="73"/>
      <x:c r="J731" s="73" t="n">
        <x:v>0</x:v>
      </x:c>
      <x:c r="K731" s="49" t="str">
        <x:v>Un-Aided</x:v>
      </x:c>
      <x:c r="L731" s="49" t="str">
        <x:v>MS Seats : 65+ EWS : 7</x:v>
      </x:c>
      <x:c r="M731" s="49" t="str">
        <x:v>https://dse2025.mahacet.org.in/dse25/admin/allotment/cap2/3546_4.pdf</x:v>
      </x:c>
    </x:row>
    <x:row r="732">
      <x:c r="A732" s="49" t="str">
        <x:v>2025-26</x:v>
      </x:c>
      <x:c r="B732" s="63" t="n">
        <x:v>3546</x:v>
      </x:c>
      <x:c r="C732" s="49" t="str">
        <x:v>Devi Mahalaxmi College of Engineering and Technology</x:v>
      </x:c>
      <x:c r="D732" s="72" t="n">
        <x:v>354661210</x:v>
      </x:c>
      <x:c r="E732" s="49" t="str">
        <x:v>Mechanical Engineering</x:v>
      </x:c>
      <x:c r="F732" s="73" t="n">
        <x:v>73</x:v>
      </x:c>
      <x:c r="G732" s="73" t="n">
        <x:v>66</x:v>
      </x:c>
      <x:c r="H732" s="73" t="n">
        <x:v>7</x:v>
      </x:c>
      <x:c r="I732" s="73"/>
      <x:c r="J732" s="73" t="n">
        <x:v>0</x:v>
      </x:c>
      <x:c r="K732" s="49" t="str">
        <x:v>Un-Aided</x:v>
      </x:c>
      <x:c r="L732" s="49" t="str">
        <x:v>MS Seats : 66+ EWS : 7</x:v>
      </x:c>
      <x:c r="M732" s="49" t="str">
        <x:v>https://dse2025.mahacet.org.in/dse25/admin/allotment/cap2/3546_4.pdf</x:v>
      </x:c>
    </x:row>
    <x:row r="733">
      <x:c r="A733" s="49" t="str">
        <x:v>2025-26</x:v>
      </x:c>
      <x:c r="B733" s="63" t="n">
        <x:v>3546</x:v>
      </x:c>
      <x:c r="C733" s="49" t="str">
        <x:v>Devi Mahalaxmi College of Engineering and Technology</x:v>
      </x:c>
      <x:c r="D733" s="72" t="n">
        <x:v>354691110</x:v>
      </x:c>
      <x:c r="E733" s="49" t="str">
        <x:v>Computer Science and Engineering(Artificial Intelligence and Machine Learning)</x:v>
      </x:c>
      <x:c r="F733" s="73" t="n">
        <x:v>57</x:v>
      </x:c>
      <x:c r="G733" s="73" t="n">
        <x:v>50</x:v>
      </x:c>
      <x:c r="H733" s="73" t="n">
        <x:v>7</x:v>
      </x:c>
      <x:c r="I733" s="73"/>
      <x:c r="J733" s="73" t="n">
        <x:v>0</x:v>
      </x:c>
      <x:c r="K733" s="49" t="str">
        <x:v>Un-Aided</x:v>
      </x:c>
      <x:c r="L733" s="49" t="str">
        <x:v>MS Seats : 50+ EWS : 7</x:v>
      </x:c>
      <x:c r="M733" s="49" t="str">
        <x:v>https://dse2025.mahacet.org.in/dse25/admin/allotment/cap2/3546_4.pdf</x:v>
      </x:c>
    </x:row>
    <x:row r="734">
      <x:c r="A734" s="49" t="str">
        <x:v>2025-26</x:v>
      </x:c>
      <x:c r="B734" s="63" t="n">
        <x:v>4004</x:v>
      </x:c>
      <x:c r="C734" s="49" t="str">
        <x:v>Government College of Engineering, Chandrapur</x:v>
      </x:c>
      <x:c r="D734" s="72" t="n">
        <x:v>400419110</x:v>
      </x:c>
      <x:c r="E734" s="49" t="str">
        <x:v>Civil Engineering</x:v>
      </x:c>
      <x:c r="F734" s="73" t="n">
        <x:v>13</x:v>
      </x:c>
      <x:c r="G734" s="73" t="n">
        <x:v>10</x:v>
      </x:c>
      <x:c r="H734" s="73" t="n">
        <x:v>3</x:v>
      </x:c>
      <x:c r="I734" s="73"/>
      <x:c r="J734" s="73" t="n">
        <x:v>0</x:v>
      </x:c>
      <x:c r="K734" s="49" t="str">
        <x:v>Government</x:v>
      </x:c>
      <x:c r="L734" s="49" t="str">
        <x:v>MS Seats : 10+ EWS : 3</x:v>
      </x:c>
      <x:c r="M734" s="49" t="str">
        <x:v>https://dse2025.mahacet.org.in/dse25/admin/allotment/cap2/4004_4.pdf</x:v>
      </x:c>
    </x:row>
    <x:row r="735">
      <x:c r="A735" s="49" t="str">
        <x:v>2025-26</x:v>
      </x:c>
      <x:c r="B735" s="63" t="n">
        <x:v>4004</x:v>
      </x:c>
      <x:c r="C735" s="49" t="str">
        <x:v>Government College of Engineering, Chandrapur</x:v>
      </x:c>
      <x:c r="D735" s="72" t="n">
        <x:v>400424210</x:v>
      </x:c>
      <x:c r="E735" s="49" t="str">
        <x:v>Computer Science and Engineering</x:v>
      </x:c>
      <x:c r="F735" s="73" t="n">
        <x:v>10</x:v>
      </x:c>
      <x:c r="G735" s="73" t="n">
        <x:v>7</x:v>
      </x:c>
      <x:c r="H735" s="73" t="n">
        <x:v>3</x:v>
      </x:c>
      <x:c r="I735" s="73"/>
      <x:c r="J735" s="73" t="n">
        <x:v>0</x:v>
      </x:c>
      <x:c r="K735" s="49" t="str">
        <x:v>Government</x:v>
      </x:c>
      <x:c r="L735" s="49" t="str">
        <x:v>MS Seats : 7+ EWS : 3</x:v>
      </x:c>
      <x:c r="M735" s="49" t="str">
        <x:v>https://dse2025.mahacet.org.in/dse25/admin/allotment/cap2/4004_4.pdf</x:v>
      </x:c>
    </x:row>
    <x:row r="736">
      <x:c r="A736" s="49" t="str">
        <x:v>2025-26</x:v>
      </x:c>
      <x:c r="B736" s="63" t="n">
        <x:v>4004</x:v>
      </x:c>
      <x:c r="C736" s="49" t="str">
        <x:v>Government College of Engineering, Chandrapur</x:v>
      </x:c>
      <x:c r="D736" s="72" t="n">
        <x:v>400429310</x:v>
      </x:c>
      <x:c r="E736" s="49" t="str">
        <x:v>Electrical Engineering</x:v>
      </x:c>
      <x:c r="F736" s="73" t="n">
        <x:v>12</x:v>
      </x:c>
      <x:c r="G736" s="73" t="n">
        <x:v>7</x:v>
      </x:c>
      <x:c r="H736" s="73" t="n">
        <x:v>5</x:v>
      </x:c>
      <x:c r="I736" s="73"/>
      <x:c r="J736" s="73" t="n">
        <x:v>0</x:v>
      </x:c>
      <x:c r="K736" s="49" t="str">
        <x:v>Government</x:v>
      </x:c>
      <x:c r="L736" s="49" t="str">
        <x:v>MS Seats : 7+ EWS : 5</x:v>
      </x:c>
      <x:c r="M736" s="49" t="str">
        <x:v>https://dse2025.mahacet.org.in/dse25/admin/allotment/cap2/4004_4.pdf</x:v>
      </x:c>
    </x:row>
    <x:row r="737">
      <x:c r="A737" s="49" t="str">
        <x:v>2025-26</x:v>
      </x:c>
      <x:c r="B737" s="63" t="n">
        <x:v>4004</x:v>
      </x:c>
      <x:c r="C737" s="49" t="str">
        <x:v>Government College of Engineering, Chandrapur</x:v>
      </x:c>
      <x:c r="D737" s="72" t="n">
        <x:v>400437210</x:v>
      </x:c>
      <x:c r="E737" s="49" t="str">
        <x:v>Electronics and Telecommunication Engg</x:v>
      </x:c>
      <x:c r="F737" s="73" t="n">
        <x:v>13</x:v>
      </x:c>
      <x:c r="G737" s="73" t="n">
        <x:v>9</x:v>
      </x:c>
      <x:c r="H737" s="73" t="n">
        <x:v>4</x:v>
      </x:c>
      <x:c r="I737" s="73"/>
      <x:c r="J737" s="73" t="n">
        <x:v>0</x:v>
      </x:c>
      <x:c r="K737" s="49" t="str">
        <x:v>Government</x:v>
      </x:c>
      <x:c r="L737" s="49" t="str">
        <x:v>MS Seats : 9+ EWS : 4</x:v>
      </x:c>
      <x:c r="M737" s="49" t="str">
        <x:v>https://dse2025.mahacet.org.in/dse25/admin/allotment/cap2/4004_4.pdf</x:v>
      </x:c>
    </x:row>
    <x:row r="738">
      <x:c r="A738" s="49" t="str">
        <x:v>2025-26</x:v>
      </x:c>
      <x:c r="B738" s="63" t="n">
        <x:v>4004</x:v>
      </x:c>
      <x:c r="C738" s="49" t="str">
        <x:v>Government College of Engineering, Chandrapur</x:v>
      </x:c>
      <x:c r="D738" s="72" t="n">
        <x:v>400446610</x:v>
      </x:c>
      <x:c r="E738" s="49" t="str">
        <x:v>Instrumentation Engineering</x:v>
      </x:c>
      <x:c r="F738" s="73" t="n">
        <x:v>7</x:v>
      </x:c>
      <x:c r="G738" s="73" t="n">
        <x:v>5</x:v>
      </x:c>
      <x:c r="H738" s="73" t="n">
        <x:v>2</x:v>
      </x:c>
      <x:c r="I738" s="73"/>
      <x:c r="J738" s="73" t="n">
        <x:v>0</x:v>
      </x:c>
      <x:c r="K738" s="49" t="str">
        <x:v>Government</x:v>
      </x:c>
      <x:c r="L738" s="49" t="str">
        <x:v>MS Seats : 5+ EWS : 2</x:v>
      </x:c>
      <x:c r="M738" s="49" t="str">
        <x:v>https://dse2025.mahacet.org.in/dse25/admin/allotment/cap2/4004_4.pdf</x:v>
      </x:c>
    </x:row>
    <x:row r="739">
      <x:c r="A739" s="49" t="str">
        <x:v>2025-26</x:v>
      </x:c>
      <x:c r="B739" s="63" t="n">
        <x:v>4004</x:v>
      </x:c>
      <x:c r="C739" s="49" t="str">
        <x:v>Government College of Engineering, Chandrapur</x:v>
      </x:c>
      <x:c r="D739" s="72" t="n">
        <x:v>400461210</x:v>
      </x:c>
      <x:c r="E739" s="49" t="str">
        <x:v>Mechanical Engineering</x:v>
      </x:c>
      <x:c r="F739" s="73" t="n">
        <x:v>14</x:v>
      </x:c>
      <x:c r="G739" s="73" t="n">
        <x:v>11</x:v>
      </x:c>
      <x:c r="H739" s="73" t="n">
        <x:v>3</x:v>
      </x:c>
      <x:c r="I739" s="73"/>
      <x:c r="J739" s="73" t="n">
        <x:v>0</x:v>
      </x:c>
      <x:c r="K739" s="49" t="str">
        <x:v>Government</x:v>
      </x:c>
      <x:c r="L739" s="49" t="str">
        <x:v>MS Seats : 11+ EWS : 3</x:v>
      </x:c>
      <x:c r="M739" s="49" t="str">
        <x:v>https://dse2025.mahacet.org.in/dse25/admin/allotment/cap2/4004_4.pdf</x:v>
      </x:c>
    </x:row>
    <x:row r="740">
      <x:c r="A740" s="49" t="str">
        <x:v>2025-26</x:v>
      </x:c>
      <x:c r="B740" s="63" t="n">
        <x:v>4025</x:v>
      </x:c>
      <x:c r="C740" s="49" t="str">
        <x:v>Government College of Engineering, Nagpur</x:v>
      </x:c>
      <x:c r="D740" s="72" t="n">
        <x:v>402519110</x:v>
      </x:c>
      <x:c r="E740" s="49" t="str">
        <x:v>Civil Engineering</x:v>
      </x:c>
      <x:c r="F740" s="73" t="n">
        <x:v>12</x:v>
      </x:c>
      <x:c r="G740" s="73" t="n">
        <x:v>9</x:v>
      </x:c>
      <x:c r="H740" s="73" t="n">
        <x:v>3</x:v>
      </x:c>
      <x:c r="I740" s="73"/>
      <x:c r="J740" s="73" t="n">
        <x:v>0</x:v>
      </x:c>
      <x:c r="K740" s="49" t="str">
        <x:v>Government</x:v>
      </x:c>
      <x:c r="L740" s="49" t="str">
        <x:v>MS Seats : 9+ EWS : 3</x:v>
      </x:c>
      <x:c r="M740" s="49" t="str">
        <x:v>https://dse2025.mahacet.org.in/dse25/admin/allotment/cap2/4025_4.pdf</x:v>
      </x:c>
    </x:row>
    <x:row r="741">
      <x:c r="A741" s="49" t="str">
        <x:v>2025-26</x:v>
      </x:c>
      <x:c r="B741" s="63" t="n">
        <x:v>4025</x:v>
      </x:c>
      <x:c r="C741" s="49" t="str">
        <x:v>Government College of Engineering, Nagpur</x:v>
      </x:c>
      <x:c r="D741" s="72" t="n">
        <x:v>402524210</x:v>
      </x:c>
      <x:c r="E741" s="49" t="str">
        <x:v>Computer Science and Engineering</x:v>
      </x:c>
      <x:c r="F741" s="73" t="n">
        <x:v>9</x:v>
      </x:c>
      <x:c r="G741" s="73" t="n">
        <x:v>7</x:v>
      </x:c>
      <x:c r="H741" s="73" t="n">
        <x:v>2</x:v>
      </x:c>
      <x:c r="I741" s="73"/>
      <x:c r="J741" s="73" t="n">
        <x:v>0</x:v>
      </x:c>
      <x:c r="K741" s="49" t="str">
        <x:v>Government</x:v>
      </x:c>
      <x:c r="L741" s="49" t="str">
        <x:v>MS Seats : 7+ EWS : 2</x:v>
      </x:c>
      <x:c r="M741" s="49" t="str">
        <x:v>https://dse2025.mahacet.org.in/dse25/admin/allotment/cap2/4025_4.pdf</x:v>
      </x:c>
    </x:row>
    <x:row r="742">
      <x:c r="A742" s="49" t="str">
        <x:v>2025-26</x:v>
      </x:c>
      <x:c r="B742" s="63" t="n">
        <x:v>4025</x:v>
      </x:c>
      <x:c r="C742" s="49" t="str">
        <x:v>Government College of Engineering, Nagpur</x:v>
      </x:c>
      <x:c r="D742" s="72" t="n">
        <x:v>402529310</x:v>
      </x:c>
      <x:c r="E742" s="49" t="str">
        <x:v>Electrical Engineering</x:v>
      </x:c>
      <x:c r="F742" s="73" t="n">
        <x:v>8</x:v>
      </x:c>
      <x:c r="G742" s="73" t="n">
        <x:v>7</x:v>
      </x:c>
      <x:c r="H742" s="73" t="n">
        <x:v>1</x:v>
      </x:c>
      <x:c r="I742" s="73"/>
      <x:c r="J742" s="73" t="n">
        <x:v>0</x:v>
      </x:c>
      <x:c r="K742" s="49" t="str">
        <x:v>Government</x:v>
      </x:c>
      <x:c r="L742" s="49" t="str">
        <x:v>MS Seats : 7+ EWS : 1</x:v>
      </x:c>
      <x:c r="M742" s="49" t="str">
        <x:v>https://dse2025.mahacet.org.in/dse25/admin/allotment/cap2/4025_4.pdf</x:v>
      </x:c>
    </x:row>
    <x:row r="743">
      <x:c r="A743" s="49" t="str">
        <x:v>2025-26</x:v>
      </x:c>
      <x:c r="B743" s="63" t="n">
        <x:v>4025</x:v>
      </x:c>
      <x:c r="C743" s="49" t="str">
        <x:v>Government College of Engineering, Nagpur</x:v>
      </x:c>
      <x:c r="D743" s="72" t="n">
        <x:v>402537210</x:v>
      </x:c>
      <x:c r="E743" s="49" t="str">
        <x:v>Electronics and Telecommunication Engg</x:v>
      </x:c>
      <x:c r="F743" s="73" t="n">
        <x:v>9</x:v>
      </x:c>
      <x:c r="G743" s="73" t="n">
        <x:v>7</x:v>
      </x:c>
      <x:c r="H743" s="73" t="n">
        <x:v>2</x:v>
      </x:c>
      <x:c r="I743" s="73"/>
      <x:c r="J743" s="73" t="n">
        <x:v>0</x:v>
      </x:c>
      <x:c r="K743" s="49" t="str">
        <x:v>Government</x:v>
      </x:c>
      <x:c r="L743" s="49" t="str">
        <x:v>MS Seats : 7+ EWS : 2</x:v>
      </x:c>
      <x:c r="M743" s="49" t="str">
        <x:v>https://dse2025.mahacet.org.in/dse25/admin/allotment/cap2/4025_4.pdf</x:v>
      </x:c>
    </x:row>
    <x:row r="744">
      <x:c r="A744" s="49" t="str">
        <x:v>2025-26</x:v>
      </x:c>
      <x:c r="B744" s="63" t="n">
        <x:v>4025</x:v>
      </x:c>
      <x:c r="C744" s="49" t="str">
        <x:v>Government College of Engineering, Nagpur</x:v>
      </x:c>
      <x:c r="D744" s="72" t="n">
        <x:v>402561210</x:v>
      </x:c>
      <x:c r="E744" s="49" t="str">
        <x:v>Mechanical Engineering</x:v>
      </x:c>
      <x:c r="F744" s="73" t="n">
        <x:v>18</x:v>
      </x:c>
      <x:c r="G744" s="73" t="n">
        <x:v>13</x:v>
      </x:c>
      <x:c r="H744" s="73" t="n">
        <x:v>5</x:v>
      </x:c>
      <x:c r="I744" s="73"/>
      <x:c r="J744" s="73" t="n">
        <x:v>0</x:v>
      </x:c>
      <x:c r="K744" s="49" t="str">
        <x:v>Government</x:v>
      </x:c>
      <x:c r="L744" s="49" t="str">
        <x:v>MS Seats : 13+ EWS : 5</x:v>
      </x:c>
      <x:c r="M744" s="49" t="str">
        <x:v>https://dse2025.mahacet.org.in/dse25/admin/allotment/cap2/4025_4.pdf</x:v>
      </x:c>
    </x:row>
    <x:row r="745">
      <x:c r="A745" s="49" t="str">
        <x:v>2025-26</x:v>
      </x:c>
      <x:c r="B745" s="63" t="n">
        <x:v>4104</x:v>
      </x:c>
      <x:c r="C745" s="49" t="str">
        <x:v>Kavi Kulguru Institute of Technology &amp; Science, Ramtek</x:v>
      </x:c>
      <x:c r="D745" s="72" t="n">
        <x:v>410419110</x:v>
      </x:c>
      <x:c r="E745" s="49" t="str">
        <x:v>Civil Engineering</x:v>
      </x:c>
      <x:c r="F745" s="73" t="n">
        <x:v>17</x:v>
      </x:c>
      <x:c r="G745" s="73" t="n">
        <x:v>10</x:v>
      </x:c>
      <x:c r="H745" s="73" t="n">
        <x:v>7</x:v>
      </x:c>
      <x:c r="I745" s="73"/>
      <x:c r="J745" s="73" t="n">
        <x:v>0</x:v>
      </x:c>
      <x:c r="K745" s="49" t="str">
        <x:v>Un-Aided</x:v>
      </x:c>
      <x:c r="L745" s="49" t="str">
        <x:v>MS Seats : 10+ EWS : 7</x:v>
      </x:c>
      <x:c r="M745" s="49" t="str">
        <x:v>https://dse2025.mahacet.org.in/dse25/admin/allotment/cap2/4104_4.pdf</x:v>
      </x:c>
    </x:row>
    <x:row r="746">
      <x:c r="A746" s="49" t="str">
        <x:v>2025-26</x:v>
      </x:c>
      <x:c r="B746" s="63" t="n">
        <x:v>4104</x:v>
      </x:c>
      <x:c r="C746" s="49" t="str">
        <x:v>Kavi Kulguru Institute of Technology &amp; Science, Ramtek</x:v>
      </x:c>
      <x:c r="D746" s="72" t="n">
        <x:v>410424610</x:v>
      </x:c>
      <x:c r="E746" s="49" t="str">
        <x:v>Information Technology</x:v>
      </x:c>
      <x:c r="F746" s="73" t="n">
        <x:v>14</x:v>
      </x:c>
      <x:c r="G746" s="73" t="n">
        <x:v>8</x:v>
      </x:c>
      <x:c r="H746" s="73" t="n">
        <x:v>6</x:v>
      </x:c>
      <x:c r="I746" s="73"/>
      <x:c r="J746" s="73" t="n">
        <x:v>0</x:v>
      </x:c>
      <x:c r="K746" s="49" t="str">
        <x:v>Un-Aided</x:v>
      </x:c>
      <x:c r="L746" s="49" t="str">
        <x:v>MS Seats : 8+ EWS : 6</x:v>
      </x:c>
      <x:c r="M746" s="49" t="str">
        <x:v>https://dse2025.mahacet.org.in/dse25/admin/allotment/cap2/4104_4.pdf</x:v>
      </x:c>
    </x:row>
    <x:row r="747">
      <x:c r="A747" s="49" t="str">
        <x:v>2025-26</x:v>
      </x:c>
      <x:c r="B747" s="63" t="n">
        <x:v>4104</x:v>
      </x:c>
      <x:c r="C747" s="49" t="str">
        <x:v>Kavi Kulguru Institute of Technology &amp; Science, Ramtek</x:v>
      </x:c>
      <x:c r="D747" s="72" t="n">
        <x:v>410425110</x:v>
      </x:c>
      <x:c r="E747" s="49" t="str">
        <x:v>Computer Technology</x:v>
      </x:c>
      <x:c r="F747" s="73" t="n">
        <x:v>15</x:v>
      </x:c>
      <x:c r="G747" s="73" t="n">
        <x:v>10</x:v>
      </x:c>
      <x:c r="H747" s="73" t="n">
        <x:v>5</x:v>
      </x:c>
      <x:c r="I747" s="73"/>
      <x:c r="J747" s="73" t="n">
        <x:v>0</x:v>
      </x:c>
      <x:c r="K747" s="49" t="str">
        <x:v>Un-Aided</x:v>
      </x:c>
      <x:c r="L747" s="49" t="str">
        <x:v>MS Seats : 10+ EWS : 5</x:v>
      </x:c>
      <x:c r="M747" s="49" t="str">
        <x:v>https://dse2025.mahacet.org.in/dse25/admin/allotment/cap2/4104_4.pdf</x:v>
      </x:c>
    </x:row>
    <x:row r="748">
      <x:c r="A748" s="49" t="str">
        <x:v>2025-26</x:v>
      </x:c>
      <x:c r="B748" s="63" t="n">
        <x:v>4104</x:v>
      </x:c>
      <x:c r="C748" s="49" t="str">
        <x:v>Kavi Kulguru Institute of Technology &amp; Science, Ramtek</x:v>
      </x:c>
      <x:c r="D748" s="72" t="n">
        <x:v>410429310</x:v>
      </x:c>
      <x:c r="E748" s="49" t="str">
        <x:v>Electrical Engineering</x:v>
      </x:c>
      <x:c r="F748" s="73" t="n">
        <x:v>15</x:v>
      </x:c>
      <x:c r="G748" s="73" t="n">
        <x:v>8</x:v>
      </x:c>
      <x:c r="H748" s="73" t="n">
        <x:v>7</x:v>
      </x:c>
      <x:c r="I748" s="73"/>
      <x:c r="J748" s="73" t="n">
        <x:v>0</x:v>
      </x:c>
      <x:c r="K748" s="49" t="str">
        <x:v>Un-Aided</x:v>
      </x:c>
      <x:c r="L748" s="49" t="str">
        <x:v>MS Seats : 8+ EWS : 7</x:v>
      </x:c>
      <x:c r="M748" s="49" t="str">
        <x:v>https://dse2025.mahacet.org.in/dse25/admin/allotment/cap2/4104_4.pdf</x:v>
      </x:c>
    </x:row>
    <x:row r="749">
      <x:c r="A749" s="49" t="str">
        <x:v>2025-26</x:v>
      </x:c>
      <x:c r="B749" s="63" t="n">
        <x:v>4104</x:v>
      </x:c>
      <x:c r="C749" s="49" t="str">
        <x:v>Kavi Kulguru Institute of Technology &amp; Science, Ramtek</x:v>
      </x:c>
      <x:c r="D749" s="72" t="n">
        <x:v>410437010</x:v>
      </x:c>
      <x:c r="E749" s="49" t="str">
        <x:v>Electronics and Communication Engineering</x:v>
      </x:c>
      <x:c r="F749" s="73" t="n">
        <x:v>16</x:v>
      </x:c>
      <x:c r="G749" s="73" t="n">
        <x:v>9</x:v>
      </x:c>
      <x:c r="H749" s="73" t="n">
        <x:v>7</x:v>
      </x:c>
      <x:c r="I749" s="73"/>
      <x:c r="J749" s="73" t="n">
        <x:v>0</x:v>
      </x:c>
      <x:c r="K749" s="49" t="str">
        <x:v>Un-Aided</x:v>
      </x:c>
      <x:c r="L749" s="49" t="str">
        <x:v>MS Seats : 9+ EWS : 7</x:v>
      </x:c>
      <x:c r="M749" s="49" t="str">
        <x:v>https://dse2025.mahacet.org.in/dse25/admin/allotment/cap2/4104_4.pdf</x:v>
      </x:c>
    </x:row>
    <x:row r="750">
      <x:c r="A750" s="49" t="str">
        <x:v>2025-26</x:v>
      </x:c>
      <x:c r="B750" s="63" t="n">
        <x:v>4104</x:v>
      </x:c>
      <x:c r="C750" s="49" t="str">
        <x:v>Kavi Kulguru Institute of Technology &amp; Science, Ramtek</x:v>
      </x:c>
      <x:c r="D750" s="72" t="n">
        <x:v>410461210</x:v>
      </x:c>
      <x:c r="E750" s="49" t="str">
        <x:v>Mechanical Engineering</x:v>
      </x:c>
      <x:c r="F750" s="73" t="n">
        <x:v>19</x:v>
      </x:c>
      <x:c r="G750" s="73" t="n">
        <x:v>12</x:v>
      </x:c>
      <x:c r="H750" s="73" t="n">
        <x:v>7</x:v>
      </x:c>
      <x:c r="I750" s="73"/>
      <x:c r="J750" s="73" t="n">
        <x:v>0</x:v>
      </x:c>
      <x:c r="K750" s="49" t="str">
        <x:v>Un-Aided</x:v>
      </x:c>
      <x:c r="L750" s="49" t="str">
        <x:v>MS Seats : 12+ EWS : 7</x:v>
      </x:c>
      <x:c r="M750" s="49" t="str">
        <x:v>https://dse2025.mahacet.org.in/dse25/admin/allotment/cap2/4104_4.pdf</x:v>
      </x:c>
    </x:row>
    <x:row r="751">
      <x:c r="A751" s="49" t="str">
        <x:v>2025-26</x:v>
      </x:c>
      <x:c r="B751" s="63" t="n">
        <x:v>4116</x:v>
      </x:c>
      <x:c r="C751" s="49" t="str">
        <x:v>Ankush Shikshan Sanstha's G.H.Raisoni College of Engineering, Nagpur</x:v>
      </x:c>
      <x:c r="D751" s="72" t="n">
        <x:v>411619110</x:v>
      </x:c>
      <x:c r="E751" s="49" t="str">
        <x:v>Civil Engineering</x:v>
      </x:c>
      <x:c r="F751" s="73" t="n">
        <x:v>6</x:v>
      </x:c>
      <x:c r="G751" s="73" t="n">
        <x:v>2</x:v>
      </x:c>
      <x:c r="H751" s="73"/>
      <x:c r="I751" s="73" t="n">
        <x:v>4</x:v>
      </x:c>
      <x:c r="J751" s="73" t="n">
        <x:v>0</x:v>
      </x:c>
      <x:c r="K751" s="49" t="str">
        <x:v>Un-Aided Autonomous Linguistic Minority - Hindi</x:v>
      </x:c>
      <x:c r="L751" s="49" t="str">
        <x:v>MS Seats : 2 + Minority Seats : 4</x:v>
      </x:c>
      <x:c r="M751" s="49" t="str">
        <x:v>https://dse2025.mahacet.org.in/dse25/admin/allotment/cap2/4116_4.pdf</x:v>
      </x:c>
    </x:row>
    <x:row r="752">
      <x:c r="A752" s="49" t="str">
        <x:v>2025-26</x:v>
      </x:c>
      <x:c r="B752" s="63" t="n">
        <x:v>4116</x:v>
      </x:c>
      <x:c r="C752" s="49" t="str">
        <x:v>Ankush Shikshan Sanstha's G.H.Raisoni College of Engineering, Nagpur</x:v>
      </x:c>
      <x:c r="D752" s="72" t="n">
        <x:v>411624210</x:v>
      </x:c>
      <x:c r="E752" s="49" t="str">
        <x:v>Computer Science and Engineering</x:v>
      </x:c>
      <x:c r="F752" s="73" t="n">
        <x:v>19</x:v>
      </x:c>
      <x:c r="G752" s="73" t="n">
        <x:v>9</x:v>
      </x:c>
      <x:c r="H752" s="73"/>
      <x:c r="I752" s="73" t="n">
        <x:v>10</x:v>
      </x:c>
      <x:c r="J752" s="73" t="n">
        <x:v>0</x:v>
      </x:c>
      <x:c r="K752" s="49" t="str">
        <x:v>Un-Aided Autonomous Linguistic Minority - Hindi</x:v>
      </x:c>
      <x:c r="L752" s="49" t="str">
        <x:v>MS Seats : 9 + Minority Seats : 10</x:v>
      </x:c>
      <x:c r="M752" s="49" t="str">
        <x:v>https://dse2025.mahacet.org.in/dse25/admin/allotment/cap2/4116_4.pdf</x:v>
      </x:c>
    </x:row>
    <x:row r="753">
      <x:c r="A753" s="49" t="str">
        <x:v>2025-26</x:v>
      </x:c>
      <x:c r="B753" s="63" t="n">
        <x:v>4116</x:v>
      </x:c>
      <x:c r="C753" s="49" t="str">
        <x:v>Ankush Shikshan Sanstha's G.H.Raisoni College of Engineering, Nagpur</x:v>
      </x:c>
      <x:c r="D753" s="72" t="n">
        <x:v>411624610</x:v>
      </x:c>
      <x:c r="E753" s="49" t="str">
        <x:v>Information Technology</x:v>
      </x:c>
      <x:c r="F753" s="73" t="n">
        <x:v>18</x:v>
      </x:c>
      <x:c r="G753" s="73" t="n">
        <x:v>8</x:v>
      </x:c>
      <x:c r="H753" s="73"/>
      <x:c r="I753" s="73" t="n">
        <x:v>10</x:v>
      </x:c>
      <x:c r="J753" s="73" t="n">
        <x:v>0</x:v>
      </x:c>
      <x:c r="K753" s="49" t="str">
        <x:v>Un-Aided Autonomous Linguistic Minority - Hindi</x:v>
      </x:c>
      <x:c r="L753" s="49" t="str">
        <x:v>MS Seats : 8 + Minority Seats : 10</x:v>
      </x:c>
      <x:c r="M753" s="49" t="str">
        <x:v>https://dse2025.mahacet.org.in/dse25/admin/allotment/cap2/4116_4.pdf</x:v>
      </x:c>
    </x:row>
    <x:row r="754">
      <x:c r="A754" s="49" t="str">
        <x:v>2025-26</x:v>
      </x:c>
      <x:c r="B754" s="63" t="n">
        <x:v>4116</x:v>
      </x:c>
      <x:c r="C754" s="49" t="str">
        <x:v>Ankush Shikshan Sanstha's G.H.Raisoni College of Engineering, Nagpur</x:v>
      </x:c>
      <x:c r="D754" s="72" t="n">
        <x:v>411626010</x:v>
      </x:c>
      <x:c r="E754" s="49" t="str">
        <x:v>Computer Science and Engineering (Cyber Security)</x:v>
      </x:c>
      <x:c r="F754" s="73" t="n">
        <x:v>6</x:v>
      </x:c>
      <x:c r="G754" s="73" t="n">
        <x:v>2</x:v>
      </x:c>
      <x:c r="H754" s="73"/>
      <x:c r="I754" s="73" t="n">
        <x:v>4</x:v>
      </x:c>
      <x:c r="J754" s="73" t="n">
        <x:v>0</x:v>
      </x:c>
      <x:c r="K754" s="49" t="str">
        <x:v>Un-Aided Autonomous Linguistic Minority - Hindi</x:v>
      </x:c>
      <x:c r="L754" s="49" t="str">
        <x:v>MS Seats : 2 + Minority Seats : 4</x:v>
      </x:c>
      <x:c r="M754" s="49" t="str">
        <x:v>https://dse2025.mahacet.org.in/dse25/admin/allotment/cap2/4116_4.pdf</x:v>
      </x:c>
    </x:row>
    <x:row r="755">
      <x:c r="A755" s="49" t="str">
        <x:v>2025-26</x:v>
      </x:c>
      <x:c r="B755" s="63" t="n">
        <x:v>4116</x:v>
      </x:c>
      <x:c r="C755" s="49" t="str">
        <x:v>Ankush Shikshan Sanstha's G.H.Raisoni College of Engineering, Nagpur</x:v>
      </x:c>
      <x:c r="D755" s="72" t="n">
        <x:v>411626710</x:v>
      </x:c>
      <x:c r="E755" s="49" t="str">
        <x:v>Computer Science and Engineering (IoT)</x:v>
      </x:c>
      <x:c r="F755" s="73" t="n">
        <x:v>12</x:v>
      </x:c>
      <x:c r="G755" s="73" t="n">
        <x:v>5</x:v>
      </x:c>
      <x:c r="H755" s="73"/>
      <x:c r="I755" s="73" t="n">
        <x:v>7</x:v>
      </x:c>
      <x:c r="J755" s="73" t="n">
        <x:v>0</x:v>
      </x:c>
      <x:c r="K755" s="49" t="str">
        <x:v>Un-Aided Autonomous Linguistic Minority - Hindi</x:v>
      </x:c>
      <x:c r="L755" s="49" t="str">
        <x:v>MS Seats : 5 + Minority Seats : 7</x:v>
      </x:c>
      <x:c r="M755" s="49" t="str">
        <x:v>https://dse2025.mahacet.org.in/dse25/admin/allotment/cap2/4116_4.pdf</x:v>
      </x:c>
    </x:row>
    <x:row r="756">
      <x:c r="A756" s="49" t="str">
        <x:v>2025-26</x:v>
      </x:c>
      <x:c r="B756" s="63" t="n">
        <x:v>4116</x:v>
      </x:c>
      <x:c r="C756" s="49" t="str">
        <x:v>Ankush Shikshan Sanstha's G.H.Raisoni College of Engineering, Nagpur</x:v>
      </x:c>
      <x:c r="D756" s="72" t="n">
        <x:v>411629310</x:v>
      </x:c>
      <x:c r="E756" s="49" t="str">
        <x:v>Electrical Engineering</x:v>
      </x:c>
      <x:c r="F756" s="73" t="n">
        <x:v>9</x:v>
      </x:c>
      <x:c r="G756" s="73" t="n">
        <x:v>4</x:v>
      </x:c>
      <x:c r="H756" s="73"/>
      <x:c r="I756" s="73" t="n">
        <x:v>5</x:v>
      </x:c>
      <x:c r="J756" s="73" t="n">
        <x:v>0</x:v>
      </x:c>
      <x:c r="K756" s="49" t="str">
        <x:v>Un-Aided Autonomous Linguistic Minority - Hindi</x:v>
      </x:c>
      <x:c r="L756" s="49" t="str">
        <x:v>MS Seats : 4 + Minority Seats : 5</x:v>
      </x:c>
      <x:c r="M756" s="49" t="str">
        <x:v>https://dse2025.mahacet.org.in/dse25/admin/allotment/cap2/4116_4.pdf</x:v>
      </x:c>
    </x:row>
    <x:row r="757">
      <x:c r="A757" s="49" t="str">
        <x:v>2025-26</x:v>
      </x:c>
      <x:c r="B757" s="63" t="n">
        <x:v>4116</x:v>
      </x:c>
      <x:c r="C757" s="49" t="str">
        <x:v>Ankush Shikshan Sanstha's G.H.Raisoni College of Engineering, Nagpur</x:v>
      </x:c>
      <x:c r="D757" s="72" t="n">
        <x:v>411637210</x:v>
      </x:c>
      <x:c r="E757" s="49" t="str">
        <x:v>Electronics and Telecommunication Engg</x:v>
      </x:c>
      <x:c r="F757" s="73" t="n">
        <x:v>8</x:v>
      </x:c>
      <x:c r="G757" s="73" t="n">
        <x:v>3</x:v>
      </x:c>
      <x:c r="H757" s="73"/>
      <x:c r="I757" s="73" t="n">
        <x:v>5</x:v>
      </x:c>
      <x:c r="J757" s="73" t="n">
        <x:v>0</x:v>
      </x:c>
      <x:c r="K757" s="49" t="str">
        <x:v>Un-Aided Autonomous Linguistic Minority - Hindi</x:v>
      </x:c>
      <x:c r="L757" s="49" t="str">
        <x:v>MS Seats : 3 + Minority Seats : 5</x:v>
      </x:c>
      <x:c r="M757" s="49" t="str">
        <x:v>https://dse2025.mahacet.org.in/dse25/admin/allotment/cap2/4116_4.pdf</x:v>
      </x:c>
    </x:row>
    <x:row r="758">
      <x:c r="A758" s="49" t="str">
        <x:v>2025-26</x:v>
      </x:c>
      <x:c r="B758" s="63" t="n">
        <x:v>4116</x:v>
      </x:c>
      <x:c r="C758" s="49" t="str">
        <x:v>Ankush Shikshan Sanstha's G.H.Raisoni College of Engineering, Nagpur</x:v>
      </x:c>
      <x:c r="D758" s="72" t="n">
        <x:v>411637610</x:v>
      </x:c>
      <x:c r="E758" s="49" t="str">
        <x:v>Electronics Engineering</x:v>
      </x:c>
      <x:c r="F758" s="73" t="n">
        <x:v>7</x:v>
      </x:c>
      <x:c r="G758" s="73" t="n">
        <x:v>3</x:v>
      </x:c>
      <x:c r="H758" s="73"/>
      <x:c r="I758" s="73" t="n">
        <x:v>4</x:v>
      </x:c>
      <x:c r="J758" s="73" t="n">
        <x:v>0</x:v>
      </x:c>
      <x:c r="K758" s="49" t="str">
        <x:v>Un-Aided Autonomous Linguistic Minority - Hindi</x:v>
      </x:c>
      <x:c r="L758" s="49" t="str">
        <x:v>MS Seats : 3 + Minority Seats : 4</x:v>
      </x:c>
      <x:c r="M758" s="49" t="str">
        <x:v>https://dse2025.mahacet.org.in/dse25/admin/allotment/cap2/4116_4.pdf</x:v>
      </x:c>
    </x:row>
    <x:row r="759">
      <x:c r="A759" s="49" t="str">
        <x:v>2025-26</x:v>
      </x:c>
      <x:c r="B759" s="63" t="n">
        <x:v>4116</x:v>
      </x:c>
      <x:c r="C759" s="49" t="str">
        <x:v>Ankush Shikshan Sanstha's G.H.Raisoni College of Engineering, Nagpur</x:v>
      </x:c>
      <x:c r="D759" s="72" t="n">
        <x:v>411661210</x:v>
      </x:c>
      <x:c r="E759" s="49" t="str">
        <x:v>Mechanical Engineering</x:v>
      </x:c>
      <x:c r="F759" s="73" t="n">
        <x:v>9</x:v>
      </x:c>
      <x:c r="G759" s="73" t="n">
        <x:v>4</x:v>
      </x:c>
      <x:c r="H759" s="73"/>
      <x:c r="I759" s="73" t="n">
        <x:v>5</x:v>
      </x:c>
      <x:c r="J759" s="73" t="n">
        <x:v>0</x:v>
      </x:c>
      <x:c r="K759" s="49" t="str">
        <x:v>Un-Aided Autonomous Linguistic Minority - Hindi</x:v>
      </x:c>
      <x:c r="L759" s="49" t="str">
        <x:v>MS Seats : 4 + Minority Seats : 5</x:v>
      </x:c>
      <x:c r="M759" s="49" t="str">
        <x:v>https://dse2025.mahacet.org.in/dse25/admin/allotment/cap2/4116_4.pdf</x:v>
      </x:c>
    </x:row>
    <x:row r="760">
      <x:c r="A760" s="49" t="str">
        <x:v>2025-26</x:v>
      </x:c>
      <x:c r="B760" s="63" t="n">
        <x:v>4116</x:v>
      </x:c>
      <x:c r="C760" s="49" t="str">
        <x:v>Ankush Shikshan Sanstha's G.H.Raisoni College of Engineering, Nagpur</x:v>
      </x:c>
      <x:c r="D760" s="72" t="n">
        <x:v>411691110</x:v>
      </x:c>
      <x:c r="E760" s="49" t="str">
        <x:v>Computer Science and Engineering(Artificial Intelligence and Machine Learning)</x:v>
      </x:c>
      <x:c r="F760" s="73" t="n">
        <x:v>12</x:v>
      </x:c>
      <x:c r="G760" s="73" t="n">
        <x:v>5</x:v>
      </x:c>
      <x:c r="H760" s="73"/>
      <x:c r="I760" s="73" t="n">
        <x:v>7</x:v>
      </x:c>
      <x:c r="J760" s="73" t="n">
        <x:v>0</x:v>
      </x:c>
      <x:c r="K760" s="49" t="str">
        <x:v>Un-Aided Autonomous Linguistic Minority - Hindi</x:v>
      </x:c>
      <x:c r="L760" s="49" t="str">
        <x:v>MS Seats : 5 + Minority Seats : 7</x:v>
      </x:c>
      <x:c r="M760" s="49" t="str">
        <x:v>https://dse2025.mahacet.org.in/dse25/admin/allotment/cap2/4116_4.pdf</x:v>
      </x:c>
    </x:row>
    <x:row r="761">
      <x:c r="A761" s="49" t="str">
        <x:v>2025-26</x:v>
      </x:c>
      <x:c r="B761" s="63" t="n">
        <x:v>4116</x:v>
      </x:c>
      <x:c r="C761" s="49" t="str">
        <x:v>Ankush Shikshan Sanstha's G.H.Raisoni College of Engineering, Nagpur</x:v>
      </x:c>
      <x:c r="D761" s="72" t="n">
        <x:v>411691310</x:v>
      </x:c>
      <x:c r="E761" s="49" t="str">
        <x:v>Computer Science and Engineering (Artificial Intelligence)</x:v>
      </x:c>
      <x:c r="F761" s="73" t="n">
        <x:v>6</x:v>
      </x:c>
      <x:c r="G761" s="73" t="n">
        <x:v>2</x:v>
      </x:c>
      <x:c r="H761" s="73"/>
      <x:c r="I761" s="73" t="n">
        <x:v>4</x:v>
      </x:c>
      <x:c r="J761" s="73" t="n">
        <x:v>0</x:v>
      </x:c>
      <x:c r="K761" s="49" t="str">
        <x:v>Un-Aided Autonomous Linguistic Minority - Hindi</x:v>
      </x:c>
      <x:c r="L761" s="49" t="str">
        <x:v>MS Seats : 2 + Minority Seats : 4</x:v>
      </x:c>
      <x:c r="M761" s="49" t="str">
        <x:v>https://dse2025.mahacet.org.in/dse25/admin/allotment/cap2/4116_4.pdf</x:v>
      </x:c>
    </x:row>
    <x:row r="762">
      <x:c r="A762" s="49" t="str">
        <x:v>2025-26</x:v>
      </x:c>
      <x:c r="B762" s="63" t="n">
        <x:v>4116</x:v>
      </x:c>
      <x:c r="C762" s="49" t="str">
        <x:v>Ankush Shikshan Sanstha's G.H.Raisoni College of Engineering, Nagpur</x:v>
      </x:c>
      <x:c r="D762" s="72" t="n">
        <x:v>411691710</x:v>
      </x:c>
      <x:c r="E762" s="49" t="str">
        <x:v>Data Science</x:v>
      </x:c>
      <x:c r="F762" s="73" t="n">
        <x:v>6</x:v>
      </x:c>
      <x:c r="G762" s="73" t="n">
        <x:v>2</x:v>
      </x:c>
      <x:c r="H762" s="73"/>
      <x:c r="I762" s="73" t="n">
        <x:v>4</x:v>
      </x:c>
      <x:c r="J762" s="73" t="n">
        <x:v>0</x:v>
      </x:c>
      <x:c r="K762" s="49" t="str">
        <x:v>Un-Aided Autonomous Linguistic Minority - Hindi</x:v>
      </x:c>
      <x:c r="L762" s="49" t="str">
        <x:v>MS Seats : 2 + Minority Seats : 4</x:v>
      </x:c>
      <x:c r="M762" s="49" t="str">
        <x:v>https://dse2025.mahacet.org.in/dse25/admin/allotment/cap2/4116_4.pdf</x:v>
      </x:c>
    </x:row>
    <x:row r="763">
      <x:c r="A763" s="49" t="str">
        <x:v>2025-26</x:v>
      </x:c>
      <x:c r="B763" s="63" t="n">
        <x:v>4116</x:v>
      </x:c>
      <x:c r="C763" s="49" t="str">
        <x:v>Ankush Shikshan Sanstha's G.H.Raisoni College of Engineering, Nagpur</x:v>
      </x:c>
      <x:c r="D763" s="72" t="n">
        <x:v>411699710</x:v>
      </x:c>
      <x:c r="E763" s="49" t="str">
        <x:v>Artificial Intelligence</x:v>
      </x:c>
      <x:c r="F763" s="73" t="n">
        <x:v>12</x:v>
      </x:c>
      <x:c r="G763" s="73" t="n">
        <x:v>5</x:v>
      </x:c>
      <x:c r="H763" s="73"/>
      <x:c r="I763" s="73" t="n">
        <x:v>7</x:v>
      </x:c>
      <x:c r="J763" s="73" t="n">
        <x:v>0</x:v>
      </x:c>
      <x:c r="K763" s="49" t="str">
        <x:v>Un-Aided Autonomous Linguistic Minority - Hindi</x:v>
      </x:c>
      <x:c r="L763" s="49" t="str">
        <x:v>MS Seats : 5 + Minority Seats : 7</x:v>
      </x:c>
      <x:c r="M763" s="49" t="str">
        <x:v>https://dse2025.mahacet.org.in/dse25/admin/allotment/cap2/4116_4.pdf</x:v>
      </x:c>
    </x:row>
    <x:row r="764">
      <x:c r="A764" s="49" t="str">
        <x:v>2025-26</x:v>
      </x:c>
      <x:c r="B764" s="63" t="n">
        <x:v>4118</x:v>
      </x:c>
      <x:c r="C764" s="49" t="str">
        <x:v>Bapurao Deshmukh College of Engineering, Sevagram</x:v>
      </x:c>
      <x:c r="D764" s="72" t="n">
        <x:v>411819110</x:v>
      </x:c>
      <x:c r="E764" s="49" t="str">
        <x:v>Civil Engineering</x:v>
      </x:c>
      <x:c r="F764" s="73" t="n">
        <x:v>50</x:v>
      </x:c>
      <x:c r="G764" s="73" t="n">
        <x:v>44</x:v>
      </x:c>
      <x:c r="H764" s="73" t="n">
        <x:v>6</x:v>
      </x:c>
      <x:c r="I764" s="73"/>
      <x:c r="J764" s="73" t="n">
        <x:v>0</x:v>
      </x:c>
      <x:c r="K764" s="49" t="str">
        <x:v>Un-Aided</x:v>
      </x:c>
      <x:c r="L764" s="49" t="str">
        <x:v>MS Seats : 44+ EWS : 6</x:v>
      </x:c>
      <x:c r="M764" s="49" t="str">
        <x:v>https://dse2025.mahacet.org.in/dse25/admin/allotment/cap2/4118_4.pdf</x:v>
      </x:c>
    </x:row>
    <x:row r="765">
      <x:c r="A765" s="49" t="str">
        <x:v>2025-26</x:v>
      </x:c>
      <x:c r="B765" s="63" t="n">
        <x:v>4118</x:v>
      </x:c>
      <x:c r="C765" s="49" t="str">
        <x:v>Bapurao Deshmukh College of Engineering, Sevagram</x:v>
      </x:c>
      <x:c r="D765" s="72" t="n">
        <x:v>411824510</x:v>
      </x:c>
      <x:c r="E765" s="49" t="str">
        <x:v>Computer Engineering</x:v>
      </x:c>
      <x:c r="F765" s="73" t="n">
        <x:v>25</x:v>
      </x:c>
      <x:c r="G765" s="73" t="n">
        <x:v>14</x:v>
      </x:c>
      <x:c r="H765" s="73" t="n">
        <x:v>11</x:v>
      </x:c>
      <x:c r="I765" s="73"/>
      <x:c r="J765" s="73" t="n">
        <x:v>0</x:v>
      </x:c>
      <x:c r="K765" s="49" t="str">
        <x:v>Un-Aided</x:v>
      </x:c>
      <x:c r="L765" s="49" t="str">
        <x:v>MS Seats : 14+ EWS : 11</x:v>
      </x:c>
      <x:c r="M765" s="49" t="str">
        <x:v>https://dse2025.mahacet.org.in/dse25/admin/allotment/cap2/4118_4.pdf</x:v>
      </x:c>
    </x:row>
    <x:row r="766">
      <x:c r="A766" s="49" t="str">
        <x:v>2025-26</x:v>
      </x:c>
      <x:c r="B766" s="63" t="n">
        <x:v>4118</x:v>
      </x:c>
      <x:c r="C766" s="49" t="str">
        <x:v>Bapurao Deshmukh College of Engineering, Sevagram</x:v>
      </x:c>
      <x:c r="D766" s="72" t="n">
        <x:v>411829310</x:v>
      </x:c>
      <x:c r="E766" s="49" t="str">
        <x:v>Electrical Engineering</x:v>
      </x:c>
      <x:c r="F766" s="73" t="n">
        <x:v>20</x:v>
      </x:c>
      <x:c r="G766" s="73" t="n">
        <x:v>15</x:v>
      </x:c>
      <x:c r="H766" s="73" t="n">
        <x:v>5</x:v>
      </x:c>
      <x:c r="I766" s="73"/>
      <x:c r="J766" s="73" t="n">
        <x:v>0</x:v>
      </x:c>
      <x:c r="K766" s="49" t="str">
        <x:v>Un-Aided</x:v>
      </x:c>
      <x:c r="L766" s="49" t="str">
        <x:v>MS Seats : 15+ EWS : 5</x:v>
      </x:c>
      <x:c r="M766" s="49" t="str">
        <x:v>https://dse2025.mahacet.org.in/dse25/admin/allotment/cap2/4118_4.pdf</x:v>
      </x:c>
    </x:row>
    <x:row r="767">
      <x:c r="A767" s="49" t="str">
        <x:v>2025-26</x:v>
      </x:c>
      <x:c r="B767" s="63" t="n">
        <x:v>4118</x:v>
      </x:c>
      <x:c r="C767" s="49" t="str">
        <x:v>Bapurao Deshmukh College of Engineering, Sevagram</x:v>
      </x:c>
      <x:c r="D767" s="72" t="n">
        <x:v>411837210</x:v>
      </x:c>
      <x:c r="E767" s="49" t="str">
        <x:v>Electronics and Telecommunication Engg</x:v>
      </x:c>
      <x:c r="F767" s="73" t="n">
        <x:v>8</x:v>
      </x:c>
      <x:c r="G767" s="73" t="n">
        <x:v>5</x:v>
      </x:c>
      <x:c r="H767" s="73" t="n">
        <x:v>3</x:v>
      </x:c>
      <x:c r="I767" s="73"/>
      <x:c r="J767" s="73" t="n">
        <x:v>0</x:v>
      </x:c>
      <x:c r="K767" s="49" t="str">
        <x:v>Un-Aided</x:v>
      </x:c>
      <x:c r="L767" s="49" t="str">
        <x:v>MS Seats : 5+ EWS : 3</x:v>
      </x:c>
      <x:c r="M767" s="49" t="str">
        <x:v>https://dse2025.mahacet.org.in/dse25/admin/allotment/cap2/4118_4.pdf</x:v>
      </x:c>
    </x:row>
    <x:row r="768">
      <x:c r="A768" s="49" t="str">
        <x:v>2025-26</x:v>
      </x:c>
      <x:c r="B768" s="63" t="n">
        <x:v>4118</x:v>
      </x:c>
      <x:c r="C768" s="49" t="str">
        <x:v>Bapurao Deshmukh College of Engineering, Sevagram</x:v>
      </x:c>
      <x:c r="D768" s="72" t="n">
        <x:v>411861210</x:v>
      </x:c>
      <x:c r="E768" s="49" t="str">
        <x:v>Mechanical Engineering</x:v>
      </x:c>
      <x:c r="F768" s="73" t="n">
        <x:v>47</x:v>
      </x:c>
      <x:c r="G768" s="73" t="n">
        <x:v>41</x:v>
      </x:c>
      <x:c r="H768" s="73" t="n">
        <x:v>6</x:v>
      </x:c>
      <x:c r="I768" s="73"/>
      <x:c r="J768" s="73" t="n">
        <x:v>0</x:v>
      </x:c>
      <x:c r="K768" s="49" t="str">
        <x:v>Un-Aided</x:v>
      </x:c>
      <x:c r="L768" s="49" t="str">
        <x:v>MS Seats : 41+ EWS : 6</x:v>
      </x:c>
      <x:c r="M768" s="49" t="str">
        <x:v>https://dse2025.mahacet.org.in/dse25/admin/allotment/cap2/4118_4.pdf</x:v>
      </x:c>
    </x:row>
    <x:row r="769">
      <x:c r="A769" s="49" t="str">
        <x:v>2025-26</x:v>
      </x:c>
      <x:c r="B769" s="63" t="n">
        <x:v>4123</x:v>
      </x:c>
      <x:c r="C769" s="49" t="str">
        <x:v>Lokmanya Tilak Jankalyan Shikshan Sanstha, Priyadarshani College of Engineering, Nagpur</x:v>
      </x:c>
      <x:c r="D769" s="72" t="n">
        <x:v>412300210</x:v>
      </x:c>
      <x:c r="E769" s="49" t="str">
        <x:v>Aeronautical Engineering</x:v>
      </x:c>
      <x:c r="F769" s="73" t="n">
        <x:v>9</x:v>
      </x:c>
      <x:c r="G769" s="73" t="n">
        <x:v>4</x:v>
      </x:c>
      <x:c r="H769" s="73"/>
      <x:c r="I769" s="73" t="n">
        <x:v>5</x:v>
      </x:c>
      <x:c r="J769" s="73" t="n">
        <x:v>0</x:v>
      </x:c>
      <x:c r="K769" s="49" t="str">
        <x:v>Un-Aided Autonomous Linguistic Minority - Hindi</x:v>
      </x:c>
      <x:c r="L769" s="49" t="str">
        <x:v>MS Seats : 4 + Minority Seats : 5</x:v>
      </x:c>
      <x:c r="M769" s="49" t="str">
        <x:v>https://dse2025.mahacet.org.in/dse25/admin/allotment/cap2/4123_4.pdf</x:v>
      </x:c>
    </x:row>
    <x:row r="770">
      <x:c r="A770" s="49" t="str">
        <x:v>2025-26</x:v>
      </x:c>
      <x:c r="B770" s="63" t="n">
        <x:v>4123</x:v>
      </x:c>
      <x:c r="C770" s="49" t="str">
        <x:v>Lokmanya Tilak Jankalyan Shikshan Sanstha, Priyadarshani College of Engineering, Nagpur</x:v>
      </x:c>
      <x:c r="D770" s="72" t="n">
        <x:v>412308210</x:v>
      </x:c>
      <x:c r="E770" s="49" t="str">
        <x:v>Bio Technology</x:v>
      </x:c>
      <x:c r="F770" s="73" t="n">
        <x:v>10</x:v>
      </x:c>
      <x:c r="G770" s="73" t="n">
        <x:v>4</x:v>
      </x:c>
      <x:c r="H770" s="73"/>
      <x:c r="I770" s="73" t="n">
        <x:v>6</x:v>
      </x:c>
      <x:c r="J770" s="73" t="n">
        <x:v>0</x:v>
      </x:c>
      <x:c r="K770" s="49" t="str">
        <x:v>Un-Aided Autonomous Linguistic Minority - Hindi</x:v>
      </x:c>
      <x:c r="L770" s="49" t="str">
        <x:v>MS Seats : 4 + Minority Seats : 6</x:v>
      </x:c>
      <x:c r="M770" s="49" t="str">
        <x:v>https://dse2025.mahacet.org.in/dse25/admin/allotment/cap2/4123_4.pdf</x:v>
      </x:c>
    </x:row>
    <x:row r="771">
      <x:c r="A771" s="49" t="str">
        <x:v>2025-26</x:v>
      </x:c>
      <x:c r="B771" s="63" t="n">
        <x:v>4123</x:v>
      </x:c>
      <x:c r="C771" s="49" t="str">
        <x:v>Lokmanya Tilak Jankalyan Shikshan Sanstha, Priyadarshani College of Engineering, Nagpur</x:v>
      </x:c>
      <x:c r="D771" s="72" t="n">
        <x:v>412319110</x:v>
      </x:c>
      <x:c r="E771" s="49" t="str">
        <x:v>Civil Engineering</x:v>
      </x:c>
      <x:c r="F771" s="73" t="n">
        <x:v>14</x:v>
      </x:c>
      <x:c r="G771" s="73" t="n">
        <x:v>6</x:v>
      </x:c>
      <x:c r="H771" s="73"/>
      <x:c r="I771" s="73" t="n">
        <x:v>8</x:v>
      </x:c>
      <x:c r="J771" s="73" t="n">
        <x:v>0</x:v>
      </x:c>
      <x:c r="K771" s="49" t="str">
        <x:v>Un-Aided Autonomous Linguistic Minority - Hindi</x:v>
      </x:c>
      <x:c r="L771" s="49" t="str">
        <x:v>MS Seats : 6 + Minority Seats : 8</x:v>
      </x:c>
      <x:c r="M771" s="49" t="str">
        <x:v>https://dse2025.mahacet.org.in/dse25/admin/allotment/cap2/4123_4.pdf</x:v>
      </x:c>
    </x:row>
    <x:row r="772">
      <x:c r="A772" s="49" t="str">
        <x:v>2025-26</x:v>
      </x:c>
      <x:c r="B772" s="63" t="n">
        <x:v>4123</x:v>
      </x:c>
      <x:c r="C772" s="49" t="str">
        <x:v>Lokmanya Tilak Jankalyan Shikshan Sanstha, Priyadarshani College of Engineering, Nagpur</x:v>
      </x:c>
      <x:c r="D772" s="72" t="n">
        <x:v>412324210</x:v>
      </x:c>
      <x:c r="E772" s="49" t="str">
        <x:v>Computer Science and Engineering</x:v>
      </x:c>
      <x:c r="F772" s="73" t="n">
        <x:v>19</x:v>
      </x:c>
      <x:c r="G772" s="73" t="n">
        <x:v>9</x:v>
      </x:c>
      <x:c r="H772" s="73"/>
      <x:c r="I772" s="73" t="n">
        <x:v>10</x:v>
      </x:c>
      <x:c r="J772" s="73" t="n">
        <x:v>0</x:v>
      </x:c>
      <x:c r="K772" s="49" t="str">
        <x:v>Un-Aided Autonomous Linguistic Minority - Hindi</x:v>
      </x:c>
      <x:c r="L772" s="49" t="str">
        <x:v>MS Seats : 9 + Minority Seats : 10</x:v>
      </x:c>
      <x:c r="M772" s="49" t="str">
        <x:v>https://dse2025.mahacet.org.in/dse25/admin/allotment/cap2/4123_4.pdf</x:v>
      </x:c>
    </x:row>
    <x:row r="773">
      <x:c r="A773" s="49" t="str">
        <x:v>2025-26</x:v>
      </x:c>
      <x:c r="B773" s="63" t="n">
        <x:v>4123</x:v>
      </x:c>
      <x:c r="C773" s="49" t="str">
        <x:v>Lokmanya Tilak Jankalyan Shikshan Sanstha, Priyadarshani College of Engineering, Nagpur</x:v>
      </x:c>
      <x:c r="D773" s="72" t="n">
        <x:v>412324610</x:v>
      </x:c>
      <x:c r="E773" s="49" t="str">
        <x:v>Information Technology</x:v>
      </x:c>
      <x:c r="F773" s="73" t="n">
        <x:v>16</x:v>
      </x:c>
      <x:c r="G773" s="73" t="n">
        <x:v>7</x:v>
      </x:c>
      <x:c r="H773" s="73"/>
      <x:c r="I773" s="73" t="n">
        <x:v>9</x:v>
      </x:c>
      <x:c r="J773" s="73" t="n">
        <x:v>0</x:v>
      </x:c>
      <x:c r="K773" s="49" t="str">
        <x:v>Un-Aided Autonomous Linguistic Minority - Hindi</x:v>
      </x:c>
      <x:c r="L773" s="49" t="str">
        <x:v>MS Seats : 7 + Minority Seats : 9</x:v>
      </x:c>
      <x:c r="M773" s="49" t="str">
        <x:v>https://dse2025.mahacet.org.in/dse25/admin/allotment/cap2/4123_4.pdf</x:v>
      </x:c>
    </x:row>
    <x:row r="774">
      <x:c r="A774" s="49" t="str">
        <x:v>2025-26</x:v>
      </x:c>
      <x:c r="B774" s="63" t="n">
        <x:v>4123</x:v>
      </x:c>
      <x:c r="C774" s="49" t="str">
        <x:v>Lokmanya Tilak Jankalyan Shikshan Sanstha, Priyadarshani College of Engineering, Nagpur</x:v>
      </x:c>
      <x:c r="D774" s="72" t="n">
        <x:v>412325110</x:v>
      </x:c>
      <x:c r="E774" s="49" t="str">
        <x:v>Computer Technology</x:v>
      </x:c>
      <x:c r="F774" s="73" t="n">
        <x:v>13</x:v>
      </x:c>
      <x:c r="G774" s="73" t="n">
        <x:v>6</x:v>
      </x:c>
      <x:c r="H774" s="73"/>
      <x:c r="I774" s="73" t="n">
        <x:v>7</x:v>
      </x:c>
      <x:c r="J774" s="73" t="n">
        <x:v>0</x:v>
      </x:c>
      <x:c r="K774" s="49" t="str">
        <x:v>Un-Aided Autonomous Linguistic Minority - Hindi</x:v>
      </x:c>
      <x:c r="L774" s="49" t="str">
        <x:v>MS Seats : 6 + Minority Seats : 7</x:v>
      </x:c>
      <x:c r="M774" s="49" t="str">
        <x:v>https://dse2025.mahacet.org.in/dse25/admin/allotment/cap2/4123_4.pdf</x:v>
      </x:c>
    </x:row>
    <x:row r="775">
      <x:c r="A775" s="49" t="str">
        <x:v>2025-26</x:v>
      </x:c>
      <x:c r="B775" s="63" t="n">
        <x:v>4123</x:v>
      </x:c>
      <x:c r="C775" s="49" t="str">
        <x:v>Lokmanya Tilak Jankalyan Shikshan Sanstha, Priyadarshani College of Engineering, Nagpur</x:v>
      </x:c>
      <x:c r="D775" s="72" t="n">
        <x:v>412326510</x:v>
      </x:c>
      <x:c r="E775" s="49" t="str">
        <x:v>Industrial IoT</x:v>
      </x:c>
      <x:c r="F775" s="73" t="n">
        <x:v>6</x:v>
      </x:c>
      <x:c r="G775" s="73" t="n">
        <x:v>2</x:v>
      </x:c>
      <x:c r="H775" s="73"/>
      <x:c r="I775" s="73" t="n">
        <x:v>4</x:v>
      </x:c>
      <x:c r="J775" s="73" t="n">
        <x:v>0</x:v>
      </x:c>
      <x:c r="K775" s="49" t="str">
        <x:v>Un-Aided Autonomous Linguistic Minority - Hindi</x:v>
      </x:c>
      <x:c r="L775" s="49" t="str">
        <x:v>MS Seats : 2 + Minority Seats : 4</x:v>
      </x:c>
      <x:c r="M775" s="49" t="str">
        <x:v>https://dse2025.mahacet.org.in/dse25/admin/allotment/cap2/4123_4.pdf</x:v>
      </x:c>
    </x:row>
    <x:row r="776">
      <x:c r="A776" s="49" t="str">
        <x:v>2025-26</x:v>
      </x:c>
      <x:c r="B776" s="63" t="n">
        <x:v>4123</x:v>
      </x:c>
      <x:c r="C776" s="49" t="str">
        <x:v>Lokmanya Tilak Jankalyan Shikshan Sanstha, Priyadarshani College of Engineering, Nagpur</x:v>
      </x:c>
      <x:c r="D776" s="72" t="n">
        <x:v>412326610</x:v>
      </x:c>
      <x:c r="E776" s="49" t="str">
        <x:v>Robotics and Artificial Intelligence</x:v>
      </x:c>
      <x:c r="F776" s="73" t="n">
        <x:v>9</x:v>
      </x:c>
      <x:c r="G776" s="73" t="n">
        <x:v>4</x:v>
      </x:c>
      <x:c r="H776" s="73"/>
      <x:c r="I776" s="73" t="n">
        <x:v>5</x:v>
      </x:c>
      <x:c r="J776" s="73" t="n">
        <x:v>0</x:v>
      </x:c>
      <x:c r="K776" s="49" t="str">
        <x:v>Un-Aided Autonomous Linguistic Minority - Hindi</x:v>
      </x:c>
      <x:c r="L776" s="49" t="str">
        <x:v>MS Seats : 4 + Minority Seats : 5</x:v>
      </x:c>
      <x:c r="M776" s="49" t="str">
        <x:v>https://dse2025.mahacet.org.in/dse25/admin/allotment/cap2/4123_4.pdf</x:v>
      </x:c>
    </x:row>
    <x:row r="777">
      <x:c r="A777" s="49" t="str">
        <x:v>2025-26</x:v>
      </x:c>
      <x:c r="B777" s="63" t="n">
        <x:v>4123</x:v>
      </x:c>
      <x:c r="C777" s="49" t="str">
        <x:v>Lokmanya Tilak Jankalyan Shikshan Sanstha, Priyadarshani College of Engineering, Nagpur</x:v>
      </x:c>
      <x:c r="D777" s="72" t="n">
        <x:v>412329310</x:v>
      </x:c>
      <x:c r="E777" s="49" t="str">
        <x:v>Electrical Engineering</x:v>
      </x:c>
      <x:c r="F777" s="73" t="n">
        <x:v>14</x:v>
      </x:c>
      <x:c r="G777" s="73" t="n">
        <x:v>6</x:v>
      </x:c>
      <x:c r="H777" s="73"/>
      <x:c r="I777" s="73" t="n">
        <x:v>8</x:v>
      </x:c>
      <x:c r="J777" s="73" t="n">
        <x:v>0</x:v>
      </x:c>
      <x:c r="K777" s="49" t="str">
        <x:v>Un-Aided Autonomous Linguistic Minority - Hindi</x:v>
      </x:c>
      <x:c r="L777" s="49" t="str">
        <x:v>MS Seats : 6 + Minority Seats : 8</x:v>
      </x:c>
      <x:c r="M777" s="49" t="str">
        <x:v>https://dse2025.mahacet.org.in/dse25/admin/allotment/cap2/4123_4.pdf</x:v>
      </x:c>
    </x:row>
    <x:row r="778">
      <x:c r="A778" s="49" t="str">
        <x:v>2025-26</x:v>
      </x:c>
      <x:c r="B778" s="63" t="n">
        <x:v>4123</x:v>
      </x:c>
      <x:c r="C778" s="49" t="str">
        <x:v>Lokmanya Tilak Jankalyan Shikshan Sanstha, Priyadarshani College of Engineering, Nagpur</x:v>
      </x:c>
      <x:c r="D778" s="72" t="n">
        <x:v>412337010</x:v>
      </x:c>
      <x:c r="E778" s="49" t="str">
        <x:v>Electronics and Communication Engineering</x:v>
      </x:c>
      <x:c r="F778" s="73" t="n">
        <x:v>13</x:v>
      </x:c>
      <x:c r="G778" s="73" t="n">
        <x:v>6</x:v>
      </x:c>
      <x:c r="H778" s="73"/>
      <x:c r="I778" s="73" t="n">
        <x:v>7</x:v>
      </x:c>
      <x:c r="J778" s="73" t="n">
        <x:v>0</x:v>
      </x:c>
      <x:c r="K778" s="49" t="str">
        <x:v>Un-Aided Autonomous Linguistic Minority - Hindi</x:v>
      </x:c>
      <x:c r="L778" s="49" t="str">
        <x:v>MS Seats : 6 + Minority Seats : 7</x:v>
      </x:c>
      <x:c r="M778" s="49" t="str">
        <x:v>https://dse2025.mahacet.org.in/dse25/admin/allotment/cap2/4123_4.pdf</x:v>
      </x:c>
    </x:row>
    <x:row r="779">
      <x:c r="A779" s="49" t="str">
        <x:v>2025-26</x:v>
      </x:c>
      <x:c r="B779" s="63" t="n">
        <x:v>4123</x:v>
      </x:c>
      <x:c r="C779" s="49" t="str">
        <x:v>Lokmanya Tilak Jankalyan Shikshan Sanstha, Priyadarshani College of Engineering, Nagpur</x:v>
      </x:c>
      <x:c r="D779" s="72" t="n">
        <x:v>412337210</x:v>
      </x:c>
      <x:c r="E779" s="49" t="str">
        <x:v>Electronics and Telecommunication Engg</x:v>
      </x:c>
      <x:c r="F779" s="73" t="n">
        <x:v>14</x:v>
      </x:c>
      <x:c r="G779" s="73" t="n">
        <x:v>6</x:v>
      </x:c>
      <x:c r="H779" s="73"/>
      <x:c r="I779" s="73" t="n">
        <x:v>8</x:v>
      </x:c>
      <x:c r="J779" s="73" t="n">
        <x:v>0</x:v>
      </x:c>
      <x:c r="K779" s="49" t="str">
        <x:v>Un-Aided Autonomous Linguistic Minority - Hindi</x:v>
      </x:c>
      <x:c r="L779" s="49" t="str">
        <x:v>MS Seats : 6 + Minority Seats : 8</x:v>
      </x:c>
      <x:c r="M779" s="49" t="str">
        <x:v>https://dse2025.mahacet.org.in/dse25/admin/allotment/cap2/4123_4.pdf</x:v>
      </x:c>
    </x:row>
    <x:row r="780">
      <x:c r="A780" s="49" t="str">
        <x:v>2025-26</x:v>
      </x:c>
      <x:c r="B780" s="63" t="n">
        <x:v>4123</x:v>
      </x:c>
      <x:c r="C780" s="49" t="str">
        <x:v>Lokmanya Tilak Jankalyan Shikshan Sanstha, Priyadarshani College of Engineering, Nagpur</x:v>
      </x:c>
      <x:c r="D780" s="72" t="n">
        <x:v>412350710</x:v>
      </x:c>
      <x:c r="E780" s="49" t="str">
        <x:v>Chemical Engineering</x:v>
      </x:c>
      <x:c r="F780" s="73" t="n">
        <x:v>6</x:v>
      </x:c>
      <x:c r="G780" s="73" t="n">
        <x:v>2</x:v>
      </x:c>
      <x:c r="H780" s="73"/>
      <x:c r="I780" s="73" t="n">
        <x:v>4</x:v>
      </x:c>
      <x:c r="J780" s="73" t="n">
        <x:v>0</x:v>
      </x:c>
      <x:c r="K780" s="49" t="str">
        <x:v>Un-Aided Autonomous Linguistic Minority - Hindi</x:v>
      </x:c>
      <x:c r="L780" s="49" t="str">
        <x:v>MS Seats : 2 + Minority Seats : 4</x:v>
      </x:c>
      <x:c r="M780" s="49" t="str">
        <x:v>https://dse2025.mahacet.org.in/dse25/admin/allotment/cap2/4123_4.pdf</x:v>
      </x:c>
    </x:row>
    <x:row r="781">
      <x:c r="A781" s="49" t="str">
        <x:v>2025-26</x:v>
      </x:c>
      <x:c r="B781" s="63" t="n">
        <x:v>4123</x:v>
      </x:c>
      <x:c r="C781" s="49" t="str">
        <x:v>Lokmanya Tilak Jankalyan Shikshan Sanstha, Priyadarshani College of Engineering, Nagpur</x:v>
      </x:c>
      <x:c r="D781" s="72" t="n">
        <x:v>412361210</x:v>
      </x:c>
      <x:c r="E781" s="49" t="str">
        <x:v>Mechanical Engineering</x:v>
      </x:c>
      <x:c r="F781" s="73" t="n">
        <x:v>17</x:v>
      </x:c>
      <x:c r="G781" s="73" t="n">
        <x:v>8</x:v>
      </x:c>
      <x:c r="H781" s="73"/>
      <x:c r="I781" s="73" t="n">
        <x:v>9</x:v>
      </x:c>
      <x:c r="J781" s="73" t="n">
        <x:v>0</x:v>
      </x:c>
      <x:c r="K781" s="49" t="str">
        <x:v>Un-Aided Autonomous Linguistic Minority - Hindi</x:v>
      </x:c>
      <x:c r="L781" s="49" t="str">
        <x:v>MS Seats : 8 + Minority Seats : 9</x:v>
      </x:c>
      <x:c r="M781" s="49" t="str">
        <x:v>https://dse2025.mahacet.org.in/dse25/admin/allotment/cap2/4123_4.pdf</x:v>
      </x:c>
    </x:row>
    <x:row r="782">
      <x:c r="A782" s="49" t="str">
        <x:v>2025-26</x:v>
      </x:c>
      <x:c r="B782" s="63" t="n">
        <x:v>4123</x:v>
      </x:c>
      <x:c r="C782" s="49" t="str">
        <x:v>Lokmanya Tilak Jankalyan Shikshan Sanstha, Priyadarshani College of Engineering, Nagpur</x:v>
      </x:c>
      <x:c r="D782" s="72" t="n">
        <x:v>412399510</x:v>
      </x:c>
      <x:c r="E782" s="49" t="str">
        <x:v>Artificial Intelligence and Data Science</x:v>
      </x:c>
      <x:c r="F782" s="73" t="n">
        <x:v>13</x:v>
      </x:c>
      <x:c r="G782" s="73" t="n">
        <x:v>6</x:v>
      </x:c>
      <x:c r="H782" s="73"/>
      <x:c r="I782" s="73" t="n">
        <x:v>7</x:v>
      </x:c>
      <x:c r="J782" s="73" t="n">
        <x:v>0</x:v>
      </x:c>
      <x:c r="K782" s="49" t="str">
        <x:v>Un-Aided Autonomous Linguistic Minority - Hindi</x:v>
      </x:c>
      <x:c r="L782" s="49" t="str">
        <x:v>MS Seats : 6 + Minority Seats : 7</x:v>
      </x:c>
      <x:c r="M782" s="49" t="str">
        <x:v>https://dse2025.mahacet.org.in/dse25/admin/allotment/cap2/4123_4.pdf</x:v>
      </x:c>
    </x:row>
    <x:row r="783">
      <x:c r="A783" s="49" t="str">
        <x:v>2025-26</x:v>
      </x:c>
      <x:c r="B783" s="63" t="n">
        <x:v>4133</x:v>
      </x:c>
      <x:c r="C783" s="49" t="str">
        <x:v>Sanmarg Shikshan Sanstha's Smt. Radhikatai Pandav College of Engineering, Nagpur</x:v>
      </x:c>
      <x:c r="D783" s="72" t="n">
        <x:v>413319110</x:v>
      </x:c>
      <x:c r="E783" s="49" t="str">
        <x:v>Civil Engineering</x:v>
      </x:c>
      <x:c r="F783" s="73" t="n">
        <x:v>20</x:v>
      </x:c>
      <x:c r="G783" s="73" t="n">
        <x:v>14</x:v>
      </x:c>
      <x:c r="H783" s="73" t="n">
        <x:v>6</x:v>
      </x:c>
      <x:c r="I783" s="73"/>
      <x:c r="J783" s="73" t="n">
        <x:v>0</x:v>
      </x:c>
      <x:c r="K783" s="49" t="str">
        <x:v>Un-Aided</x:v>
      </x:c>
      <x:c r="L783" s="49" t="str">
        <x:v>MS Seats : 14+ EWS : 6</x:v>
      </x:c>
      <x:c r="M783" s="49" t="str">
        <x:v>https://dse2025.mahacet.org.in/dse25/admin/allotment/cap2/4133_4.pdf</x:v>
      </x:c>
    </x:row>
    <x:row r="784">
      <x:c r="A784" s="49" t="str">
        <x:v>2025-26</x:v>
      </x:c>
      <x:c r="B784" s="63" t="n">
        <x:v>4133</x:v>
      </x:c>
      <x:c r="C784" s="49" t="str">
        <x:v>Sanmarg Shikshan Sanstha's Smt. Radhikatai Pandav College of Engineering, Nagpur</x:v>
      </x:c>
      <x:c r="D784" s="72" t="n">
        <x:v>413324210</x:v>
      </x:c>
      <x:c r="E784" s="49" t="str">
        <x:v>Computer Science and Engineering</x:v>
      </x:c>
      <x:c r="F784" s="73" t="n">
        <x:v>12</x:v>
      </x:c>
      <x:c r="G784" s="73" t="n">
        <x:v>7</x:v>
      </x:c>
      <x:c r="H784" s="73" t="n">
        <x:v>5</x:v>
      </x:c>
      <x:c r="I784" s="73"/>
      <x:c r="J784" s="73" t="n">
        <x:v>0</x:v>
      </x:c>
      <x:c r="K784" s="49" t="str">
        <x:v>Un-Aided</x:v>
      </x:c>
      <x:c r="L784" s="49" t="str">
        <x:v>MS Seats : 7+ EWS : 5</x:v>
      </x:c>
      <x:c r="M784" s="49" t="str">
        <x:v>https://dse2025.mahacet.org.in/dse25/admin/allotment/cap2/4133_4.pdf</x:v>
      </x:c>
    </x:row>
    <x:row r="785">
      <x:c r="A785" s="49" t="str">
        <x:v>2025-26</x:v>
      </x:c>
      <x:c r="B785" s="63" t="n">
        <x:v>4133</x:v>
      </x:c>
      <x:c r="C785" s="49" t="str">
        <x:v>Sanmarg Shikshan Sanstha's Smt. Radhikatai Pandav College of Engineering, Nagpur</x:v>
      </x:c>
      <x:c r="D785" s="72" t="n">
        <x:v>413324510</x:v>
      </x:c>
      <x:c r="E785" s="49" t="str">
        <x:v>Computer Engineering</x:v>
      </x:c>
      <x:c r="F785" s="73" t="n">
        <x:v>14</x:v>
      </x:c>
      <x:c r="G785" s="73" t="n">
        <x:v>9</x:v>
      </x:c>
      <x:c r="H785" s="73" t="n">
        <x:v>5</x:v>
      </x:c>
      <x:c r="I785" s="73"/>
      <x:c r="J785" s="73" t="n">
        <x:v>0</x:v>
      </x:c>
      <x:c r="K785" s="49" t="str">
        <x:v>Un-Aided</x:v>
      </x:c>
      <x:c r="L785" s="49" t="str">
        <x:v>MS Seats : 9+ EWS : 5</x:v>
      </x:c>
      <x:c r="M785" s="49" t="str">
        <x:v>https://dse2025.mahacet.org.in/dse25/admin/allotment/cap2/4133_4.pdf</x:v>
      </x:c>
    </x:row>
    <x:row r="786">
      <x:c r="A786" s="49" t="str">
        <x:v>2025-26</x:v>
      </x:c>
      <x:c r="B786" s="63" t="n">
        <x:v>4133</x:v>
      </x:c>
      <x:c r="C786" s="49" t="str">
        <x:v>Sanmarg Shikshan Sanstha's Smt. Radhikatai Pandav College of Engineering, Nagpur</x:v>
      </x:c>
      <x:c r="D786" s="72" t="n">
        <x:v>413329310</x:v>
      </x:c>
      <x:c r="E786" s="49" t="str">
        <x:v>Electrical Engineering</x:v>
      </x:c>
      <x:c r="F786" s="73" t="n">
        <x:v>18</x:v>
      </x:c>
      <x:c r="G786" s="73" t="n">
        <x:v>11</x:v>
      </x:c>
      <x:c r="H786" s="73" t="n">
        <x:v>7</x:v>
      </x:c>
      <x:c r="I786" s="73"/>
      <x:c r="J786" s="73" t="n">
        <x:v>0</x:v>
      </x:c>
      <x:c r="K786" s="49" t="str">
        <x:v>Un-Aided</x:v>
      </x:c>
      <x:c r="L786" s="49" t="str">
        <x:v>MS Seats : 11+ EWS : 7</x:v>
      </x:c>
      <x:c r="M786" s="49" t="str">
        <x:v>https://dse2025.mahacet.org.in/dse25/admin/allotment/cap2/4133_4.pdf</x:v>
      </x:c>
    </x:row>
    <x:row r="787">
      <x:c r="A787" s="49" t="str">
        <x:v>2025-26</x:v>
      </x:c>
      <x:c r="B787" s="63" t="n">
        <x:v>4133</x:v>
      </x:c>
      <x:c r="C787" s="49" t="str">
        <x:v>Sanmarg Shikshan Sanstha's Smt. Radhikatai Pandav College of Engineering, Nagpur</x:v>
      </x:c>
      <x:c r="D787" s="72" t="n">
        <x:v>413337210</x:v>
      </x:c>
      <x:c r="E787" s="49" t="str">
        <x:v>Electronics and Telecommunication Engg</x:v>
      </x:c>
      <x:c r="F787" s="73" t="n">
        <x:v>17</x:v>
      </x:c>
      <x:c r="G787" s="73" t="n">
        <x:v>10</x:v>
      </x:c>
      <x:c r="H787" s="73" t="n">
        <x:v>7</x:v>
      </x:c>
      <x:c r="I787" s="73"/>
      <x:c r="J787" s="73" t="n">
        <x:v>0</x:v>
      </x:c>
      <x:c r="K787" s="49" t="str">
        <x:v>Un-Aided</x:v>
      </x:c>
      <x:c r="L787" s="49" t="str">
        <x:v>MS Seats : 10+ EWS : 7</x:v>
      </x:c>
      <x:c r="M787" s="49" t="str">
        <x:v>https://dse2025.mahacet.org.in/dse25/admin/allotment/cap2/4133_4.pdf</x:v>
      </x:c>
    </x:row>
    <x:row r="788">
      <x:c r="A788" s="49" t="str">
        <x:v>2025-26</x:v>
      </x:c>
      <x:c r="B788" s="63" t="n">
        <x:v>4133</x:v>
      </x:c>
      <x:c r="C788" s="49" t="str">
        <x:v>Sanmarg Shikshan Sanstha's Smt. Radhikatai Pandav College of Engineering, Nagpur</x:v>
      </x:c>
      <x:c r="D788" s="72" t="n">
        <x:v>413361210</x:v>
      </x:c>
      <x:c r="E788" s="49" t="str">
        <x:v>Mechanical Engineering</x:v>
      </x:c>
      <x:c r="F788" s="73" t="n">
        <x:v>21</x:v>
      </x:c>
      <x:c r="G788" s="73" t="n">
        <x:v>14</x:v>
      </x:c>
      <x:c r="H788" s="73" t="n">
        <x:v>7</x:v>
      </x:c>
      <x:c r="I788" s="73"/>
      <x:c r="J788" s="73" t="n">
        <x:v>0</x:v>
      </x:c>
      <x:c r="K788" s="49" t="str">
        <x:v>Un-Aided</x:v>
      </x:c>
      <x:c r="L788" s="49" t="str">
        <x:v>MS Seats : 14+ EWS : 7</x:v>
      </x:c>
      <x:c r="M788" s="49" t="str">
        <x:v>https://dse2025.mahacet.org.in/dse25/admin/allotment/cap2/4133_4.pdf</x:v>
      </x:c>
    </x:row>
    <x:row r="789">
      <x:c r="A789" s="49" t="str">
        <x:v>2025-26</x:v>
      </x:c>
      <x:c r="B789" s="63" t="n">
        <x:v>4134</x:v>
      </x:c>
      <x:c r="C789" s="49" t="str">
        <x:v>Guru Nanak Institute of Engineering &amp; Technology,Kalmeshwar, Nagpur</x:v>
      </x:c>
      <x:c r="D789" s="72" t="n">
        <x:v>413424210</x:v>
      </x:c>
      <x:c r="E789" s="49" t="str">
        <x:v>Computer Science and Engineering</x:v>
      </x:c>
      <x:c r="F789" s="73" t="n">
        <x:v>27</x:v>
      </x:c>
      <x:c r="G789" s="73" t="n">
        <x:v>21</x:v>
      </x:c>
      <x:c r="H789" s="73" t="n">
        <x:v>6</x:v>
      </x:c>
      <x:c r="I789" s="73"/>
      <x:c r="J789" s="73" t="n">
        <x:v>0</x:v>
      </x:c>
      <x:c r="K789" s="49" t="str">
        <x:v>Un-Aided</x:v>
      </x:c>
      <x:c r="L789" s="49" t="str">
        <x:v>MS Seats : 21+ EWS : 6</x:v>
      </x:c>
      <x:c r="M789" s="49" t="str">
        <x:v>https://dse2025.mahacet.org.in/dse25/admin/allotment/cap2/4134_4.pdf</x:v>
      </x:c>
    </x:row>
    <x:row r="790">
      <x:c r="A790" s="49" t="str">
        <x:v>2025-26</x:v>
      </x:c>
      <x:c r="B790" s="63" t="n">
        <x:v>4134</x:v>
      </x:c>
      <x:c r="C790" s="49" t="str">
        <x:v>Guru Nanak Institute of Engineering &amp; Technology,Kalmeshwar, Nagpur</x:v>
      </x:c>
      <x:c r="D790" s="72" t="n">
        <x:v>413424610</x:v>
      </x:c>
      <x:c r="E790" s="49" t="str">
        <x:v>Information Technology</x:v>
      </x:c>
      <x:c r="F790" s="73" t="n">
        <x:v>33</x:v>
      </x:c>
      <x:c r="G790" s="73" t="n">
        <x:v>28</x:v>
      </x:c>
      <x:c r="H790" s="73" t="n">
        <x:v>5</x:v>
      </x:c>
      <x:c r="I790" s="73"/>
      <x:c r="J790" s="73" t="n">
        <x:v>0</x:v>
      </x:c>
      <x:c r="K790" s="49" t="str">
        <x:v>Un-Aided</x:v>
      </x:c>
      <x:c r="L790" s="49" t="str">
        <x:v>MS Seats : 28+ EWS : 5</x:v>
      </x:c>
      <x:c r="M790" s="49" t="str">
        <x:v>https://dse2025.mahacet.org.in/dse25/admin/allotment/cap2/4134_4.pdf</x:v>
      </x:c>
    </x:row>
    <x:row r="791">
      <x:c r="A791" s="49" t="str">
        <x:v>2025-26</x:v>
      </x:c>
      <x:c r="B791" s="63" t="n">
        <x:v>4134</x:v>
      </x:c>
      <x:c r="C791" s="49" t="str">
        <x:v>Guru Nanak Institute of Engineering &amp; Technology,Kalmeshwar, Nagpur</x:v>
      </x:c>
      <x:c r="D791" s="72" t="n">
        <x:v>413429310</x:v>
      </x:c>
      <x:c r="E791" s="49" t="str">
        <x:v>Electrical Engineering</x:v>
      </x:c>
      <x:c r="F791" s="73" t="n">
        <x:v>32</x:v>
      </x:c>
      <x:c r="G791" s="73" t="n">
        <x:v>25</x:v>
      </x:c>
      <x:c r="H791" s="73" t="n">
        <x:v>7</x:v>
      </x:c>
      <x:c r="I791" s="73"/>
      <x:c r="J791" s="73" t="n">
        <x:v>0</x:v>
      </x:c>
      <x:c r="K791" s="49" t="str">
        <x:v>Un-Aided</x:v>
      </x:c>
      <x:c r="L791" s="49" t="str">
        <x:v>MS Seats : 25+ EWS : 7</x:v>
      </x:c>
      <x:c r="M791" s="49" t="str">
        <x:v>https://dse2025.mahacet.org.in/dse25/admin/allotment/cap2/4134_4.pdf</x:v>
      </x:c>
    </x:row>
    <x:row r="792">
      <x:c r="A792" s="49" t="str">
        <x:v>2025-26</x:v>
      </x:c>
      <x:c r="B792" s="63" t="n">
        <x:v>4134</x:v>
      </x:c>
      <x:c r="C792" s="49" t="str">
        <x:v>Guru Nanak Institute of Engineering &amp; Technology,Kalmeshwar, Nagpur</x:v>
      </x:c>
      <x:c r="D792" s="72" t="n">
        <x:v>413437210</x:v>
      </x:c>
      <x:c r="E792" s="49" t="str">
        <x:v>Electronics and Telecommunication Engg</x:v>
      </x:c>
      <x:c r="F792" s="73" t="n">
        <x:v>35</x:v>
      </x:c>
      <x:c r="G792" s="73" t="n">
        <x:v>28</x:v>
      </x:c>
      <x:c r="H792" s="73" t="n">
        <x:v>7</x:v>
      </x:c>
      <x:c r="I792" s="73"/>
      <x:c r="J792" s="73" t="n">
        <x:v>0</x:v>
      </x:c>
      <x:c r="K792" s="49" t="str">
        <x:v>Un-Aided</x:v>
      </x:c>
      <x:c r="L792" s="49" t="str">
        <x:v>MS Seats : 28+ EWS : 7</x:v>
      </x:c>
      <x:c r="M792" s="49" t="str">
        <x:v>https://dse2025.mahacet.org.in/dse25/admin/allotment/cap2/4134_4.pdf</x:v>
      </x:c>
    </x:row>
    <x:row r="793">
      <x:c r="A793" s="49" t="str">
        <x:v>2025-26</x:v>
      </x:c>
      <x:c r="B793" s="63" t="n">
        <x:v>4134</x:v>
      </x:c>
      <x:c r="C793" s="49" t="str">
        <x:v>Guru Nanak Institute of Engineering &amp; Technology,Kalmeshwar, Nagpur</x:v>
      </x:c>
      <x:c r="D793" s="72" t="n">
        <x:v>413491210</x:v>
      </x:c>
      <x:c r="E793" s="49" t="str">
        <x:v>Computer Science and Engineering(Data Science)</x:v>
      </x:c>
      <x:c r="F793" s="73" t="n">
        <x:v>37</x:v>
      </x:c>
      <x:c r="G793" s="73" t="n">
        <x:v>31</x:v>
      </x:c>
      <x:c r="H793" s="73" t="n">
        <x:v>6</x:v>
      </x:c>
      <x:c r="I793" s="73"/>
      <x:c r="J793" s="73" t="n">
        <x:v>0</x:v>
      </x:c>
      <x:c r="K793" s="49" t="str">
        <x:v>Un-Aided</x:v>
      </x:c>
      <x:c r="L793" s="49" t="str">
        <x:v>MS Seats : 31+ EWS : 6</x:v>
      </x:c>
      <x:c r="M793" s="49" t="str">
        <x:v>https://dse2025.mahacet.org.in/dse25/admin/allotment/cap2/4134_4.pdf</x:v>
      </x:c>
    </x:row>
    <x:row r="794">
      <x:c r="A794" s="49" t="str">
        <x:v>2025-26</x:v>
      </x:c>
      <x:c r="B794" s="63" t="n">
        <x:v>4134</x:v>
      </x:c>
      <x:c r="C794" s="49" t="str">
        <x:v>Guru Nanak Institute of Engineering &amp; Technology,Kalmeshwar, Nagpur</x:v>
      </x:c>
      <x:c r="D794" s="72" t="n">
        <x:v>413499710</x:v>
      </x:c>
      <x:c r="E794" s="49" t="str">
        <x:v>Artificial Intelligence</x:v>
      </x:c>
      <x:c r="F794" s="73" t="n">
        <x:v>29</x:v>
      </x:c>
      <x:c r="G794" s="73" t="n">
        <x:v>23</x:v>
      </x:c>
      <x:c r="H794" s="73" t="n">
        <x:v>6</x:v>
      </x:c>
      <x:c r="I794" s="73"/>
      <x:c r="J794" s="73" t="n">
        <x:v>0</x:v>
      </x:c>
      <x:c r="K794" s="49" t="str">
        <x:v>Un-Aided</x:v>
      </x:c>
      <x:c r="L794" s="49" t="str">
        <x:v>MS Seats : 23+ EWS : 6</x:v>
      </x:c>
      <x:c r="M794" s="49" t="str">
        <x:v>https://dse2025.mahacet.org.in/dse25/admin/allotment/cap2/4134_4.pdf</x:v>
      </x:c>
    </x:row>
    <x:row r="795">
      <x:c r="A795" s="49" t="str">
        <x:v>2025-26</x:v>
      </x:c>
      <x:c r="B795" s="63" t="n">
        <x:v>4135</x:v>
      </x:c>
      <x:c r="C795" s="49" t="str">
        <x:v>Amar Seva Mandal's Shree Govindrao Vanjari College of Engineering &amp; Technology, Nagpur</x:v>
      </x:c>
      <x:c r="D795" s="72" t="n">
        <x:v>413519110</x:v>
      </x:c>
      <x:c r="E795" s="49" t="str">
        <x:v>Civil Engineering</x:v>
      </x:c>
      <x:c r="F795" s="73" t="n">
        <x:v>25</x:v>
      </x:c>
      <x:c r="G795" s="73" t="n">
        <x:v>18</x:v>
      </x:c>
      <x:c r="H795" s="73" t="n">
        <x:v>7</x:v>
      </x:c>
      <x:c r="I795" s="73"/>
      <x:c r="J795" s="73" t="n">
        <x:v>0</x:v>
      </x:c>
      <x:c r="K795" s="49" t="str">
        <x:v>Un-Aided</x:v>
      </x:c>
      <x:c r="L795" s="49" t="str">
        <x:v>MS Seats : 18+ EWS : 7</x:v>
      </x:c>
      <x:c r="M795" s="49" t="str">
        <x:v>https://dse2025.mahacet.org.in/dse25/admin/allotment/cap2/4135_4.pdf</x:v>
      </x:c>
    </x:row>
    <x:row r="796">
      <x:c r="A796" s="49" t="str">
        <x:v>2025-26</x:v>
      </x:c>
      <x:c r="B796" s="63" t="n">
        <x:v>4135</x:v>
      </x:c>
      <x:c r="C796" s="49" t="str">
        <x:v>Amar Seva Mandal's Shree Govindrao Vanjari College of Engineering &amp; Technology, Nagpur</x:v>
      </x:c>
      <x:c r="D796" s="72" t="n">
        <x:v>413524210</x:v>
      </x:c>
      <x:c r="E796" s="49" t="str">
        <x:v>Computer Science and Engineering</x:v>
      </x:c>
      <x:c r="F796" s="73" t="n">
        <x:v>18</x:v>
      </x:c>
      <x:c r="G796" s="73" t="n">
        <x:v>14</x:v>
      </x:c>
      <x:c r="H796" s="73" t="n">
        <x:v>4</x:v>
      </x:c>
      <x:c r="I796" s="73"/>
      <x:c r="J796" s="73" t="n">
        <x:v>0</x:v>
      </x:c>
      <x:c r="K796" s="49" t="str">
        <x:v>Un-Aided</x:v>
      </x:c>
      <x:c r="L796" s="49" t="str">
        <x:v>MS Seats : 14+ EWS : 4</x:v>
      </x:c>
      <x:c r="M796" s="49" t="str">
        <x:v>https://dse2025.mahacet.org.in/dse25/admin/allotment/cap2/4135_4.pdf</x:v>
      </x:c>
    </x:row>
    <x:row r="797">
      <x:c r="A797" s="49" t="str">
        <x:v>2025-26</x:v>
      </x:c>
      <x:c r="B797" s="63" t="n">
        <x:v>4135</x:v>
      </x:c>
      <x:c r="C797" s="49" t="str">
        <x:v>Amar Seva Mandal's Shree Govindrao Vanjari College of Engineering &amp; Technology, Nagpur</x:v>
      </x:c>
      <x:c r="D797" s="72" t="n">
        <x:v>413524610</x:v>
      </x:c>
      <x:c r="E797" s="49" t="str">
        <x:v>Information Technology</x:v>
      </x:c>
      <x:c r="F797" s="73" t="n">
        <x:v>14</x:v>
      </x:c>
      <x:c r="G797" s="73" t="n">
        <x:v>12</x:v>
      </x:c>
      <x:c r="H797" s="73" t="n">
        <x:v>2</x:v>
      </x:c>
      <x:c r="I797" s="73"/>
      <x:c r="J797" s="73" t="n">
        <x:v>0</x:v>
      </x:c>
      <x:c r="K797" s="49" t="str">
        <x:v>Un-Aided</x:v>
      </x:c>
      <x:c r="L797" s="49" t="str">
        <x:v>MS Seats : 12+ EWS : 2</x:v>
      </x:c>
      <x:c r="M797" s="49" t="str">
        <x:v>https://dse2025.mahacet.org.in/dse25/admin/allotment/cap2/4135_4.pdf</x:v>
      </x:c>
    </x:row>
    <x:row r="798">
      <x:c r="A798" s="49" t="str">
        <x:v>2025-26</x:v>
      </x:c>
      <x:c r="B798" s="63" t="n">
        <x:v>4135</x:v>
      </x:c>
      <x:c r="C798" s="49" t="str">
        <x:v>Amar Seva Mandal's Shree Govindrao Vanjari College of Engineering &amp; Technology, Nagpur</x:v>
      </x:c>
      <x:c r="D798" s="72" t="n">
        <x:v>413529310</x:v>
      </x:c>
      <x:c r="E798" s="49" t="str">
        <x:v>Electrical Engineering</x:v>
      </x:c>
      <x:c r="F798" s="73" t="n">
        <x:v>26</x:v>
      </x:c>
      <x:c r="G798" s="73" t="n">
        <x:v>19</x:v>
      </x:c>
      <x:c r="H798" s="73" t="n">
        <x:v>7</x:v>
      </x:c>
      <x:c r="I798" s="73"/>
      <x:c r="J798" s="73" t="n">
        <x:v>0</x:v>
      </x:c>
      <x:c r="K798" s="49" t="str">
        <x:v>Un-Aided</x:v>
      </x:c>
      <x:c r="L798" s="49" t="str">
        <x:v>MS Seats : 19+ EWS : 7</x:v>
      </x:c>
      <x:c r="M798" s="49" t="str">
        <x:v>https://dse2025.mahacet.org.in/dse25/admin/allotment/cap2/4135_4.pdf</x:v>
      </x:c>
    </x:row>
    <x:row r="799">
      <x:c r="A799" s="49" t="str">
        <x:v>2025-26</x:v>
      </x:c>
      <x:c r="B799" s="63" t="n">
        <x:v>4135</x:v>
      </x:c>
      <x:c r="C799" s="49" t="str">
        <x:v>Amar Seva Mandal's Shree Govindrao Vanjari College of Engineering &amp; Technology, Nagpur</x:v>
      </x:c>
      <x:c r="D799" s="72" t="n">
        <x:v>413537210</x:v>
      </x:c>
      <x:c r="E799" s="49" t="str">
        <x:v>Electronics and Telecommunication Engg</x:v>
      </x:c>
      <x:c r="F799" s="73" t="n">
        <x:v>8</x:v>
      </x:c>
      <x:c r="G799" s="73" t="n">
        <x:v>5</x:v>
      </x:c>
      <x:c r="H799" s="73" t="n">
        <x:v>3</x:v>
      </x:c>
      <x:c r="I799" s="73"/>
      <x:c r="J799" s="73" t="n">
        <x:v>0</x:v>
      </x:c>
      <x:c r="K799" s="49" t="str">
        <x:v>Un-Aided</x:v>
      </x:c>
      <x:c r="L799" s="49" t="str">
        <x:v>MS Seats : 5+ EWS : 3</x:v>
      </x:c>
      <x:c r="M799" s="49" t="str">
        <x:v>https://dse2025.mahacet.org.in/dse25/admin/allotment/cap2/4135_4.pdf</x:v>
      </x:c>
    </x:row>
    <x:row r="800">
      <x:c r="A800" s="49" t="str">
        <x:v>2025-26</x:v>
      </x:c>
      <x:c r="B800" s="63" t="n">
        <x:v>4135</x:v>
      </x:c>
      <x:c r="C800" s="49" t="str">
        <x:v>Amar Seva Mandal's Shree Govindrao Vanjari College of Engineering &amp; Technology, Nagpur</x:v>
      </x:c>
      <x:c r="D800" s="72" t="n">
        <x:v>413561210</x:v>
      </x:c>
      <x:c r="E800" s="49" t="str">
        <x:v>Mechanical Engineering</x:v>
      </x:c>
      <x:c r="F800" s="73" t="n">
        <x:v>24</x:v>
      </x:c>
      <x:c r="G800" s="73" t="n">
        <x:v>19</x:v>
      </x:c>
      <x:c r="H800" s="73" t="n">
        <x:v>5</x:v>
      </x:c>
      <x:c r="I800" s="73"/>
      <x:c r="J800" s="73" t="n">
        <x:v>0</x:v>
      </x:c>
      <x:c r="K800" s="49" t="str">
        <x:v>Un-Aided</x:v>
      </x:c>
      <x:c r="L800" s="49" t="str">
        <x:v>MS Seats : 19+ EWS : 5</x:v>
      </x:c>
      <x:c r="M800" s="49" t="str">
        <x:v>https://dse2025.mahacet.org.in/dse25/admin/allotment/cap2/4135_4.pdf</x:v>
      </x:c>
    </x:row>
    <x:row r="801">
      <x:c r="A801" s="49" t="str">
        <x:v>2025-26</x:v>
      </x:c>
      <x:c r="B801" s="63" t="n">
        <x:v>4136</x:v>
      </x:c>
      <x:c r="C801" s="49" t="str">
        <x:v>Lokmanya Tilak Jankalyan Shikshan Sastha, Priyadarshini J. L. College Of Engineering, Nagpur</x:v>
      </x:c>
      <x:c r="D801" s="72" t="n">
        <x:v>413619110</x:v>
      </x:c>
      <x:c r="E801" s="49" t="str">
        <x:v>Civil Engineering</x:v>
      </x:c>
      <x:c r="F801" s="73" t="n">
        <x:v>8</x:v>
      </x:c>
      <x:c r="G801" s="73" t="n">
        <x:v>3</x:v>
      </x:c>
      <x:c r="H801" s="73"/>
      <x:c r="I801" s="73" t="n">
        <x:v>5</x:v>
      </x:c>
      <x:c r="J801" s="73" t="n">
        <x:v>0</x:v>
      </x:c>
      <x:c r="K801" s="49" t="str">
        <x:v>Un-Aided Autonomous Linguistic Minority - Hindi</x:v>
      </x:c>
      <x:c r="L801" s="49" t="str">
        <x:v>MS Seats : 3 + Minority Seats : 5</x:v>
      </x:c>
      <x:c r="M801" s="49" t="str">
        <x:v>https://dse2025.mahacet.org.in/dse25/admin/allotment/cap2/4136_4.pdf</x:v>
      </x:c>
    </x:row>
    <x:row r="802">
      <x:c r="A802" s="49" t="str">
        <x:v>2025-26</x:v>
      </x:c>
      <x:c r="B802" s="63" t="n">
        <x:v>4136</x:v>
      </x:c>
      <x:c r="C802" s="49" t="str">
        <x:v>Lokmanya Tilak Jankalyan Shikshan Sastha, Priyadarshini J. L. College Of Engineering, Nagpur</x:v>
      </x:c>
      <x:c r="D802" s="72" t="n">
        <x:v>413624210</x:v>
      </x:c>
      <x:c r="E802" s="49" t="str">
        <x:v>Computer Science and Engineering</x:v>
      </x:c>
      <x:c r="F802" s="73" t="n">
        <x:v>13</x:v>
      </x:c>
      <x:c r="G802" s="73" t="n">
        <x:v>6</x:v>
      </x:c>
      <x:c r="H802" s="73"/>
      <x:c r="I802" s="73" t="n">
        <x:v>7</x:v>
      </x:c>
      <x:c r="J802" s="73" t="n">
        <x:v>0</x:v>
      </x:c>
      <x:c r="K802" s="49" t="str">
        <x:v>Un-Aided Autonomous Linguistic Minority - Hindi</x:v>
      </x:c>
      <x:c r="L802" s="49" t="str">
        <x:v>MS Seats : 6 + Minority Seats : 7</x:v>
      </x:c>
      <x:c r="M802" s="49" t="str">
        <x:v>https://dse2025.mahacet.org.in/dse25/admin/allotment/cap2/4136_4.pdf</x:v>
      </x:c>
    </x:row>
    <x:row r="803">
      <x:c r="A803" s="49" t="str">
        <x:v>2025-26</x:v>
      </x:c>
      <x:c r="B803" s="63" t="n">
        <x:v>4136</x:v>
      </x:c>
      <x:c r="C803" s="49" t="str">
        <x:v>Lokmanya Tilak Jankalyan Shikshan Sastha, Priyadarshini J. L. College Of Engineering, Nagpur</x:v>
      </x:c>
      <x:c r="D803" s="72" t="n">
        <x:v>413629310</x:v>
      </x:c>
      <x:c r="E803" s="49" t="str">
        <x:v>Electrical Engineering</x:v>
      </x:c>
      <x:c r="F803" s="73" t="n">
        <x:v>6</x:v>
      </x:c>
      <x:c r="G803" s="73" t="n">
        <x:v>2</x:v>
      </x:c>
      <x:c r="H803" s="73"/>
      <x:c r="I803" s="73" t="n">
        <x:v>4</x:v>
      </x:c>
      <x:c r="J803" s="73" t="n">
        <x:v>0</x:v>
      </x:c>
      <x:c r="K803" s="49" t="str">
        <x:v>Un-Aided Autonomous Linguistic Minority - Hindi</x:v>
      </x:c>
      <x:c r="L803" s="49" t="str">
        <x:v>MS Seats : 2 + Minority Seats : 4</x:v>
      </x:c>
      <x:c r="M803" s="49" t="str">
        <x:v>https://dse2025.mahacet.org.in/dse25/admin/allotment/cap2/4136_4.pdf</x:v>
      </x:c>
    </x:row>
    <x:row r="804">
      <x:c r="A804" s="49" t="str">
        <x:v>2025-26</x:v>
      </x:c>
      <x:c r="B804" s="63" t="n">
        <x:v>4136</x:v>
      </x:c>
      <x:c r="C804" s="49" t="str">
        <x:v>Lokmanya Tilak Jankalyan Shikshan Sastha, Priyadarshini J. L. College Of Engineering, Nagpur</x:v>
      </x:c>
      <x:c r="D804" s="72" t="n">
        <x:v>413637210</x:v>
      </x:c>
      <x:c r="E804" s="49" t="str">
        <x:v>Electronics and Telecommunication Engg</x:v>
      </x:c>
      <x:c r="F804" s="73" t="n">
        <x:v>7</x:v>
      </x:c>
      <x:c r="G804" s="73" t="n">
        <x:v>3</x:v>
      </x:c>
      <x:c r="H804" s="73"/>
      <x:c r="I804" s="73" t="n">
        <x:v>4</x:v>
      </x:c>
      <x:c r="J804" s="73" t="n">
        <x:v>0</x:v>
      </x:c>
      <x:c r="K804" s="49" t="str">
        <x:v>Un-Aided Autonomous Linguistic Minority - Hindi</x:v>
      </x:c>
      <x:c r="L804" s="49" t="str">
        <x:v>MS Seats : 3 + Minority Seats : 4</x:v>
      </x:c>
      <x:c r="M804" s="49" t="str">
        <x:v>https://dse2025.mahacet.org.in/dse25/admin/allotment/cap2/4136_4.pdf</x:v>
      </x:c>
    </x:row>
    <x:row r="805">
      <x:c r="A805" s="49" t="str">
        <x:v>2025-26</x:v>
      </x:c>
      <x:c r="B805" s="63" t="n">
        <x:v>4136</x:v>
      </x:c>
      <x:c r="C805" s="49" t="str">
        <x:v>Lokmanya Tilak Jankalyan Shikshan Sastha, Priyadarshini J. L. College Of Engineering, Nagpur</x:v>
      </x:c>
      <x:c r="D805" s="72" t="n">
        <x:v>413699710</x:v>
      </x:c>
      <x:c r="E805" s="49" t="str">
        <x:v>Artificial Intelligence</x:v>
      </x:c>
      <x:c r="F805" s="73" t="n">
        <x:v>6</x:v>
      </x:c>
      <x:c r="G805" s="73" t="n">
        <x:v>2</x:v>
      </x:c>
      <x:c r="H805" s="73"/>
      <x:c r="I805" s="73" t="n">
        <x:v>4</x:v>
      </x:c>
      <x:c r="J805" s="73" t="n">
        <x:v>0</x:v>
      </x:c>
      <x:c r="K805" s="49" t="str">
        <x:v>Un-Aided Autonomous Linguistic Minority - Hindi</x:v>
      </x:c>
      <x:c r="L805" s="49" t="str">
        <x:v>MS Seats : 2 + Minority Seats : 4</x:v>
      </x:c>
      <x:c r="M805" s="49" t="str">
        <x:v>https://dse2025.mahacet.org.in/dse25/admin/allotment/cap2/4136_4.pdf</x:v>
      </x:c>
    </x:row>
    <x:row r="806">
      <x:c r="A806" s="49" t="str">
        <x:v>2025-26</x:v>
      </x:c>
      <x:c r="B806" s="63" t="n">
        <x:v>4137</x:v>
      </x:c>
      <x:c r="C806" s="49" t="str">
        <x:v>Sir Shantilal Badjate Charitable Trust's S. B. Jain Institute of technology, Management &amp; Research, Nagpur</x:v>
      </x:c>
      <x:c r="D806" s="72" t="n">
        <x:v>413724210</x:v>
      </x:c>
      <x:c r="E806" s="49" t="str">
        <x:v>Computer Science and Engineering</x:v>
      </x:c>
      <x:c r="F806" s="73" t="n">
        <x:v>26</x:v>
      </x:c>
      <x:c r="G806" s="73" t="n">
        <x:v>12</x:v>
      </x:c>
      <x:c r="H806" s="73"/>
      <x:c r="I806" s="73" t="n">
        <x:v>14</x:v>
      </x:c>
      <x:c r="J806" s="73" t="n">
        <x:v>0</x:v>
      </x:c>
      <x:c r="K806" s="49" t="str">
        <x:v>Un-Aided Autonomous Linguistic Minority - Hindi</x:v>
      </x:c>
      <x:c r="L806" s="49" t="str">
        <x:v>MS Seats : 12 + Minority Seats : 14</x:v>
      </x:c>
      <x:c r="M806" s="49" t="str">
        <x:v>https://dse2025.mahacet.org.in/dse25/admin/allotment/cap2/4137_4.pdf</x:v>
      </x:c>
    </x:row>
    <x:row r="807">
      <x:c r="A807" s="49" t="str">
        <x:v>2025-26</x:v>
      </x:c>
      <x:c r="B807" s="63" t="n">
        <x:v>4137</x:v>
      </x:c>
      <x:c r="C807" s="49" t="str">
        <x:v>Sir Shantilal Badjate Charitable Trust's S. B. Jain Institute of technology, Management &amp; Research, Nagpur</x:v>
      </x:c>
      <x:c r="D807" s="72" t="n">
        <x:v>413729310</x:v>
      </x:c>
      <x:c r="E807" s="49" t="str">
        <x:v>Electrical Engineering</x:v>
      </x:c>
      <x:c r="F807" s="73" t="n">
        <x:v>8</x:v>
      </x:c>
      <x:c r="G807" s="73" t="n">
        <x:v>3</x:v>
      </x:c>
      <x:c r="H807" s="73"/>
      <x:c r="I807" s="73" t="n">
        <x:v>5</x:v>
      </x:c>
      <x:c r="J807" s="73" t="n">
        <x:v>0</x:v>
      </x:c>
      <x:c r="K807" s="49" t="str">
        <x:v>Un-Aided Autonomous Linguistic Minority - Hindi</x:v>
      </x:c>
      <x:c r="L807" s="49" t="str">
        <x:v>MS Seats : 3 + Minority Seats : 5</x:v>
      </x:c>
      <x:c r="M807" s="49" t="str">
        <x:v>https://dse2025.mahacet.org.in/dse25/admin/allotment/cap2/4137_4.pdf</x:v>
      </x:c>
    </x:row>
    <x:row r="808">
      <x:c r="A808" s="49" t="str">
        <x:v>2025-26</x:v>
      </x:c>
      <x:c r="B808" s="63" t="n">
        <x:v>4137</x:v>
      </x:c>
      <x:c r="C808" s="49" t="str">
        <x:v>Sir Shantilal Badjate Charitable Trust's S. B. Jain Institute of technology, Management &amp; Research, Nagpur</x:v>
      </x:c>
      <x:c r="D808" s="72" t="n">
        <x:v>413737210</x:v>
      </x:c>
      <x:c r="E808" s="49" t="str">
        <x:v>Electronics and Telecommunication Engg</x:v>
      </x:c>
      <x:c r="F808" s="73" t="n">
        <x:v>6</x:v>
      </x:c>
      <x:c r="G808" s="73" t="n">
        <x:v>2</x:v>
      </x:c>
      <x:c r="H808" s="73"/>
      <x:c r="I808" s="73" t="n">
        <x:v>4</x:v>
      </x:c>
      <x:c r="J808" s="73" t="n">
        <x:v>0</x:v>
      </x:c>
      <x:c r="K808" s="49" t="str">
        <x:v>Un-Aided Autonomous Linguistic Minority - Hindi</x:v>
      </x:c>
      <x:c r="L808" s="49" t="str">
        <x:v>MS Seats : 2 + Minority Seats : 4</x:v>
      </x:c>
      <x:c r="M808" s="49" t="str">
        <x:v>https://dse2025.mahacet.org.in/dse25/admin/allotment/cap2/4137_4.pdf</x:v>
      </x:c>
    </x:row>
    <x:row r="809">
      <x:c r="A809" s="49" t="str">
        <x:v>2025-26</x:v>
      </x:c>
      <x:c r="B809" s="63" t="n">
        <x:v>4137</x:v>
      </x:c>
      <x:c r="C809" s="49" t="str">
        <x:v>Sir Shantilal Badjate Charitable Trust's S. B. Jain Institute of technology, Management &amp; Research, Nagpur</x:v>
      </x:c>
      <x:c r="D809" s="72" t="n">
        <x:v>413761210</x:v>
      </x:c>
      <x:c r="E809" s="49" t="str">
        <x:v>Mechanical Engineering</x:v>
      </x:c>
      <x:c r="F809" s="73" t="n">
        <x:v>6</x:v>
      </x:c>
      <x:c r="G809" s="73" t="n">
        <x:v>2</x:v>
      </x:c>
      <x:c r="H809" s="73"/>
      <x:c r="I809" s="73" t="n">
        <x:v>4</x:v>
      </x:c>
      <x:c r="J809" s="73" t="n">
        <x:v>0</x:v>
      </x:c>
      <x:c r="K809" s="49" t="str">
        <x:v>Un-Aided Autonomous Linguistic Minority - Hindi</x:v>
      </x:c>
      <x:c r="L809" s="49" t="str">
        <x:v>MS Seats : 2 + Minority Seats : 4</x:v>
      </x:c>
      <x:c r="M809" s="49" t="str">
        <x:v>https://dse2025.mahacet.org.in/dse25/admin/allotment/cap2/4137_4.pdf</x:v>
      </x:c>
    </x:row>
    <x:row r="810">
      <x:c r="A810" s="49" t="str">
        <x:v>2025-26</x:v>
      </x:c>
      <x:c r="B810" s="63" t="n">
        <x:v>4137</x:v>
      </x:c>
      <x:c r="C810" s="49" t="str">
        <x:v>Sir Shantilal Badjate Charitable Trust's S. B. Jain Institute of technology, Management &amp; Research, Nagpur</x:v>
      </x:c>
      <x:c r="D810" s="72" t="n">
        <x:v>413791110</x:v>
      </x:c>
      <x:c r="E810" s="49" t="str">
        <x:v>Computer Science and Engineering(Artificial Intelligence and Machine Learning)</x:v>
      </x:c>
      <x:c r="F810" s="73" t="n">
        <x:v>14</x:v>
      </x:c>
      <x:c r="G810" s="73" t="n">
        <x:v>6</x:v>
      </x:c>
      <x:c r="H810" s="73"/>
      <x:c r="I810" s="73" t="n">
        <x:v>8</x:v>
      </x:c>
      <x:c r="J810" s="73" t="n">
        <x:v>0</x:v>
      </x:c>
      <x:c r="K810" s="49" t="str">
        <x:v>Un-Aided Autonomous Linguistic Minority - Hindi</x:v>
      </x:c>
      <x:c r="L810" s="49" t="str">
        <x:v>MS Seats : 6 + Minority Seats : 8</x:v>
      </x:c>
      <x:c r="M810" s="49" t="str">
        <x:v>https://dse2025.mahacet.org.in/dse25/admin/allotment/cap2/4137_4.pdf</x:v>
      </x:c>
    </x:row>
    <x:row r="811">
      <x:c r="A811" s="49" t="str">
        <x:v>2025-26</x:v>
      </x:c>
      <x:c r="B811" s="63" t="n">
        <x:v>4137</x:v>
      </x:c>
      <x:c r="C811" s="49" t="str">
        <x:v>Sir Shantilal Badjate Charitable Trust's S. B. Jain Institute of technology, Management &amp; Research, Nagpur</x:v>
      </x:c>
      <x:c r="D811" s="72" t="n">
        <x:v>413791210</x:v>
      </x:c>
      <x:c r="E811" s="49" t="str">
        <x:v>Computer Science and Engineering(Data Science)</x:v>
      </x:c>
      <x:c r="F811" s="73" t="n">
        <x:v>8</x:v>
      </x:c>
      <x:c r="G811" s="73" t="n">
        <x:v>3</x:v>
      </x:c>
      <x:c r="H811" s="73"/>
      <x:c r="I811" s="73" t="n">
        <x:v>5</x:v>
      </x:c>
      <x:c r="J811" s="73" t="n">
        <x:v>0</x:v>
      </x:c>
      <x:c r="K811" s="49" t="str">
        <x:v>Un-Aided Autonomous Linguistic Minority - Hindi</x:v>
      </x:c>
      <x:c r="L811" s="49" t="str">
        <x:v>MS Seats : 3 + Minority Seats : 5</x:v>
      </x:c>
      <x:c r="M811" s="49" t="str">
        <x:v>https://dse2025.mahacet.org.in/dse25/admin/allotment/cap2/4137_4.pdf</x:v>
      </x:c>
    </x:row>
    <x:row r="812">
      <x:c r="A812" s="49" t="str">
        <x:v>2025-26</x:v>
      </x:c>
      <x:c r="B812" s="63" t="n">
        <x:v>4138</x:v>
      </x:c>
      <x:c r="C812" s="49" t="str">
        <x:v>Jaidev Education Society, J D College of Engineering and Management, Nagpur</x:v>
      </x:c>
      <x:c r="D812" s="72" t="n">
        <x:v>413819110</x:v>
      </x:c>
      <x:c r="E812" s="49" t="str">
        <x:v>Civil Engineering</x:v>
      </x:c>
      <x:c r="F812" s="73" t="n">
        <x:v>3</x:v>
      </x:c>
      <x:c r="G812" s="73" t="n">
        <x:v>1</x:v>
      </x:c>
      <x:c r="H812" s="73"/>
      <x:c r="I812" s="73" t="n">
        <x:v>2</x:v>
      </x:c>
      <x:c r="J812" s="73" t="n">
        <x:v>0</x:v>
      </x:c>
      <x:c r="K812" s="49" t="str">
        <x:v>Un-Aided Autonomous Linguistic Minority - Hindi</x:v>
      </x:c>
      <x:c r="L812" s="49" t="str">
        <x:v>MS Seats : 1 + Minority Seats : 2</x:v>
      </x:c>
      <x:c r="M812" s="49" t="str">
        <x:v>https://dse2025.mahacet.org.in/dse25/admin/allotment/cap2/4138_4.pdf</x:v>
      </x:c>
    </x:row>
    <x:row r="813">
      <x:c r="A813" s="49" t="str">
        <x:v>2025-26</x:v>
      </x:c>
      <x:c r="B813" s="63" t="n">
        <x:v>4138</x:v>
      </x:c>
      <x:c r="C813" s="49" t="str">
        <x:v>Jaidev Education Society, J D College of Engineering and Management, Nagpur</x:v>
      </x:c>
      <x:c r="D813" s="72" t="n">
        <x:v>413824210</x:v>
      </x:c>
      <x:c r="E813" s="49" t="str">
        <x:v>Computer Science and Engineering</x:v>
      </x:c>
      <x:c r="F813" s="73" t="n">
        <x:v>23</x:v>
      </x:c>
      <x:c r="G813" s="73" t="n">
        <x:v>11</x:v>
      </x:c>
      <x:c r="H813" s="73"/>
      <x:c r="I813" s="73" t="n">
        <x:v>12</x:v>
      </x:c>
      <x:c r="J813" s="73" t="n">
        <x:v>0</x:v>
      </x:c>
      <x:c r="K813" s="49" t="str">
        <x:v>Un-Aided Autonomous Linguistic Minority - Hindi</x:v>
      </x:c>
      <x:c r="L813" s="49" t="str">
        <x:v>MS Seats : 11 + Minority Seats : 12</x:v>
      </x:c>
      <x:c r="M813" s="49" t="str">
        <x:v>https://dse2025.mahacet.org.in/dse25/admin/allotment/cap2/4138_4.pdf</x:v>
      </x:c>
    </x:row>
    <x:row r="814">
      <x:c r="A814" s="49" t="str">
        <x:v>2025-26</x:v>
      </x:c>
      <x:c r="B814" s="63" t="n">
        <x:v>4138</x:v>
      </x:c>
      <x:c r="C814" s="49" t="str">
        <x:v>Jaidev Education Society, J D College of Engineering and Management, Nagpur</x:v>
      </x:c>
      <x:c r="D814" s="72" t="n">
        <x:v>413824610</x:v>
      </x:c>
      <x:c r="E814" s="49" t="str">
        <x:v>Information Technology</x:v>
      </x:c>
      <x:c r="F814" s="73" t="n">
        <x:v>10</x:v>
      </x:c>
      <x:c r="G814" s="73" t="n">
        <x:v>4</x:v>
      </x:c>
      <x:c r="H814" s="73"/>
      <x:c r="I814" s="73" t="n">
        <x:v>6</x:v>
      </x:c>
      <x:c r="J814" s="73" t="n">
        <x:v>0</x:v>
      </x:c>
      <x:c r="K814" s="49" t="str">
        <x:v>Un-Aided Autonomous Linguistic Minority - Hindi</x:v>
      </x:c>
      <x:c r="L814" s="49" t="str">
        <x:v>MS Seats : 4 + Minority Seats : 6</x:v>
      </x:c>
      <x:c r="M814" s="49" t="str">
        <x:v>https://dse2025.mahacet.org.in/dse25/admin/allotment/cap2/4138_4.pdf</x:v>
      </x:c>
    </x:row>
    <x:row r="815">
      <x:c r="A815" s="49" t="str">
        <x:v>2025-26</x:v>
      </x:c>
      <x:c r="B815" s="63" t="n">
        <x:v>4138</x:v>
      </x:c>
      <x:c r="C815" s="49" t="str">
        <x:v>Jaidev Education Society, J D College of Engineering and Management, Nagpur</x:v>
      </x:c>
      <x:c r="D815" s="72" t="n">
        <x:v>413829310</x:v>
      </x:c>
      <x:c r="E815" s="49" t="str">
        <x:v>Electrical Engineering</x:v>
      </x:c>
      <x:c r="F815" s="73" t="n">
        <x:v>4</x:v>
      </x:c>
      <x:c r="G815" s="73" t="n">
        <x:v>1</x:v>
      </x:c>
      <x:c r="H815" s="73"/>
      <x:c r="I815" s="73" t="n">
        <x:v>3</x:v>
      </x:c>
      <x:c r="J815" s="73" t="n">
        <x:v>0</x:v>
      </x:c>
      <x:c r="K815" s="49" t="str">
        <x:v>Un-Aided Autonomous Linguistic Minority - Hindi</x:v>
      </x:c>
      <x:c r="L815" s="49" t="str">
        <x:v>MS Seats : 1 + Minority Seats : 3</x:v>
      </x:c>
      <x:c r="M815" s="49" t="str">
        <x:v>https://dse2025.mahacet.org.in/dse25/admin/allotment/cap2/4138_4.pdf</x:v>
      </x:c>
    </x:row>
    <x:row r="816">
      <x:c r="A816" s="49" t="str">
        <x:v>2025-26</x:v>
      </x:c>
      <x:c r="B816" s="63" t="n">
        <x:v>4138</x:v>
      </x:c>
      <x:c r="C816" s="49" t="str">
        <x:v>Jaidev Education Society, J D College of Engineering and Management, Nagpur</x:v>
      </x:c>
      <x:c r="D816" s="72" t="n">
        <x:v>413837210</x:v>
      </x:c>
      <x:c r="E816" s="49" t="str">
        <x:v>Electronics and Telecommunication Engg</x:v>
      </x:c>
      <x:c r="F816" s="73" t="n">
        <x:v>8</x:v>
      </x:c>
      <x:c r="G816" s="73" t="n">
        <x:v>3</x:v>
      </x:c>
      <x:c r="H816" s="73"/>
      <x:c r="I816" s="73" t="n">
        <x:v>5</x:v>
      </x:c>
      <x:c r="J816" s="73" t="n">
        <x:v>0</x:v>
      </x:c>
      <x:c r="K816" s="49" t="str">
        <x:v>Un-Aided Autonomous Linguistic Minority - Hindi</x:v>
      </x:c>
      <x:c r="L816" s="49" t="str">
        <x:v>MS Seats : 3 + Minority Seats : 5</x:v>
      </x:c>
      <x:c r="M816" s="49" t="str">
        <x:v>https://dse2025.mahacet.org.in/dse25/admin/allotment/cap2/4138_4.pdf</x:v>
      </x:c>
    </x:row>
    <x:row r="817">
      <x:c r="A817" s="49" t="str">
        <x:v>2025-26</x:v>
      </x:c>
      <x:c r="B817" s="63" t="n">
        <x:v>4138</x:v>
      </x:c>
      <x:c r="C817" s="49" t="str">
        <x:v>Jaidev Education Society, J D College of Engineering and Management, Nagpur</x:v>
      </x:c>
      <x:c r="D817" s="72" t="n">
        <x:v>413861210</x:v>
      </x:c>
      <x:c r="E817" s="49" t="str">
        <x:v>Mechanical Engineering</x:v>
      </x:c>
      <x:c r="F817" s="73" t="n">
        <x:v>6</x:v>
      </x:c>
      <x:c r="G817" s="73" t="n">
        <x:v>2</x:v>
      </x:c>
      <x:c r="H817" s="73"/>
      <x:c r="I817" s="73" t="n">
        <x:v>4</x:v>
      </x:c>
      <x:c r="J817" s="73" t="n">
        <x:v>0</x:v>
      </x:c>
      <x:c r="K817" s="49" t="str">
        <x:v>Un-Aided Autonomous Linguistic Minority - Hindi</x:v>
      </x:c>
      <x:c r="L817" s="49" t="str">
        <x:v>MS Seats : 2 + Minority Seats : 4</x:v>
      </x:c>
      <x:c r="M817" s="49" t="str">
        <x:v>https://dse2025.mahacet.org.in/dse25/admin/allotment/cap2/4138_4.pdf</x:v>
      </x:c>
    </x:row>
    <x:row r="818">
      <x:c r="A818" s="49" t="str">
        <x:v>2025-26</x:v>
      </x:c>
      <x:c r="B818" s="63" t="n">
        <x:v>4138</x:v>
      </x:c>
      <x:c r="C818" s="49" t="str">
        <x:v>Jaidev Education Society, J D College of Engineering and Management, Nagpur</x:v>
      </x:c>
      <x:c r="D818" s="72" t="n">
        <x:v>413891210</x:v>
      </x:c>
      <x:c r="E818" s="49" t="str">
        <x:v>Computer Science and Engineering(Data Science)</x:v>
      </x:c>
      <x:c r="F818" s="73" t="n">
        <x:v>16</x:v>
      </x:c>
      <x:c r="G818" s="73" t="n">
        <x:v>7</x:v>
      </x:c>
      <x:c r="H818" s="73"/>
      <x:c r="I818" s="73" t="n">
        <x:v>9</x:v>
      </x:c>
      <x:c r="J818" s="73" t="n">
        <x:v>0</x:v>
      </x:c>
      <x:c r="K818" s="49" t="str">
        <x:v>Un-Aided Autonomous Linguistic Minority - Hindi</x:v>
      </x:c>
      <x:c r="L818" s="49" t="str">
        <x:v>MS Seats : 7 + Minority Seats : 9</x:v>
      </x:c>
      <x:c r="M818" s="49" t="str">
        <x:v>https://dse2025.mahacet.org.in/dse25/admin/allotment/cap2/4138_4.pdf</x:v>
      </x:c>
    </x:row>
    <x:row r="819">
      <x:c r="A819" s="49" t="str">
        <x:v>2025-26</x:v>
      </x:c>
      <x:c r="B819" s="63" t="n">
        <x:v>4138</x:v>
      </x:c>
      <x:c r="C819" s="49" t="str">
        <x:v>Jaidev Education Society, J D College of Engineering and Management, Nagpur</x:v>
      </x:c>
      <x:c r="D819" s="72" t="n">
        <x:v>413899710</x:v>
      </x:c>
      <x:c r="E819" s="49" t="str">
        <x:v>Artificial Intelligence</x:v>
      </x:c>
      <x:c r="F819" s="73" t="n">
        <x:v>8</x:v>
      </x:c>
      <x:c r="G819" s="73" t="n">
        <x:v>3</x:v>
      </x:c>
      <x:c r="H819" s="73"/>
      <x:c r="I819" s="73" t="n">
        <x:v>5</x:v>
      </x:c>
      <x:c r="J819" s="73" t="n">
        <x:v>0</x:v>
      </x:c>
      <x:c r="K819" s="49" t="str">
        <x:v>Un-Aided Autonomous Linguistic Minority - Hindi</x:v>
      </x:c>
      <x:c r="L819" s="49" t="str">
        <x:v>MS Seats : 3 + Minority Seats : 5</x:v>
      </x:c>
      <x:c r="M819" s="49" t="str">
        <x:v>https://dse2025.mahacet.org.in/dse25/admin/allotment/cap2/4138_4.pdf</x:v>
      </x:c>
    </x:row>
    <x:row r="820">
      <x:c r="A820" s="49" t="str">
        <x:v>2025-26</x:v>
      </x:c>
      <x:c r="B820" s="63" t="n">
        <x:v>4139</x:v>
      </x:c>
      <x:c r="C820" s="49" t="str">
        <x:v>Samridhi Sarwajanik Charitable Trust, Jhulelal Institute of Technology, Nagpur</x:v>
      </x:c>
      <x:c r="D820" s="72" t="n">
        <x:v>413924210</x:v>
      </x:c>
      <x:c r="E820" s="49" t="str">
        <x:v>Computer Science and Engineering</x:v>
      </x:c>
      <x:c r="F820" s="73" t="n">
        <x:v>22</x:v>
      </x:c>
      <x:c r="G820" s="73" t="n">
        <x:v>10</x:v>
      </x:c>
      <x:c r="H820" s="73"/>
      <x:c r="I820" s="73" t="n">
        <x:v>12</x:v>
      </x:c>
      <x:c r="J820" s="73" t="n">
        <x:v>0</x:v>
      </x:c>
      <x:c r="K820" s="49" t="str">
        <x:v>Un-Aided Autonomous Linguistic Minority - Sindhi</x:v>
      </x:c>
      <x:c r="L820" s="49" t="str">
        <x:v>MS Seats : 10 + Minority Seats : 12</x:v>
      </x:c>
      <x:c r="M820" s="49" t="str">
        <x:v>https://dse2025.mahacet.org.in/dse25/admin/allotment/cap2/4139_4.pdf</x:v>
      </x:c>
    </x:row>
    <x:row r="821">
      <x:c r="A821" s="49" t="str">
        <x:v>2025-26</x:v>
      </x:c>
      <x:c r="B821" s="63" t="n">
        <x:v>4139</x:v>
      </x:c>
      <x:c r="C821" s="49" t="str">
        <x:v>Samridhi Sarwajanik Charitable Trust, Jhulelal Institute of Technology, Nagpur</x:v>
      </x:c>
      <x:c r="D821" s="72" t="n">
        <x:v>413929310</x:v>
      </x:c>
      <x:c r="E821" s="49" t="str">
        <x:v>Electrical Engineering</x:v>
      </x:c>
      <x:c r="F821" s="73" t="n">
        <x:v>10</x:v>
      </x:c>
      <x:c r="G821" s="73" t="n">
        <x:v>4</x:v>
      </x:c>
      <x:c r="H821" s="73"/>
      <x:c r="I821" s="73" t="n">
        <x:v>6</x:v>
      </x:c>
      <x:c r="J821" s="73" t="n">
        <x:v>0</x:v>
      </x:c>
      <x:c r="K821" s="49" t="str">
        <x:v>Un-Aided Autonomous Linguistic Minority - Sindhi</x:v>
      </x:c>
      <x:c r="L821" s="49" t="str">
        <x:v>MS Seats : 4 + Minority Seats : 6</x:v>
      </x:c>
      <x:c r="M821" s="49" t="str">
        <x:v>https://dse2025.mahacet.org.in/dse25/admin/allotment/cap2/4139_4.pdf</x:v>
      </x:c>
    </x:row>
    <x:row r="822">
      <x:c r="A822" s="49" t="str">
        <x:v>2025-26</x:v>
      </x:c>
      <x:c r="B822" s="63" t="n">
        <x:v>4139</x:v>
      </x:c>
      <x:c r="C822" s="49" t="str">
        <x:v>Samridhi Sarwajanik Charitable Trust, Jhulelal Institute of Technology, Nagpur</x:v>
      </x:c>
      <x:c r="D822" s="72" t="n">
        <x:v>413961210</x:v>
      </x:c>
      <x:c r="E822" s="49" t="str">
        <x:v>Mechanical Engineering</x:v>
      </x:c>
      <x:c r="F822" s="73" t="n">
        <x:v>3</x:v>
      </x:c>
      <x:c r="G822" s="73" t="n">
        <x:v>1</x:v>
      </x:c>
      <x:c r="H822" s="73"/>
      <x:c r="I822" s="73" t="n">
        <x:v>2</x:v>
      </x:c>
      <x:c r="J822" s="73" t="n">
        <x:v>0</x:v>
      </x:c>
      <x:c r="K822" s="49" t="str">
        <x:v>Un-Aided Autonomous Linguistic Minority - Sindhi</x:v>
      </x:c>
      <x:c r="L822" s="49" t="str">
        <x:v>MS Seats : 1 + Minority Seats : 2</x:v>
      </x:c>
      <x:c r="M822" s="49" t="str">
        <x:v>https://dse2025.mahacet.org.in/dse25/admin/allotment/cap2/4139_4.pdf</x:v>
      </x:c>
    </x:row>
    <x:row r="823">
      <x:c r="A823" s="49" t="str">
        <x:v>2025-26</x:v>
      </x:c>
      <x:c r="B823" s="63" t="n">
        <x:v>4139</x:v>
      </x:c>
      <x:c r="C823" s="49" t="str">
        <x:v>Samridhi Sarwajanik Charitable Trust, Jhulelal Institute of Technology, Nagpur</x:v>
      </x:c>
      <x:c r="D823" s="72" t="n">
        <x:v>413984410</x:v>
      </x:c>
      <x:c r="E823" s="49" t="str">
        <x:v>Electronics and Computer Engineering</x:v>
      </x:c>
      <x:c r="F823" s="73" t="n">
        <x:v>8</x:v>
      </x:c>
      <x:c r="G823" s="73" t="n">
        <x:v>3</x:v>
      </x:c>
      <x:c r="H823" s="73"/>
      <x:c r="I823" s="73" t="n">
        <x:v>5</x:v>
      </x:c>
      <x:c r="J823" s="73" t="n">
        <x:v>0</x:v>
      </x:c>
      <x:c r="K823" s="49" t="str">
        <x:v>Un-Aided Autonomous Linguistic Minority - Sindhi</x:v>
      </x:c>
      <x:c r="L823" s="49" t="str">
        <x:v>MS Seats : 3 + Minority Seats : 5</x:v>
      </x:c>
      <x:c r="M823" s="49" t="str">
        <x:v>https://dse2025.mahacet.org.in/dse25/admin/allotment/cap2/4139_4.pdf</x:v>
      </x:c>
    </x:row>
    <x:row r="824">
      <x:c r="A824" s="49" t="str">
        <x:v>2025-26</x:v>
      </x:c>
      <x:c r="B824" s="63" t="n">
        <x:v>4139</x:v>
      </x:c>
      <x:c r="C824" s="49" t="str">
        <x:v>Samridhi Sarwajanik Charitable Trust, Jhulelal Institute of Technology, Nagpur</x:v>
      </x:c>
      <x:c r="D824" s="72" t="n">
        <x:v>413991110</x:v>
      </x:c>
      <x:c r="E824" s="49" t="str">
        <x:v>Computer Science and Engineering(Artificial Intelligence and Machine Learning)</x:v>
      </x:c>
      <x:c r="F824" s="73" t="n">
        <x:v>21</x:v>
      </x:c>
      <x:c r="G824" s="73" t="n">
        <x:v>10</x:v>
      </x:c>
      <x:c r="H824" s="73"/>
      <x:c r="I824" s="73" t="n">
        <x:v>11</x:v>
      </x:c>
      <x:c r="J824" s="73" t="n">
        <x:v>0</x:v>
      </x:c>
      <x:c r="K824" s="49" t="str">
        <x:v>Un-Aided Autonomous Linguistic Minority - Sindhi</x:v>
      </x:c>
      <x:c r="L824" s="49" t="str">
        <x:v>MS Seats : 10 + Minority Seats : 11</x:v>
      </x:c>
      <x:c r="M824" s="49" t="str">
        <x:v>https://dse2025.mahacet.org.in/dse25/admin/allotment/cap2/4139_4.pdf</x:v>
      </x:c>
    </x:row>
    <x:row r="825">
      <x:c r="A825" s="49" t="str">
        <x:v>2025-26</x:v>
      </x:c>
      <x:c r="B825" s="63" t="n">
        <x:v>4139</x:v>
      </x:c>
      <x:c r="C825" s="49" t="str">
        <x:v>Samridhi Sarwajanik Charitable Trust, Jhulelal Institute of Technology, Nagpur</x:v>
      </x:c>
      <x:c r="D825" s="72" t="n">
        <x:v>413992810</x:v>
      </x:c>
      <x:c r="E825" s="49" t="str">
        <x:v>Electronics and Communication(Advanced Communication Technology)</x:v>
      </x:c>
      <x:c r="F825" s="73" t="n">
        <x:v>8</x:v>
      </x:c>
      <x:c r="G825" s="73" t="n">
        <x:v>3</x:v>
      </x:c>
      <x:c r="H825" s="73"/>
      <x:c r="I825" s="73" t="n">
        <x:v>5</x:v>
      </x:c>
      <x:c r="J825" s="73" t="n">
        <x:v>0</x:v>
      </x:c>
      <x:c r="K825" s="49" t="str">
        <x:v>Un-Aided Autonomous Linguistic Minority - Sindhi</x:v>
      </x:c>
      <x:c r="L825" s="49" t="str">
        <x:v>MS Seats : 3 + Minority Seats : 5</x:v>
      </x:c>
      <x:c r="M825" s="49" t="str">
        <x:v>https://dse2025.mahacet.org.in/dse25/admin/allotment/cap2/4139_4.pdf</x:v>
      </x:c>
    </x:row>
    <x:row r="826">
      <x:c r="A826" s="49" t="str">
        <x:v>2025-26</x:v>
      </x:c>
      <x:c r="B826" s="63" t="n">
        <x:v>4141</x:v>
      </x:c>
      <x:c r="C826" s="49" t="str">
        <x:v>Shriram Gram Vikas Shikshan Sanstha, Vilasrao Deshmukh College of Engineering and Technology, Nagpur</x:v>
      </x:c>
      <x:c r="D826" s="72" t="n">
        <x:v>414119110</x:v>
      </x:c>
      <x:c r="E826" s="49" t="str">
        <x:v>Civil Engineering</x:v>
      </x:c>
      <x:c r="F826" s="73" t="n">
        <x:v>61</x:v>
      </x:c>
      <x:c r="G826" s="73" t="n">
        <x:v>54</x:v>
      </x:c>
      <x:c r="H826" s="73" t="n">
        <x:v>7</x:v>
      </x:c>
      <x:c r="I826" s="73"/>
      <x:c r="J826" s="73" t="n">
        <x:v>0</x:v>
      </x:c>
      <x:c r="K826" s="49" t="str">
        <x:v>Un-Aided</x:v>
      </x:c>
      <x:c r="L826" s="49" t="str">
        <x:v>MS Seats : 54+ EWS : 7</x:v>
      </x:c>
      <x:c r="M826" s="49" t="str">
        <x:v>https://dse2025.mahacet.org.in/dse25/admin/allotment/cap2/4141_4.pdf</x:v>
      </x:c>
    </x:row>
    <x:row r="827">
      <x:c r="A827" s="49" t="str">
        <x:v>2025-26</x:v>
      </x:c>
      <x:c r="B827" s="63" t="n">
        <x:v>4141</x:v>
      </x:c>
      <x:c r="C827" s="49" t="str">
        <x:v>Shriram Gram Vikas Shikshan Sanstha, Vilasrao Deshmukh College of Engineering and Technology, Nagpur</x:v>
      </x:c>
      <x:c r="D827" s="72" t="n">
        <x:v>414124510</x:v>
      </x:c>
      <x:c r="E827" s="49" t="str">
        <x:v>Computer Engineering</x:v>
      </x:c>
      <x:c r="F827" s="73" t="n">
        <x:v>113</x:v>
      </x:c>
      <x:c r="G827" s="73" t="n">
        <x:v>99</x:v>
      </x:c>
      <x:c r="H827" s="73" t="n">
        <x:v>14</x:v>
      </x:c>
      <x:c r="I827" s="73"/>
      <x:c r="J827" s="73" t="n">
        <x:v>0</x:v>
      </x:c>
      <x:c r="K827" s="49" t="str">
        <x:v>Un-Aided</x:v>
      </x:c>
      <x:c r="L827" s="49" t="str">
        <x:v>MS Seats : 99+ EWS : 14</x:v>
      </x:c>
      <x:c r="M827" s="49" t="str">
        <x:v>https://dse2025.mahacet.org.in/dse25/admin/allotment/cap2/4141_4.pdf</x:v>
      </x:c>
    </x:row>
    <x:row r="828">
      <x:c r="A828" s="49" t="str">
        <x:v>2025-26</x:v>
      </x:c>
      <x:c r="B828" s="63" t="n">
        <x:v>4141</x:v>
      </x:c>
      <x:c r="C828" s="49" t="str">
        <x:v>Shriram Gram Vikas Shikshan Sanstha, Vilasrao Deshmukh College of Engineering and Technology, Nagpur</x:v>
      </x:c>
      <x:c r="D828" s="72" t="n">
        <x:v>414161210</x:v>
      </x:c>
      <x:c r="E828" s="49" t="str">
        <x:v>Mechanical Engineering</x:v>
      </x:c>
      <x:c r="F828" s="73" t="n">
        <x:v>31</x:v>
      </x:c>
      <x:c r="G828" s="73" t="n">
        <x:v>28</x:v>
      </x:c>
      <x:c r="H828" s="73" t="n">
        <x:v>3</x:v>
      </x:c>
      <x:c r="I828" s="73"/>
      <x:c r="J828" s="73" t="n">
        <x:v>0</x:v>
      </x:c>
      <x:c r="K828" s="49" t="str">
        <x:v>Un-Aided</x:v>
      </x:c>
      <x:c r="L828" s="49" t="str">
        <x:v>MS Seats : 28+ EWS : 3</x:v>
      </x:c>
      <x:c r="M828" s="49" t="str">
        <x:v>https://dse2025.mahacet.org.in/dse25/admin/allotment/cap2/4141_4.pdf</x:v>
      </x:c>
    </x:row>
    <x:row r="829">
      <x:c r="A829" s="49" t="str">
        <x:v>2025-26</x:v>
      </x:c>
      <x:c r="B829" s="63" t="n">
        <x:v>4141</x:v>
      </x:c>
      <x:c r="C829" s="49" t="str">
        <x:v>Shriram Gram Vikas Shikshan Sanstha, Vilasrao Deshmukh College of Engineering and Technology, Nagpur</x:v>
      </x:c>
      <x:c r="D829" s="72" t="n">
        <x:v>414199510</x:v>
      </x:c>
      <x:c r="E829" s="49" t="str">
        <x:v>Artificial Intelligence and Data Science</x:v>
      </x:c>
      <x:c r="F829" s="73" t="n">
        <x:v>25</x:v>
      </x:c>
      <x:c r="G829" s="73" t="n">
        <x:v>22</x:v>
      </x:c>
      <x:c r="H829" s="73" t="n">
        <x:v>3</x:v>
      </x:c>
      <x:c r="I829" s="73"/>
      <x:c r="J829" s="73" t="n">
        <x:v>0</x:v>
      </x:c>
      <x:c r="K829" s="49" t="str">
        <x:v>Un-Aided</x:v>
      </x:c>
      <x:c r="L829" s="49" t="str">
        <x:v>MS Seats : 22+ EWS : 3</x:v>
      </x:c>
      <x:c r="M829" s="49" t="str">
        <x:v>https://dse2025.mahacet.org.in/dse25/admin/allotment/cap2/4141_4.pdf</x:v>
      </x:c>
    </x:row>
    <x:row r="830">
      <x:c r="A830" s="49" t="str">
        <x:v>2025-26</x:v>
      </x:c>
      <x:c r="B830" s="63" t="n">
        <x:v>4142</x:v>
      </x:c>
      <x:c r="C830" s="49" t="str">
        <x:v>G H Raisoni College of Engineering &amp; Management, Nagpur</x:v>
      </x:c>
      <x:c r="D830" s="72" t="n">
        <x:v>414219110</x:v>
      </x:c>
      <x:c r="E830" s="49" t="str">
        <x:v>Civil Engineering</x:v>
      </x:c>
      <x:c r="F830" s="73" t="n">
        <x:v>12</x:v>
      </x:c>
      <x:c r="G830" s="73" t="n">
        <x:v>5</x:v>
      </x:c>
      <x:c r="H830" s="73"/>
      <x:c r="I830" s="73" t="n">
        <x:v>7</x:v>
      </x:c>
      <x:c r="J830" s="73" t="n">
        <x:v>0</x:v>
      </x:c>
      <x:c r="K830" s="49" t="str">
        <x:v>Un-Aided Autonomous Linguistic Minority - Hindi</x:v>
      </x:c>
      <x:c r="L830" s="49" t="str">
        <x:v>MS Seats : 5 + Minority Seats : 7</x:v>
      </x:c>
      <x:c r="M830" s="49" t="str">
        <x:v>https://dse2025.mahacet.org.in/dse25/admin/allotment/cap2/4142_4.pdf</x:v>
      </x:c>
    </x:row>
    <x:row r="831">
      <x:c r="A831" s="49" t="str">
        <x:v>2025-26</x:v>
      </x:c>
      <x:c r="B831" s="63" t="n">
        <x:v>4142</x:v>
      </x:c>
      <x:c r="C831" s="49" t="str">
        <x:v>G H Raisoni College of Engineering &amp; Management, Nagpur</x:v>
      </x:c>
      <x:c r="D831" s="72" t="n">
        <x:v>414224210</x:v>
      </x:c>
      <x:c r="E831" s="49" t="str">
        <x:v>Computer Science and Engineering</x:v>
      </x:c>
      <x:c r="F831" s="73" t="n">
        <x:v>18</x:v>
      </x:c>
      <x:c r="G831" s="73" t="n">
        <x:v>8</x:v>
      </x:c>
      <x:c r="H831" s="73"/>
      <x:c r="I831" s="73" t="n">
        <x:v>10</x:v>
      </x:c>
      <x:c r="J831" s="73" t="n">
        <x:v>0</x:v>
      </x:c>
      <x:c r="K831" s="49" t="str">
        <x:v>Un-Aided Autonomous Linguistic Minority - Hindi</x:v>
      </x:c>
      <x:c r="L831" s="49" t="str">
        <x:v>MS Seats : 8 + Minority Seats : 10</x:v>
      </x:c>
      <x:c r="M831" s="49" t="str">
        <x:v>https://dse2025.mahacet.org.in/dse25/admin/allotment/cap2/4142_4.pdf</x:v>
      </x:c>
    </x:row>
    <x:row r="832">
      <x:c r="A832" s="49" t="str">
        <x:v>2025-26</x:v>
      </x:c>
      <x:c r="B832" s="63" t="n">
        <x:v>4142</x:v>
      </x:c>
      <x:c r="C832" s="49" t="str">
        <x:v>G H Raisoni College of Engineering &amp; Management, Nagpur</x:v>
      </x:c>
      <x:c r="D832" s="72" t="n">
        <x:v>414224610</x:v>
      </x:c>
      <x:c r="E832" s="49" t="str">
        <x:v>Information Technology</x:v>
      </x:c>
      <x:c r="F832" s="73" t="n">
        <x:v>6</x:v>
      </x:c>
      <x:c r="G832" s="73" t="n">
        <x:v>2</x:v>
      </x:c>
      <x:c r="H832" s="73"/>
      <x:c r="I832" s="73" t="n">
        <x:v>4</x:v>
      </x:c>
      <x:c r="J832" s="73" t="n">
        <x:v>0</x:v>
      </x:c>
      <x:c r="K832" s="49" t="str">
        <x:v>Un-Aided Autonomous Linguistic Minority - Hindi</x:v>
      </x:c>
      <x:c r="L832" s="49" t="str">
        <x:v>MS Seats : 2 + Minority Seats : 4</x:v>
      </x:c>
      <x:c r="M832" s="49" t="str">
        <x:v>https://dse2025.mahacet.org.in/dse25/admin/allotment/cap2/4142_4.pdf</x:v>
      </x:c>
    </x:row>
    <x:row r="833">
      <x:c r="A833" s="49" t="str">
        <x:v>2025-26</x:v>
      </x:c>
      <x:c r="B833" s="63" t="n">
        <x:v>4142</x:v>
      </x:c>
      <x:c r="C833" s="49" t="str">
        <x:v>G H Raisoni College of Engineering &amp; Management, Nagpur</x:v>
      </x:c>
      <x:c r="D833" s="72" t="n">
        <x:v>414229310</x:v>
      </x:c>
      <x:c r="E833" s="49" t="str">
        <x:v>Electrical Engineering</x:v>
      </x:c>
      <x:c r="F833" s="73" t="n">
        <x:v>12</x:v>
      </x:c>
      <x:c r="G833" s="73" t="n">
        <x:v>5</x:v>
      </x:c>
      <x:c r="H833" s="73"/>
      <x:c r="I833" s="73" t="n">
        <x:v>7</x:v>
      </x:c>
      <x:c r="J833" s="73" t="n">
        <x:v>0</x:v>
      </x:c>
      <x:c r="K833" s="49" t="str">
        <x:v>Un-Aided Autonomous Linguistic Minority - Hindi</x:v>
      </x:c>
      <x:c r="L833" s="49" t="str">
        <x:v>MS Seats : 5 + Minority Seats : 7</x:v>
      </x:c>
      <x:c r="M833" s="49" t="str">
        <x:v>https://dse2025.mahacet.org.in/dse25/admin/allotment/cap2/4142_4.pdf</x:v>
      </x:c>
    </x:row>
    <x:row r="834">
      <x:c r="A834" s="49" t="str">
        <x:v>2025-26</x:v>
      </x:c>
      <x:c r="B834" s="63" t="n">
        <x:v>4142</x:v>
      </x:c>
      <x:c r="C834" s="49" t="str">
        <x:v>G H Raisoni College of Engineering &amp; Management, Nagpur</x:v>
      </x:c>
      <x:c r="D834" s="72" t="n">
        <x:v>414237210</x:v>
      </x:c>
      <x:c r="E834" s="49" t="str">
        <x:v>Electronics and Telecommunication Engg</x:v>
      </x:c>
      <x:c r="F834" s="73" t="n">
        <x:v>7</x:v>
      </x:c>
      <x:c r="G834" s="73" t="n">
        <x:v>3</x:v>
      </x:c>
      <x:c r="H834" s="73"/>
      <x:c r="I834" s="73" t="n">
        <x:v>4</x:v>
      </x:c>
      <x:c r="J834" s="73" t="n">
        <x:v>0</x:v>
      </x:c>
      <x:c r="K834" s="49" t="str">
        <x:v>Un-Aided Autonomous Linguistic Minority - Hindi</x:v>
      </x:c>
      <x:c r="L834" s="49" t="str">
        <x:v>MS Seats : 3 + Minority Seats : 4</x:v>
      </x:c>
      <x:c r="M834" s="49" t="str">
        <x:v>https://dse2025.mahacet.org.in/dse25/admin/allotment/cap2/4142_4.pdf</x:v>
      </x:c>
    </x:row>
    <x:row r="835">
      <x:c r="A835" s="49" t="str">
        <x:v>2025-26</x:v>
      </x:c>
      <x:c r="B835" s="63" t="n">
        <x:v>4142</x:v>
      </x:c>
      <x:c r="C835" s="49" t="str">
        <x:v>G H Raisoni College of Engineering &amp; Management, Nagpur</x:v>
      </x:c>
      <x:c r="D835" s="72" t="n">
        <x:v>414261210</x:v>
      </x:c>
      <x:c r="E835" s="49" t="str">
        <x:v>Mechanical Engineering</x:v>
      </x:c>
      <x:c r="F835" s="73" t="n">
        <x:v>14</x:v>
      </x:c>
      <x:c r="G835" s="73" t="n">
        <x:v>6</x:v>
      </x:c>
      <x:c r="H835" s="73"/>
      <x:c r="I835" s="73" t="n">
        <x:v>8</x:v>
      </x:c>
      <x:c r="J835" s="73" t="n">
        <x:v>0</x:v>
      </x:c>
      <x:c r="K835" s="49" t="str">
        <x:v>Un-Aided Autonomous Linguistic Minority - Hindi</x:v>
      </x:c>
      <x:c r="L835" s="49" t="str">
        <x:v>MS Seats : 6 + Minority Seats : 8</x:v>
      </x:c>
      <x:c r="M835" s="49" t="str">
        <x:v>https://dse2025.mahacet.org.in/dse25/admin/allotment/cap2/4142_4.pdf</x:v>
      </x:c>
    </x:row>
    <x:row r="836">
      <x:c r="A836" s="49" t="str">
        <x:v>2025-26</x:v>
      </x:c>
      <x:c r="B836" s="63" t="n">
        <x:v>4142</x:v>
      </x:c>
      <x:c r="C836" s="49" t="str">
        <x:v>G H Raisoni College of Engineering &amp; Management, Nagpur</x:v>
      </x:c>
      <x:c r="D836" s="72" t="n">
        <x:v>414291010</x:v>
      </x:c>
      <x:c r="E836" s="49" t="str">
        <x:v>Computer Science and Engineering(Cyber Security)</x:v>
      </x:c>
      <x:c r="F836" s="73" t="n">
        <x:v>6</x:v>
      </x:c>
      <x:c r="G836" s="73" t="n">
        <x:v>2</x:v>
      </x:c>
      <x:c r="H836" s="73"/>
      <x:c r="I836" s="73" t="n">
        <x:v>4</x:v>
      </x:c>
      <x:c r="J836" s="73" t="n">
        <x:v>0</x:v>
      </x:c>
      <x:c r="K836" s="49" t="str">
        <x:v>Un-Aided Autonomous Linguistic Minority - Hindi</x:v>
      </x:c>
      <x:c r="L836" s="49" t="str">
        <x:v>MS Seats : 2 + Minority Seats : 4</x:v>
      </x:c>
      <x:c r="M836" s="49" t="str">
        <x:v>https://dse2025.mahacet.org.in/dse25/admin/allotment/cap2/4142_4.pdf</x:v>
      </x:c>
    </x:row>
    <x:row r="837">
      <x:c r="A837" s="49" t="str">
        <x:v>2025-26</x:v>
      </x:c>
      <x:c r="B837" s="63" t="n">
        <x:v>4142</x:v>
      </x:c>
      <x:c r="C837" s="49" t="str">
        <x:v>G H Raisoni College of Engineering &amp; Management, Nagpur</x:v>
      </x:c>
      <x:c r="D837" s="72" t="n">
        <x:v>414291710</x:v>
      </x:c>
      <x:c r="E837" s="49" t="str">
        <x:v>Data Science</x:v>
      </x:c>
      <x:c r="F837" s="73" t="n">
        <x:v>6</x:v>
      </x:c>
      <x:c r="G837" s="73" t="n">
        <x:v>2</x:v>
      </x:c>
      <x:c r="H837" s="73"/>
      <x:c r="I837" s="73" t="n">
        <x:v>4</x:v>
      </x:c>
      <x:c r="J837" s="73" t="n">
        <x:v>0</x:v>
      </x:c>
      <x:c r="K837" s="49" t="str">
        <x:v>Un-Aided Autonomous Linguistic Minority - Hindi</x:v>
      </x:c>
      <x:c r="L837" s="49" t="str">
        <x:v>MS Seats : 2 + Minority Seats : 4</x:v>
      </x:c>
      <x:c r="M837" s="49" t="str">
        <x:v>https://dse2025.mahacet.org.in/dse25/admin/allotment/cap2/4142_4.pdf</x:v>
      </x:c>
    </x:row>
    <x:row r="838">
      <x:c r="A838" s="49" t="str">
        <x:v>2025-26</x:v>
      </x:c>
      <x:c r="B838" s="63" t="n">
        <x:v>4142</x:v>
      </x:c>
      <x:c r="C838" s="49" t="str">
        <x:v>G H Raisoni College of Engineering &amp; Management, Nagpur</x:v>
      </x:c>
      <x:c r="D838" s="72" t="n">
        <x:v>414299710</x:v>
      </x:c>
      <x:c r="E838" s="49" t="str">
        <x:v>Artificial Intelligence</x:v>
      </x:c>
      <x:c r="F838" s="73" t="n">
        <x:v>18</x:v>
      </x:c>
      <x:c r="G838" s="73" t="n">
        <x:v>8</x:v>
      </x:c>
      <x:c r="H838" s="73"/>
      <x:c r="I838" s="73" t="n">
        <x:v>10</x:v>
      </x:c>
      <x:c r="J838" s="73" t="n">
        <x:v>0</x:v>
      </x:c>
      <x:c r="K838" s="49" t="str">
        <x:v>Un-Aided Autonomous Linguistic Minority - Hindi</x:v>
      </x:c>
      <x:c r="L838" s="49" t="str">
        <x:v>MS Seats : 8 + Minority Seats : 10</x:v>
      </x:c>
      <x:c r="M838" s="49" t="str">
        <x:v>https://dse2025.mahacet.org.in/dse25/admin/allotment/cap2/4142_4.pdf</x:v>
      </x:c>
    </x:row>
    <x:row r="839">
      <x:c r="A839" s="49" t="str">
        <x:v>2025-26</x:v>
      </x:c>
      <x:c r="B839" s="63" t="n">
        <x:v>4143</x:v>
      </x:c>
      <x:c r="C839" s="49" t="str">
        <x:v>Sanmarg Shikshan Sanstha, Mandukarrao Pandav College of Engineering, Bhandara</x:v>
      </x:c>
      <x:c r="D839" s="72" t="n">
        <x:v>414319110</x:v>
      </x:c>
      <x:c r="E839" s="49" t="str">
        <x:v>Civil Engineering</x:v>
      </x:c>
      <x:c r="F839" s="73" t="n">
        <x:v>49</x:v>
      </x:c>
      <x:c r="G839" s="73" t="n">
        <x:v>43</x:v>
      </x:c>
      <x:c r="H839" s="73" t="n">
        <x:v>6</x:v>
      </x:c>
      <x:c r="I839" s="73"/>
      <x:c r="J839" s="73" t="n">
        <x:v>0</x:v>
      </x:c>
      <x:c r="K839" s="49" t="str">
        <x:v>Un-Aided</x:v>
      </x:c>
      <x:c r="L839" s="49" t="str">
        <x:v>MS Seats : 43+ EWS : 6</x:v>
      </x:c>
      <x:c r="M839" s="49" t="str">
        <x:v>https://dse2025.mahacet.org.in/dse25/admin/allotment/cap2/4143_4.pdf</x:v>
      </x:c>
    </x:row>
    <x:row r="840">
      <x:c r="A840" s="49" t="str">
        <x:v>2025-26</x:v>
      </x:c>
      <x:c r="B840" s="63" t="n">
        <x:v>4143</x:v>
      </x:c>
      <x:c r="C840" s="49" t="str">
        <x:v>Sanmarg Shikshan Sanstha, Mandukarrao Pandav College of Engineering, Bhandara</x:v>
      </x:c>
      <x:c r="D840" s="72" t="n">
        <x:v>414324510</x:v>
      </x:c>
      <x:c r="E840" s="49" t="str">
        <x:v>Computer Engineering</x:v>
      </x:c>
      <x:c r="F840" s="73" t="n">
        <x:v>25</x:v>
      </x:c>
      <x:c r="G840" s="73" t="n">
        <x:v>19</x:v>
      </x:c>
      <x:c r="H840" s="73" t="n">
        <x:v>6</x:v>
      </x:c>
      <x:c r="I840" s="73"/>
      <x:c r="J840" s="73" t="n">
        <x:v>0</x:v>
      </x:c>
      <x:c r="K840" s="49" t="str">
        <x:v>Un-Aided</x:v>
      </x:c>
      <x:c r="L840" s="49" t="str">
        <x:v>MS Seats : 19+ EWS : 6</x:v>
      </x:c>
      <x:c r="M840" s="49" t="str">
        <x:v>https://dse2025.mahacet.org.in/dse25/admin/allotment/cap2/4143_4.pdf</x:v>
      </x:c>
    </x:row>
    <x:row r="841">
      <x:c r="A841" s="49" t="str">
        <x:v>2025-26</x:v>
      </x:c>
      <x:c r="B841" s="63" t="n">
        <x:v>4143</x:v>
      </x:c>
      <x:c r="C841" s="49" t="str">
        <x:v>Sanmarg Shikshan Sanstha, Mandukarrao Pandav College of Engineering, Bhandara</x:v>
      </x:c>
      <x:c r="D841" s="72" t="n">
        <x:v>414329310</x:v>
      </x:c>
      <x:c r="E841" s="49" t="str">
        <x:v>Electrical Engineering</x:v>
      </x:c>
      <x:c r="F841" s="73" t="n">
        <x:v>54</x:v>
      </x:c>
      <x:c r="G841" s="73" t="n">
        <x:v>48</x:v>
      </x:c>
      <x:c r="H841" s="73" t="n">
        <x:v>6</x:v>
      </x:c>
      <x:c r="I841" s="73"/>
      <x:c r="J841" s="73" t="n">
        <x:v>0</x:v>
      </x:c>
      <x:c r="K841" s="49" t="str">
        <x:v>Un-Aided</x:v>
      </x:c>
      <x:c r="L841" s="49" t="str">
        <x:v>MS Seats : 48+ EWS : 6</x:v>
      </x:c>
      <x:c r="M841" s="49" t="str">
        <x:v>https://dse2025.mahacet.org.in/dse25/admin/allotment/cap2/4143_4.pdf</x:v>
      </x:c>
    </x:row>
    <x:row r="842">
      <x:c r="A842" s="49" t="str">
        <x:v>2025-26</x:v>
      </x:c>
      <x:c r="B842" s="63" t="n">
        <x:v>4143</x:v>
      </x:c>
      <x:c r="C842" s="49" t="str">
        <x:v>Sanmarg Shikshan Sanstha, Mandukarrao Pandav College of Engineering, Bhandara</x:v>
      </x:c>
      <x:c r="D842" s="72" t="n">
        <x:v>414337210</x:v>
      </x:c>
      <x:c r="E842" s="49" t="str">
        <x:v>Electronics and Telecommunication Engg</x:v>
      </x:c>
      <x:c r="F842" s="73" t="n">
        <x:v>52</x:v>
      </x:c>
      <x:c r="G842" s="73" t="n">
        <x:v>46</x:v>
      </x:c>
      <x:c r="H842" s="73" t="n">
        <x:v>6</x:v>
      </x:c>
      <x:c r="I842" s="73"/>
      <x:c r="J842" s="73" t="n">
        <x:v>0</x:v>
      </x:c>
      <x:c r="K842" s="49" t="str">
        <x:v>Un-Aided</x:v>
      </x:c>
      <x:c r="L842" s="49" t="str">
        <x:v>MS Seats : 46+ EWS : 6</x:v>
      </x:c>
      <x:c r="M842" s="49" t="str">
        <x:v>https://dse2025.mahacet.org.in/dse25/admin/allotment/cap2/4143_4.pdf</x:v>
      </x:c>
    </x:row>
    <x:row r="843">
      <x:c r="A843" s="49" t="str">
        <x:v>2025-26</x:v>
      </x:c>
      <x:c r="B843" s="63" t="n">
        <x:v>4143</x:v>
      </x:c>
      <x:c r="C843" s="49" t="str">
        <x:v>Sanmarg Shikshan Sanstha, Mandukarrao Pandav College of Engineering, Bhandara</x:v>
      </x:c>
      <x:c r="D843" s="72" t="n">
        <x:v>414361210</x:v>
      </x:c>
      <x:c r="E843" s="49" t="str">
        <x:v>Mechanical Engineering</x:v>
      </x:c>
      <x:c r="F843" s="73" t="n">
        <x:v>61</x:v>
      </x:c>
      <x:c r="G843" s="73" t="n">
        <x:v>55</x:v>
      </x:c>
      <x:c r="H843" s="73" t="n">
        <x:v>6</x:v>
      </x:c>
      <x:c r="I843" s="73"/>
      <x:c r="J843" s="73" t="n">
        <x:v>0</x:v>
      </x:c>
      <x:c r="K843" s="49" t="str">
        <x:v>Un-Aided</x:v>
      </x:c>
      <x:c r="L843" s="49" t="str">
        <x:v>MS Seats : 55+ EWS : 6</x:v>
      </x:c>
      <x:c r="M843" s="49" t="str">
        <x:v>https://dse2025.mahacet.org.in/dse25/admin/allotment/cap2/4143_4.pdf</x:v>
      </x:c>
    </x:row>
    <x:row r="844">
      <x:c r="A844" s="49" t="str">
        <x:v>2025-26</x:v>
      </x:c>
      <x:c r="B844" s="63" t="n">
        <x:v>4144</x:v>
      </x:c>
      <x:c r="C844" s="49" t="str">
        <x:v>Shri. Sai Shikshan Sanstha, Nagpur Institute of Technology, Nagpur</x:v>
      </x:c>
      <x:c r="D844" s="72" t="n">
        <x:v>414419110</x:v>
      </x:c>
      <x:c r="E844" s="49" t="str">
        <x:v>Civil Engineering</x:v>
      </x:c>
      <x:c r="F844" s="73" t="n">
        <x:v>20</x:v>
      </x:c>
      <x:c r="G844" s="73" t="n">
        <x:v>13</x:v>
      </x:c>
      <x:c r="H844" s="73" t="n">
        <x:v>7</x:v>
      </x:c>
      <x:c r="I844" s="73"/>
      <x:c r="J844" s="73" t="n">
        <x:v>0</x:v>
      </x:c>
      <x:c r="K844" s="49" t="str">
        <x:v>Un-Aided</x:v>
      </x:c>
      <x:c r="L844" s="49" t="str">
        <x:v>MS Seats : 13+ EWS : 7</x:v>
      </x:c>
      <x:c r="M844" s="49" t="str">
        <x:v>https://dse2025.mahacet.org.in/dse25/admin/allotment/cap2/4144_4.pdf</x:v>
      </x:c>
    </x:row>
    <x:row r="845">
      <x:c r="A845" s="49" t="str">
        <x:v>2025-26</x:v>
      </x:c>
      <x:c r="B845" s="63" t="n">
        <x:v>4144</x:v>
      </x:c>
      <x:c r="C845" s="49" t="str">
        <x:v>Shri. Sai Shikshan Sanstha, Nagpur Institute of Technology, Nagpur</x:v>
      </x:c>
      <x:c r="D845" s="72" t="n">
        <x:v>414424210</x:v>
      </x:c>
      <x:c r="E845" s="49" t="str">
        <x:v>Computer Science and Engineering</x:v>
      </x:c>
      <x:c r="F845" s="73" t="n">
        <x:v>24</x:v>
      </x:c>
      <x:c r="G845" s="73" t="n">
        <x:v>14</x:v>
      </x:c>
      <x:c r="H845" s="73" t="n">
        <x:v>10</x:v>
      </x:c>
      <x:c r="I845" s="73"/>
      <x:c r="J845" s="73" t="n">
        <x:v>0</x:v>
      </x:c>
      <x:c r="K845" s="49" t="str">
        <x:v>Un-Aided</x:v>
      </x:c>
      <x:c r="L845" s="49" t="str">
        <x:v>MS Seats : 14+ EWS : 10</x:v>
      </x:c>
      <x:c r="M845" s="49" t="str">
        <x:v>https://dse2025.mahacet.org.in/dse25/admin/allotment/cap2/4144_4.pdf</x:v>
      </x:c>
    </x:row>
    <x:row r="846">
      <x:c r="A846" s="49" t="str">
        <x:v>2025-26</x:v>
      </x:c>
      <x:c r="B846" s="63" t="n">
        <x:v>4144</x:v>
      </x:c>
      <x:c r="C846" s="49" t="str">
        <x:v>Shri. Sai Shikshan Sanstha, Nagpur Institute of Technology, Nagpur</x:v>
      </x:c>
      <x:c r="D846" s="72" t="n">
        <x:v>414424610</x:v>
      </x:c>
      <x:c r="E846" s="49" t="str">
        <x:v>Information Technology</x:v>
      </x:c>
      <x:c r="F846" s="73" t="n">
        <x:v>12</x:v>
      </x:c>
      <x:c r="G846" s="73" t="n">
        <x:v>8</x:v>
      </x:c>
      <x:c r="H846" s="73" t="n">
        <x:v>4</x:v>
      </x:c>
      <x:c r="I846" s="73"/>
      <x:c r="J846" s="73" t="n">
        <x:v>0</x:v>
      </x:c>
      <x:c r="K846" s="49" t="str">
        <x:v>Un-Aided</x:v>
      </x:c>
      <x:c r="L846" s="49" t="str">
        <x:v>MS Seats : 8+ EWS : 4</x:v>
      </x:c>
      <x:c r="M846" s="49" t="str">
        <x:v>https://dse2025.mahacet.org.in/dse25/admin/allotment/cap2/4144_4.pdf</x:v>
      </x:c>
    </x:row>
    <x:row r="847">
      <x:c r="A847" s="49" t="str">
        <x:v>2025-26</x:v>
      </x:c>
      <x:c r="B847" s="63" t="n">
        <x:v>4144</x:v>
      </x:c>
      <x:c r="C847" s="49" t="str">
        <x:v>Shri. Sai Shikshan Sanstha, Nagpur Institute of Technology, Nagpur</x:v>
      </x:c>
      <x:c r="D847" s="72" t="n">
        <x:v>414429310</x:v>
      </x:c>
      <x:c r="E847" s="49" t="str">
        <x:v>Electrical Engineering</x:v>
      </x:c>
      <x:c r="F847" s="73" t="n">
        <x:v>17</x:v>
      </x:c>
      <x:c r="G847" s="73" t="n">
        <x:v>10</x:v>
      </x:c>
      <x:c r="H847" s="73" t="n">
        <x:v>7</x:v>
      </x:c>
      <x:c r="I847" s="73"/>
      <x:c r="J847" s="73" t="n">
        <x:v>0</x:v>
      </x:c>
      <x:c r="K847" s="49" t="str">
        <x:v>Un-Aided</x:v>
      </x:c>
      <x:c r="L847" s="49" t="str">
        <x:v>MS Seats : 10+ EWS : 7</x:v>
      </x:c>
      <x:c r="M847" s="49" t="str">
        <x:v>https://dse2025.mahacet.org.in/dse25/admin/allotment/cap2/4144_4.pdf</x:v>
      </x:c>
    </x:row>
    <x:row r="848">
      <x:c r="A848" s="49" t="str">
        <x:v>2025-26</x:v>
      </x:c>
      <x:c r="B848" s="63" t="n">
        <x:v>4144</x:v>
      </x:c>
      <x:c r="C848" s="49" t="str">
        <x:v>Shri. Sai Shikshan Sanstha, Nagpur Institute of Technology, Nagpur</x:v>
      </x:c>
      <x:c r="D848" s="72" t="n">
        <x:v>414461210</x:v>
      </x:c>
      <x:c r="E848" s="49" t="str">
        <x:v>Mechanical Engineering</x:v>
      </x:c>
      <x:c r="F848" s="73" t="n">
        <x:v>20</x:v>
      </x:c>
      <x:c r="G848" s="73" t="n">
        <x:v>13</x:v>
      </x:c>
      <x:c r="H848" s="73" t="n">
        <x:v>7</x:v>
      </x:c>
      <x:c r="I848" s="73"/>
      <x:c r="J848" s="73" t="n">
        <x:v>0</x:v>
      </x:c>
      <x:c r="K848" s="49" t="str">
        <x:v>Un-Aided</x:v>
      </x:c>
      <x:c r="L848" s="49" t="str">
        <x:v>MS Seats : 13+ EWS : 7</x:v>
      </x:c>
      <x:c r="M848" s="49" t="str">
        <x:v>https://dse2025.mahacet.org.in/dse25/admin/allotment/cap2/4144_4.pdf</x:v>
      </x:c>
    </x:row>
    <x:row r="849">
      <x:c r="A849" s="49" t="str">
        <x:v>2025-26</x:v>
      </x:c>
      <x:c r="B849" s="63" t="n">
        <x:v>4145</x:v>
      </x:c>
      <x:c r="C849" s="49" t="str">
        <x:v>Wainganga College of Engineering and Management, Dongargaon, Nagpur</x:v>
      </x:c>
      <x:c r="D849" s="72" t="n">
        <x:v>414519110</x:v>
      </x:c>
      <x:c r="E849" s="49" t="str">
        <x:v>Civil Engineering</x:v>
      </x:c>
      <x:c r="F849" s="73" t="n">
        <x:v>20</x:v>
      </x:c>
      <x:c r="G849" s="73" t="n">
        <x:v>13</x:v>
      </x:c>
      <x:c r="H849" s="73" t="n">
        <x:v>7</x:v>
      </x:c>
      <x:c r="I849" s="73"/>
      <x:c r="J849" s="73" t="n">
        <x:v>0</x:v>
      </x:c>
      <x:c r="K849" s="49" t="str">
        <x:v>Un-Aided Autonomous</x:v>
      </x:c>
      <x:c r="L849" s="49" t="str">
        <x:v>MS Seats : 13+ EWS : 7</x:v>
      </x:c>
      <x:c r="M849" s="49" t="str">
        <x:v>https://dse2025.mahacet.org.in/dse25/admin/allotment/cap2/4145_4.pdf</x:v>
      </x:c>
    </x:row>
    <x:row r="850">
      <x:c r="A850" s="49" t="str">
        <x:v>2025-26</x:v>
      </x:c>
      <x:c r="B850" s="63" t="n">
        <x:v>4145</x:v>
      </x:c>
      <x:c r="C850" s="49" t="str">
        <x:v>Wainganga College of Engineering and Management, Dongargaon, Nagpur</x:v>
      </x:c>
      <x:c r="D850" s="72" t="n">
        <x:v>414524210</x:v>
      </x:c>
      <x:c r="E850" s="49" t="str">
        <x:v>Computer Science and Engineering</x:v>
      </x:c>
      <x:c r="F850" s="73" t="n">
        <x:v>20</x:v>
      </x:c>
      <x:c r="G850" s="73" t="n">
        <x:v>15</x:v>
      </x:c>
      <x:c r="H850" s="73" t="n">
        <x:v>5</x:v>
      </x:c>
      <x:c r="I850" s="73"/>
      <x:c r="J850" s="73" t="n">
        <x:v>0</x:v>
      </x:c>
      <x:c r="K850" s="49" t="str">
        <x:v>Un-Aided Autonomous</x:v>
      </x:c>
      <x:c r="L850" s="49" t="str">
        <x:v>MS Seats : 15+ EWS : 5</x:v>
      </x:c>
      <x:c r="M850" s="49" t="str">
        <x:v>https://dse2025.mahacet.org.in/dse25/admin/allotment/cap2/4145_4.pdf</x:v>
      </x:c>
    </x:row>
    <x:row r="851">
      <x:c r="A851" s="49" t="str">
        <x:v>2025-26</x:v>
      </x:c>
      <x:c r="B851" s="63" t="n">
        <x:v>4145</x:v>
      </x:c>
      <x:c r="C851" s="49" t="str">
        <x:v>Wainganga College of Engineering and Management, Dongargaon, Nagpur</x:v>
      </x:c>
      <x:c r="D851" s="72" t="n">
        <x:v>414529310</x:v>
      </x:c>
      <x:c r="E851" s="49" t="str">
        <x:v>Electrical Engineering</x:v>
      </x:c>
      <x:c r="F851" s="73" t="n">
        <x:v>17</x:v>
      </x:c>
      <x:c r="G851" s="73" t="n">
        <x:v>10</x:v>
      </x:c>
      <x:c r="H851" s="73" t="n">
        <x:v>7</x:v>
      </x:c>
      <x:c r="I851" s="73"/>
      <x:c r="J851" s="73" t="n">
        <x:v>0</x:v>
      </x:c>
      <x:c r="K851" s="49" t="str">
        <x:v>Un-Aided Autonomous</x:v>
      </x:c>
      <x:c r="L851" s="49" t="str">
        <x:v>MS Seats : 10+ EWS : 7</x:v>
      </x:c>
      <x:c r="M851" s="49" t="str">
        <x:v>https://dse2025.mahacet.org.in/dse25/admin/allotment/cap2/4145_4.pdf</x:v>
      </x:c>
    </x:row>
    <x:row r="852">
      <x:c r="A852" s="49" t="str">
        <x:v>2025-26</x:v>
      </x:c>
      <x:c r="B852" s="63" t="n">
        <x:v>4145</x:v>
      </x:c>
      <x:c r="C852" s="49" t="str">
        <x:v>Wainganga College of Engineering and Management, Dongargaon, Nagpur</x:v>
      </x:c>
      <x:c r="D852" s="72" t="n">
        <x:v>414537210</x:v>
      </x:c>
      <x:c r="E852" s="49" t="str">
        <x:v>Electronics and Telecommunication Engg</x:v>
      </x:c>
      <x:c r="F852" s="73" t="n">
        <x:v>6</x:v>
      </x:c>
      <x:c r="G852" s="73" t="n">
        <x:v>4</x:v>
      </x:c>
      <x:c r="H852" s="73" t="n">
        <x:v>2</x:v>
      </x:c>
      <x:c r="I852" s="73"/>
      <x:c r="J852" s="73" t="n">
        <x:v>0</x:v>
      </x:c>
      <x:c r="K852" s="49" t="str">
        <x:v>Un-Aided Autonomous</x:v>
      </x:c>
      <x:c r="L852" s="49" t="str">
        <x:v>MS Seats : 4+ EWS : 2</x:v>
      </x:c>
      <x:c r="M852" s="49" t="str">
        <x:v>https://dse2025.mahacet.org.in/dse25/admin/allotment/cap2/4145_4.pdf</x:v>
      </x:c>
    </x:row>
    <x:row r="853">
      <x:c r="A853" s="49" t="str">
        <x:v>2025-26</x:v>
      </x:c>
      <x:c r="B853" s="63" t="n">
        <x:v>4145</x:v>
      </x:c>
      <x:c r="C853" s="49" t="str">
        <x:v>Wainganga College of Engineering and Management, Dongargaon, Nagpur</x:v>
      </x:c>
      <x:c r="D853" s="72" t="n">
        <x:v>414561210</x:v>
      </x:c>
      <x:c r="E853" s="49" t="str">
        <x:v>Mechanical Engineering</x:v>
      </x:c>
      <x:c r="F853" s="73" t="n">
        <x:v>17</x:v>
      </x:c>
      <x:c r="G853" s="73" t="n">
        <x:v>10</x:v>
      </x:c>
      <x:c r="H853" s="73" t="n">
        <x:v>7</x:v>
      </x:c>
      <x:c r="I853" s="73"/>
      <x:c r="J853" s="73" t="n">
        <x:v>0</x:v>
      </x:c>
      <x:c r="K853" s="49" t="str">
        <x:v>Un-Aided Autonomous</x:v>
      </x:c>
      <x:c r="L853" s="49" t="str">
        <x:v>MS Seats : 10+ EWS : 7</x:v>
      </x:c>
      <x:c r="M853" s="49" t="str">
        <x:v>https://dse2025.mahacet.org.in/dse25/admin/allotment/cap2/4145_4.pdf</x:v>
      </x:c>
    </x:row>
    <x:row r="854">
      <x:c r="A854" s="49" t="str">
        <x:v>2025-26</x:v>
      </x:c>
      <x:c r="B854" s="63" t="n">
        <x:v>4145</x:v>
      </x:c>
      <x:c r="C854" s="49" t="str">
        <x:v>Wainganga College of Engineering and Management, Dongargaon, Nagpur</x:v>
      </x:c>
      <x:c r="D854" s="72" t="n">
        <x:v>414599510</x:v>
      </x:c>
      <x:c r="E854" s="49" t="str">
        <x:v>Artificial Intelligence and Data Science</x:v>
      </x:c>
      <x:c r="F854" s="73" t="n">
        <x:v>11</x:v>
      </x:c>
      <x:c r="G854" s="73" t="n">
        <x:v>7</x:v>
      </x:c>
      <x:c r="H854" s="73" t="n">
        <x:v>4</x:v>
      </x:c>
      <x:c r="I854" s="73"/>
      <x:c r="J854" s="73" t="n">
        <x:v>0</x:v>
      </x:c>
      <x:c r="K854" s="49" t="str">
        <x:v>Un-Aided Autonomous</x:v>
      </x:c>
      <x:c r="L854" s="49" t="str">
        <x:v>MS Seats : 7+ EWS : 4</x:v>
      </x:c>
      <x:c r="M854" s="49" t="str">
        <x:v>https://dse2025.mahacet.org.in/dse25/admin/allotment/cap2/4145_4.pdf</x:v>
      </x:c>
    </x:row>
    <x:row r="855">
      <x:c r="A855" s="49" t="str">
        <x:v>2025-26</x:v>
      </x:c>
      <x:c r="B855" s="63" t="n">
        <x:v>4147</x:v>
      </x:c>
      <x:c r="C855" s="49" t="str">
        <x:v>K.D.K. College of Engineering, Nagpur</x:v>
      </x:c>
      <x:c r="D855" s="72" t="n">
        <x:v>414719110</x:v>
      </x:c>
      <x:c r="E855" s="49" t="str">
        <x:v>Civil Engineering</x:v>
      </x:c>
      <x:c r="F855" s="73" t="n">
        <x:v>16</x:v>
      </x:c>
      <x:c r="G855" s="73" t="n">
        <x:v>11</x:v>
      </x:c>
      <x:c r="H855" s="73" t="n">
        <x:v>5</x:v>
      </x:c>
      <x:c r="I855" s="73"/>
      <x:c r="J855" s="73" t="n">
        <x:v>0</x:v>
      </x:c>
      <x:c r="K855" s="49" t="str">
        <x:v>Un-Aided Autonomous</x:v>
      </x:c>
      <x:c r="L855" s="49" t="str">
        <x:v>MS Seats : 11+ EWS : 5</x:v>
      </x:c>
      <x:c r="M855" s="49" t="str">
        <x:v>https://dse2025.mahacet.org.in/dse25/admin/allotment/cap2/4147_4.pdf</x:v>
      </x:c>
    </x:row>
    <x:row r="856">
      <x:c r="A856" s="49" t="str">
        <x:v>2025-26</x:v>
      </x:c>
      <x:c r="B856" s="63" t="n">
        <x:v>4147</x:v>
      </x:c>
      <x:c r="C856" s="49" t="str">
        <x:v>K.D.K. College of Engineering, Nagpur</x:v>
      </x:c>
      <x:c r="D856" s="72" t="n">
        <x:v>414724210</x:v>
      </x:c>
      <x:c r="E856" s="49" t="str">
        <x:v>Computer Science and Engineering</x:v>
      </x:c>
      <x:c r="F856" s="73" t="n">
        <x:v>29</x:v>
      </x:c>
      <x:c r="G856" s="73" t="n">
        <x:v>22</x:v>
      </x:c>
      <x:c r="H856" s="73" t="n">
        <x:v>7</x:v>
      </x:c>
      <x:c r="I856" s="73"/>
      <x:c r="J856" s="73" t="n">
        <x:v>0</x:v>
      </x:c>
      <x:c r="K856" s="49" t="str">
        <x:v>Un-Aided Autonomous</x:v>
      </x:c>
      <x:c r="L856" s="49" t="str">
        <x:v>MS Seats : 22+ EWS : 7</x:v>
      </x:c>
      <x:c r="M856" s="49" t="str">
        <x:v>https://dse2025.mahacet.org.in/dse25/admin/allotment/cap2/4147_4.pdf</x:v>
      </x:c>
    </x:row>
    <x:row r="857">
      <x:c r="A857" s="49" t="str">
        <x:v>2025-26</x:v>
      </x:c>
      <x:c r="B857" s="63" t="n">
        <x:v>4147</x:v>
      </x:c>
      <x:c r="C857" s="49" t="str">
        <x:v>K.D.K. College of Engineering, Nagpur</x:v>
      </x:c>
      <x:c r="D857" s="72" t="n">
        <x:v>414724610</x:v>
      </x:c>
      <x:c r="E857" s="49" t="str">
        <x:v>Information Technology</x:v>
      </x:c>
      <x:c r="F857" s="73" t="n">
        <x:v>8</x:v>
      </x:c>
      <x:c r="G857" s="73" t="n">
        <x:v>7</x:v>
      </x:c>
      <x:c r="H857" s="73" t="n">
        <x:v>1</x:v>
      </x:c>
      <x:c r="I857" s="73"/>
      <x:c r="J857" s="73" t="n">
        <x:v>0</x:v>
      </x:c>
      <x:c r="K857" s="49" t="str">
        <x:v>Un-Aided Autonomous</x:v>
      </x:c>
      <x:c r="L857" s="49" t="str">
        <x:v>MS Seats : 7+ EWS : 1</x:v>
      </x:c>
      <x:c r="M857" s="49" t="str">
        <x:v>https://dse2025.mahacet.org.in/dse25/admin/allotment/cap2/4147_4.pdf</x:v>
      </x:c>
    </x:row>
    <x:row r="858">
      <x:c r="A858" s="49" t="str">
        <x:v>2025-26</x:v>
      </x:c>
      <x:c r="B858" s="63" t="n">
        <x:v>4147</x:v>
      </x:c>
      <x:c r="C858" s="49" t="str">
        <x:v>K.D.K. College of Engineering, Nagpur</x:v>
      </x:c>
      <x:c r="D858" s="72" t="n">
        <x:v>414729310</x:v>
      </x:c>
      <x:c r="E858" s="49" t="str">
        <x:v>Electrical Engineering</x:v>
      </x:c>
      <x:c r="F858" s="73" t="n">
        <x:v>28</x:v>
      </x:c>
      <x:c r="G858" s="73" t="n">
        <x:v>18</x:v>
      </x:c>
      <x:c r="H858" s="73" t="n">
        <x:v>10</x:v>
      </x:c>
      <x:c r="I858" s="73"/>
      <x:c r="J858" s="73" t="n">
        <x:v>0</x:v>
      </x:c>
      <x:c r="K858" s="49" t="str">
        <x:v>Un-Aided Autonomous</x:v>
      </x:c>
      <x:c r="L858" s="49" t="str">
        <x:v>MS Seats : 18+ EWS : 10</x:v>
      </x:c>
      <x:c r="M858" s="49" t="str">
        <x:v>https://dse2025.mahacet.org.in/dse25/admin/allotment/cap2/4147_4.pdf</x:v>
      </x:c>
    </x:row>
    <x:row r="859">
      <x:c r="A859" s="49" t="str">
        <x:v>2025-26</x:v>
      </x:c>
      <x:c r="B859" s="63" t="n">
        <x:v>4147</x:v>
      </x:c>
      <x:c r="C859" s="49" t="str">
        <x:v>K.D.K. College of Engineering, Nagpur</x:v>
      </x:c>
      <x:c r="D859" s="72" t="n">
        <x:v>414737210</x:v>
      </x:c>
      <x:c r="E859" s="49" t="str">
        <x:v>Electronics and Telecommunication Engg</x:v>
      </x:c>
      <x:c r="F859" s="73" t="n">
        <x:v>18</x:v>
      </x:c>
      <x:c r="G859" s="73" t="n">
        <x:v>14</x:v>
      </x:c>
      <x:c r="H859" s="73" t="n">
        <x:v>4</x:v>
      </x:c>
      <x:c r="I859" s="73"/>
      <x:c r="J859" s="73" t="n">
        <x:v>0</x:v>
      </x:c>
      <x:c r="K859" s="49" t="str">
        <x:v>Un-Aided Autonomous</x:v>
      </x:c>
      <x:c r="L859" s="49" t="str">
        <x:v>MS Seats : 14+ EWS : 4</x:v>
      </x:c>
      <x:c r="M859" s="49" t="str">
        <x:v>https://dse2025.mahacet.org.in/dse25/admin/allotment/cap2/4147_4.pdf</x:v>
      </x:c>
    </x:row>
    <x:row r="860">
      <x:c r="A860" s="49" t="str">
        <x:v>2025-26</x:v>
      </x:c>
      <x:c r="B860" s="63" t="n">
        <x:v>4147</x:v>
      </x:c>
      <x:c r="C860" s="49" t="str">
        <x:v>K.D.K. College of Engineering, Nagpur</x:v>
      </x:c>
      <x:c r="D860" s="72" t="n">
        <x:v>414761210</x:v>
      </x:c>
      <x:c r="E860" s="49" t="str">
        <x:v>Mechanical Engineering</x:v>
      </x:c>
      <x:c r="F860" s="73" t="n">
        <x:v>13</x:v>
      </x:c>
      <x:c r="G860" s="73" t="n">
        <x:v>7</x:v>
      </x:c>
      <x:c r="H860" s="73" t="n">
        <x:v>6</x:v>
      </x:c>
      <x:c r="I860" s="73"/>
      <x:c r="J860" s="73" t="n">
        <x:v>0</x:v>
      </x:c>
      <x:c r="K860" s="49" t="str">
        <x:v>Un-Aided Autonomous</x:v>
      </x:c>
      <x:c r="L860" s="49" t="str">
        <x:v>MS Seats : 7+ EWS : 6</x:v>
      </x:c>
      <x:c r="M860" s="49" t="str">
        <x:v>https://dse2025.mahacet.org.in/dse25/admin/allotment/cap2/4147_4.pdf</x:v>
      </x:c>
    </x:row>
    <x:row r="861">
      <x:c r="A861" s="49" t="str">
        <x:v>2025-26</x:v>
      </x:c>
      <x:c r="B861" s="63" t="n">
        <x:v>4147</x:v>
      </x:c>
      <x:c r="C861" s="49" t="str">
        <x:v>K.D.K. College of Engineering, Nagpur</x:v>
      </x:c>
      <x:c r="D861" s="72" t="n">
        <x:v>414799510</x:v>
      </x:c>
      <x:c r="E861" s="49" t="str">
        <x:v>Artificial Intelligence and Data Science</x:v>
      </x:c>
      <x:c r="F861" s="73" t="n">
        <x:v>13</x:v>
      </x:c>
      <x:c r="G861" s="73" t="n">
        <x:v>12</x:v>
      </x:c>
      <x:c r="H861" s="73" t="n">
        <x:v>1</x:v>
      </x:c>
      <x:c r="I861" s="73"/>
      <x:c r="J861" s="73" t="n">
        <x:v>0</x:v>
      </x:c>
      <x:c r="K861" s="49" t="str">
        <x:v>Un-Aided Autonomous</x:v>
      </x:c>
      <x:c r="L861" s="49" t="str">
        <x:v>MS Seats : 12+ EWS : 1</x:v>
      </x:c>
      <x:c r="M861" s="49" t="str">
        <x:v>https://dse2025.mahacet.org.in/dse25/admin/allotment/cap2/4147_4.pdf</x:v>
      </x:c>
    </x:row>
    <x:row r="862">
      <x:c r="A862" s="49" t="str">
        <x:v>2025-26</x:v>
      </x:c>
      <x:c r="B862" s="63" t="n">
        <x:v>4151</x:v>
      </x:c>
      <x:c r="C862" s="49" t="str">
        <x:v>Tulsiramji Gaikwad Patil College of Engineering &amp; Technology, Nagpur</x:v>
      </x:c>
      <x:c r="D862" s="72" t="n">
        <x:v>415100210</x:v>
      </x:c>
      <x:c r="E862" s="49" t="str">
        <x:v>Aeronautical Engineering</x:v>
      </x:c>
      <x:c r="F862" s="73" t="n">
        <x:v>14</x:v>
      </x:c>
      <x:c r="G862" s="73" t="n">
        <x:v>8</x:v>
      </x:c>
      <x:c r="H862" s="73" t="n">
        <x:v>6</x:v>
      </x:c>
      <x:c r="I862" s="73"/>
      <x:c r="J862" s="73" t="n">
        <x:v>0</x:v>
      </x:c>
      <x:c r="K862" s="49" t="str">
        <x:v>Un-Aided Autonomous</x:v>
      </x:c>
      <x:c r="L862" s="49" t="str">
        <x:v>MS Seats : 8+ EWS : 6</x:v>
      </x:c>
      <x:c r="M862" s="49" t="str">
        <x:v>https://dse2025.mahacet.org.in/dse25/admin/allotment/cap2/4151_4.pdf</x:v>
      </x:c>
    </x:row>
    <x:row r="863">
      <x:c r="A863" s="49" t="str">
        <x:v>2025-26</x:v>
      </x:c>
      <x:c r="B863" s="63" t="n">
        <x:v>4151</x:v>
      </x:c>
      <x:c r="C863" s="49" t="str">
        <x:v>Tulsiramji Gaikwad Patil College of Engineering &amp; Technology, Nagpur</x:v>
      </x:c>
      <x:c r="D863" s="72" t="n">
        <x:v>415108210</x:v>
      </x:c>
      <x:c r="E863" s="49" t="str">
        <x:v>Bio Technology</x:v>
      </x:c>
      <x:c r="F863" s="73" t="n">
        <x:v>12</x:v>
      </x:c>
      <x:c r="G863" s="73" t="n">
        <x:v>8</x:v>
      </x:c>
      <x:c r="H863" s="73" t="n">
        <x:v>4</x:v>
      </x:c>
      <x:c r="I863" s="73"/>
      <x:c r="J863" s="73" t="n">
        <x:v>0</x:v>
      </x:c>
      <x:c r="K863" s="49" t="str">
        <x:v>Un-Aided Autonomous</x:v>
      </x:c>
      <x:c r="L863" s="49" t="str">
        <x:v>MS Seats : 8+ EWS : 4</x:v>
      </x:c>
      <x:c r="M863" s="49" t="str">
        <x:v>https://dse2025.mahacet.org.in/dse25/admin/allotment/cap2/4151_4.pdf</x:v>
      </x:c>
    </x:row>
    <x:row r="864">
      <x:c r="A864" s="49" t="str">
        <x:v>2025-26</x:v>
      </x:c>
      <x:c r="B864" s="63" t="n">
        <x:v>4151</x:v>
      </x:c>
      <x:c r="C864" s="49" t="str">
        <x:v>Tulsiramji Gaikwad Patil College of Engineering &amp; Technology, Nagpur</x:v>
      </x:c>
      <x:c r="D864" s="72" t="n">
        <x:v>415119110</x:v>
      </x:c>
      <x:c r="E864" s="49" t="str">
        <x:v>Civil Engineering</x:v>
      </x:c>
      <x:c r="F864" s="73" t="n">
        <x:v>13</x:v>
      </x:c>
      <x:c r="G864" s="73" t="n">
        <x:v>8</x:v>
      </x:c>
      <x:c r="H864" s="73" t="n">
        <x:v>5</x:v>
      </x:c>
      <x:c r="I864" s="73"/>
      <x:c r="J864" s="73" t="n">
        <x:v>0</x:v>
      </x:c>
      <x:c r="K864" s="49" t="str">
        <x:v>Un-Aided Autonomous</x:v>
      </x:c>
      <x:c r="L864" s="49" t="str">
        <x:v>MS Seats : 8+ EWS : 5</x:v>
      </x:c>
      <x:c r="M864" s="49" t="str">
        <x:v>https://dse2025.mahacet.org.in/dse25/admin/allotment/cap2/4151_4.pdf</x:v>
      </x:c>
    </x:row>
    <x:row r="865">
      <x:c r="A865" s="49" t="str">
        <x:v>2025-26</x:v>
      </x:c>
      <x:c r="B865" s="63" t="n">
        <x:v>4151</x:v>
      </x:c>
      <x:c r="C865" s="49" t="str">
        <x:v>Tulsiramji Gaikwad Patil College of Engineering &amp; Technology, Nagpur</x:v>
      </x:c>
      <x:c r="D865" s="72" t="n">
        <x:v>415124210</x:v>
      </x:c>
      <x:c r="E865" s="49" t="str">
        <x:v>Computer Science and Engineering</x:v>
      </x:c>
      <x:c r="F865" s="73" t="n">
        <x:v>26</x:v>
      </x:c>
      <x:c r="G865" s="73" t="n">
        <x:v>21</x:v>
      </x:c>
      <x:c r="H865" s="73" t="n">
        <x:v>5</x:v>
      </x:c>
      <x:c r="I865" s="73"/>
      <x:c r="J865" s="73" t="n">
        <x:v>0</x:v>
      </x:c>
      <x:c r="K865" s="49" t="str">
        <x:v>Un-Aided Autonomous</x:v>
      </x:c>
      <x:c r="L865" s="49" t="str">
        <x:v>MS Seats : 21+ EWS : 5</x:v>
      </x:c>
      <x:c r="M865" s="49" t="str">
        <x:v>https://dse2025.mahacet.org.in/dse25/admin/allotment/cap2/4151_4.pdf</x:v>
      </x:c>
    </x:row>
    <x:row r="866">
      <x:c r="A866" s="49" t="str">
        <x:v>2025-26</x:v>
      </x:c>
      <x:c r="B866" s="63" t="n">
        <x:v>4151</x:v>
      </x:c>
      <x:c r="C866" s="49" t="str">
        <x:v>Tulsiramji Gaikwad Patil College of Engineering &amp; Technology, Nagpur</x:v>
      </x:c>
      <x:c r="D866" s="72" t="n">
        <x:v>415124610</x:v>
      </x:c>
      <x:c r="E866" s="49" t="str">
        <x:v>Information Technology</x:v>
      </x:c>
      <x:c r="F866" s="73" t="n">
        <x:v>25</x:v>
      </x:c>
      <x:c r="G866" s="73" t="n">
        <x:v>17</x:v>
      </x:c>
      <x:c r="H866" s="73" t="n">
        <x:v>8</x:v>
      </x:c>
      <x:c r="I866" s="73"/>
      <x:c r="J866" s="73" t="n">
        <x:v>0</x:v>
      </x:c>
      <x:c r="K866" s="49" t="str">
        <x:v>Un-Aided Autonomous</x:v>
      </x:c>
      <x:c r="L866" s="49" t="str">
        <x:v>MS Seats : 17+ EWS : 8</x:v>
      </x:c>
      <x:c r="M866" s="49" t="str">
        <x:v>https://dse2025.mahacet.org.in/dse25/admin/allotment/cap2/4151_4.pdf</x:v>
      </x:c>
    </x:row>
    <x:row r="867">
      <x:c r="A867" s="49" t="str">
        <x:v>2025-26</x:v>
      </x:c>
      <x:c r="B867" s="63" t="n">
        <x:v>4151</x:v>
      </x:c>
      <x:c r="C867" s="49" t="str">
        <x:v>Tulsiramji Gaikwad Patil College of Engineering &amp; Technology, Nagpur</x:v>
      </x:c>
      <x:c r="D867" s="72" t="n">
        <x:v>415129310</x:v>
      </x:c>
      <x:c r="E867" s="49" t="str">
        <x:v>Electrical Engineering</x:v>
      </x:c>
      <x:c r="F867" s="73" t="n">
        <x:v>27</x:v>
      </x:c>
      <x:c r="G867" s="73" t="n">
        <x:v>13</x:v>
      </x:c>
      <x:c r="H867" s="73" t="n">
        <x:v>14</x:v>
      </x:c>
      <x:c r="I867" s="73"/>
      <x:c r="J867" s="73" t="n">
        <x:v>0</x:v>
      </x:c>
      <x:c r="K867" s="49" t="str">
        <x:v>Un-Aided Autonomous</x:v>
      </x:c>
      <x:c r="L867" s="49" t="str">
        <x:v>MS Seats : 13+ EWS : 14</x:v>
      </x:c>
      <x:c r="M867" s="49" t="str">
        <x:v>https://dse2025.mahacet.org.in/dse25/admin/allotment/cap2/4151_4.pdf</x:v>
      </x:c>
    </x:row>
    <x:row r="868">
      <x:c r="A868" s="49" t="str">
        <x:v>2025-26</x:v>
      </x:c>
      <x:c r="B868" s="63" t="n">
        <x:v>4151</x:v>
      </x:c>
      <x:c r="C868" s="49" t="str">
        <x:v>Tulsiramji Gaikwad Patil College of Engineering &amp; Technology, Nagpur</x:v>
      </x:c>
      <x:c r="D868" s="72" t="n">
        <x:v>415137010</x:v>
      </x:c>
      <x:c r="E868" s="49" t="str">
        <x:v>Electronics and Communication Engineering</x:v>
      </x:c>
      <x:c r="F868" s="73" t="n">
        <x:v>29</x:v>
      </x:c>
      <x:c r="G868" s="73" t="n">
        <x:v>15</x:v>
      </x:c>
      <x:c r="H868" s="73" t="n">
        <x:v>14</x:v>
      </x:c>
      <x:c r="I868" s="73"/>
      <x:c r="J868" s="73" t="n">
        <x:v>0</x:v>
      </x:c>
      <x:c r="K868" s="49" t="str">
        <x:v>Un-Aided Autonomous</x:v>
      </x:c>
      <x:c r="L868" s="49" t="str">
        <x:v>MS Seats : 15+ EWS : 14</x:v>
      </x:c>
      <x:c r="M868" s="49" t="str">
        <x:v>https://dse2025.mahacet.org.in/dse25/admin/allotment/cap2/4151_4.pdf</x:v>
      </x:c>
    </x:row>
    <x:row r="869">
      <x:c r="A869" s="49" t="str">
        <x:v>2025-26</x:v>
      </x:c>
      <x:c r="B869" s="63" t="n">
        <x:v>4151</x:v>
      </x:c>
      <x:c r="C869" s="49" t="str">
        <x:v>Tulsiramji Gaikwad Patil College of Engineering &amp; Technology, Nagpur</x:v>
      </x:c>
      <x:c r="D869" s="72" t="n">
        <x:v>415161210</x:v>
      </x:c>
      <x:c r="E869" s="49" t="str">
        <x:v>Mechanical Engineering</x:v>
      </x:c>
      <x:c r="F869" s="73" t="n">
        <x:v>25</x:v>
      </x:c>
      <x:c r="G869" s="73" t="n">
        <x:v>16</x:v>
      </x:c>
      <x:c r="H869" s="73" t="n">
        <x:v>9</x:v>
      </x:c>
      <x:c r="I869" s="73"/>
      <x:c r="J869" s="73" t="n">
        <x:v>0</x:v>
      </x:c>
      <x:c r="K869" s="49" t="str">
        <x:v>Un-Aided Autonomous</x:v>
      </x:c>
      <x:c r="L869" s="49" t="str">
        <x:v>MS Seats : 16+ EWS : 9</x:v>
      </x:c>
      <x:c r="M869" s="49" t="str">
        <x:v>https://dse2025.mahacet.org.in/dse25/admin/allotment/cap2/4151_4.pdf</x:v>
      </x:c>
    </x:row>
    <x:row r="870">
      <x:c r="A870" s="49" t="str">
        <x:v>2025-26</x:v>
      </x:c>
      <x:c r="B870" s="63" t="n">
        <x:v>4151</x:v>
      </x:c>
      <x:c r="C870" s="49" t="str">
        <x:v>Tulsiramji Gaikwad Patil College of Engineering &amp; Technology, Nagpur</x:v>
      </x:c>
      <x:c r="D870" s="72" t="n">
        <x:v>415191210</x:v>
      </x:c>
      <x:c r="E870" s="49" t="str">
        <x:v>Computer Science and Engineering(Data Science)</x:v>
      </x:c>
      <x:c r="F870" s="73" t="n">
        <x:v>23</x:v>
      </x:c>
      <x:c r="G870" s="73" t="n">
        <x:v>15</x:v>
      </x:c>
      <x:c r="H870" s="73" t="n">
        <x:v>8</x:v>
      </x:c>
      <x:c r="I870" s="73"/>
      <x:c r="J870" s="73" t="n">
        <x:v>0</x:v>
      </x:c>
      <x:c r="K870" s="49" t="str">
        <x:v>Un-Aided Autonomous</x:v>
      </x:c>
      <x:c r="L870" s="49" t="str">
        <x:v>MS Seats : 15+ EWS : 8</x:v>
      </x:c>
      <x:c r="M870" s="49" t="str">
        <x:v>https://dse2025.mahacet.org.in/dse25/admin/allotment/cap2/4151_4.pdf</x:v>
      </x:c>
    </x:row>
    <x:row r="871">
      <x:c r="A871" s="49" t="str">
        <x:v>2025-26</x:v>
      </x:c>
      <x:c r="B871" s="63" t="n">
        <x:v>4151</x:v>
      </x:c>
      <x:c r="C871" s="49" t="str">
        <x:v>Tulsiramji Gaikwad Patil College of Engineering &amp; Technology, Nagpur</x:v>
      </x:c>
      <x:c r="D871" s="72" t="n">
        <x:v>415192110</x:v>
      </x:c>
      <x:c r="E871" s="49" t="str">
        <x:v>Artificial Intelligence and Machine Learning</x:v>
      </x:c>
      <x:c r="F871" s="73" t="n">
        <x:v>24</x:v>
      </x:c>
      <x:c r="G871" s="73" t="n">
        <x:v>13</x:v>
      </x:c>
      <x:c r="H871" s="73" t="n">
        <x:v>11</x:v>
      </x:c>
      <x:c r="I871" s="73"/>
      <x:c r="J871" s="73" t="n">
        <x:v>0</x:v>
      </x:c>
      <x:c r="K871" s="49" t="str">
        <x:v>Un-Aided Autonomous</x:v>
      </x:c>
      <x:c r="L871" s="49" t="str">
        <x:v>MS Seats : 13+ EWS : 11</x:v>
      </x:c>
      <x:c r="M871" s="49" t="str">
        <x:v>https://dse2025.mahacet.org.in/dse25/admin/allotment/cap2/4151_4.pdf</x:v>
      </x:c>
    </x:row>
    <x:row r="872">
      <x:c r="A872" s="49" t="str">
        <x:v>2025-26</x:v>
      </x:c>
      <x:c r="B872" s="63" t="n">
        <x:v>4163</x:v>
      </x:c>
      <x:c r="C872" s="49" t="str">
        <x:v>Rajiv Gandhi College of Engineering Research &amp; Technology Chandrapur</x:v>
      </x:c>
      <x:c r="D872" s="72" t="n">
        <x:v>416319110</x:v>
      </x:c>
      <x:c r="E872" s="49" t="str">
        <x:v>Civil Engineering</x:v>
      </x:c>
      <x:c r="F872" s="73" t="n">
        <x:v>20</x:v>
      </x:c>
      <x:c r="G872" s="73" t="n">
        <x:v>14</x:v>
      </x:c>
      <x:c r="H872" s="73" t="n">
        <x:v>6</x:v>
      </x:c>
      <x:c r="I872" s="73"/>
      <x:c r="J872" s="73" t="n">
        <x:v>0</x:v>
      </x:c>
      <x:c r="K872" s="49" t="str">
        <x:v>Un-Aided</x:v>
      </x:c>
      <x:c r="L872" s="49" t="str">
        <x:v>MS Seats : 14+ EWS : 6</x:v>
      </x:c>
      <x:c r="M872" s="49" t="str">
        <x:v>https://dse2025.mahacet.org.in/dse25/admin/allotment/cap2/4163_4.pdf</x:v>
      </x:c>
    </x:row>
    <x:row r="873">
      <x:c r="A873" s="49" t="str">
        <x:v>2025-26</x:v>
      </x:c>
      <x:c r="B873" s="63" t="n">
        <x:v>4163</x:v>
      </x:c>
      <x:c r="C873" s="49" t="str">
        <x:v>Rajiv Gandhi College of Engineering Research &amp; Technology Chandrapur</x:v>
      </x:c>
      <x:c r="D873" s="72" t="n">
        <x:v>416324210</x:v>
      </x:c>
      <x:c r="E873" s="49" t="str">
        <x:v>Computer Science and Engineering</x:v>
      </x:c>
      <x:c r="F873" s="73" t="n">
        <x:v>24</x:v>
      </x:c>
      <x:c r="G873" s="73" t="n">
        <x:v>21</x:v>
      </x:c>
      <x:c r="H873" s="73" t="n">
        <x:v>3</x:v>
      </x:c>
      <x:c r="I873" s="73"/>
      <x:c r="J873" s="73" t="n">
        <x:v>0</x:v>
      </x:c>
      <x:c r="K873" s="49" t="str">
        <x:v>Un-Aided</x:v>
      </x:c>
      <x:c r="L873" s="49" t="str">
        <x:v>MS Seats : 21+ EWS : 3</x:v>
      </x:c>
      <x:c r="M873" s="49" t="str">
        <x:v>https://dse2025.mahacet.org.in/dse25/admin/allotment/cap2/4163_4.pdf</x:v>
      </x:c>
    </x:row>
    <x:row r="874">
      <x:c r="A874" s="49" t="str">
        <x:v>2025-26</x:v>
      </x:c>
      <x:c r="B874" s="63" t="n">
        <x:v>4163</x:v>
      </x:c>
      <x:c r="C874" s="49" t="str">
        <x:v>Rajiv Gandhi College of Engineering Research &amp; Technology Chandrapur</x:v>
      </x:c>
      <x:c r="D874" s="72" t="n">
        <x:v>416329310</x:v>
      </x:c>
      <x:c r="E874" s="49" t="str">
        <x:v>Electrical Engineering</x:v>
      </x:c>
      <x:c r="F874" s="73" t="n">
        <x:v>15</x:v>
      </x:c>
      <x:c r="G874" s="73" t="n">
        <x:v>8</x:v>
      </x:c>
      <x:c r="H874" s="73" t="n">
        <x:v>7</x:v>
      </x:c>
      <x:c r="I874" s="73"/>
      <x:c r="J874" s="73" t="n">
        <x:v>0</x:v>
      </x:c>
      <x:c r="K874" s="49" t="str">
        <x:v>Un-Aided</x:v>
      </x:c>
      <x:c r="L874" s="49" t="str">
        <x:v>MS Seats : 8+ EWS : 7</x:v>
      </x:c>
      <x:c r="M874" s="49" t="str">
        <x:v>https://dse2025.mahacet.org.in/dse25/admin/allotment/cap2/4163_4.pdf</x:v>
      </x:c>
    </x:row>
    <x:row r="875">
      <x:c r="A875" s="49" t="str">
        <x:v>2025-26</x:v>
      </x:c>
      <x:c r="B875" s="63" t="n">
        <x:v>4163</x:v>
      </x:c>
      <x:c r="C875" s="49" t="str">
        <x:v>Rajiv Gandhi College of Engineering Research &amp; Technology Chandrapur</x:v>
      </x:c>
      <x:c r="D875" s="72" t="n">
        <x:v>416337010</x:v>
      </x:c>
      <x:c r="E875" s="49" t="str">
        <x:v>Electronics and Communication Engineering</x:v>
      </x:c>
      <x:c r="F875" s="73" t="n">
        <x:v>16</x:v>
      </x:c>
      <x:c r="G875" s="73" t="n">
        <x:v>10</x:v>
      </x:c>
      <x:c r="H875" s="73" t="n">
        <x:v>6</x:v>
      </x:c>
      <x:c r="I875" s="73"/>
      <x:c r="J875" s="73" t="n">
        <x:v>0</x:v>
      </x:c>
      <x:c r="K875" s="49" t="str">
        <x:v>Un-Aided</x:v>
      </x:c>
      <x:c r="L875" s="49" t="str">
        <x:v>MS Seats : 10+ EWS : 6</x:v>
      </x:c>
      <x:c r="M875" s="49" t="str">
        <x:v>https://dse2025.mahacet.org.in/dse25/admin/allotment/cap2/4163_4.pdf</x:v>
      </x:c>
    </x:row>
    <x:row r="876">
      <x:c r="A876" s="49" t="str">
        <x:v>2025-26</x:v>
      </x:c>
      <x:c r="B876" s="63" t="n">
        <x:v>4163</x:v>
      </x:c>
      <x:c r="C876" s="49" t="str">
        <x:v>Rajiv Gandhi College of Engineering Research &amp; Technology Chandrapur</x:v>
      </x:c>
      <x:c r="D876" s="72" t="n">
        <x:v>416361210</x:v>
      </x:c>
      <x:c r="E876" s="49" t="str">
        <x:v>Mechanical Engineering</x:v>
      </x:c>
      <x:c r="F876" s="73" t="n">
        <x:v>21</x:v>
      </x:c>
      <x:c r="G876" s="73" t="n">
        <x:v>15</x:v>
      </x:c>
      <x:c r="H876" s="73" t="n">
        <x:v>6</x:v>
      </x:c>
      <x:c r="I876" s="73"/>
      <x:c r="J876" s="73" t="n">
        <x:v>0</x:v>
      </x:c>
      <x:c r="K876" s="49" t="str">
        <x:v>Un-Aided</x:v>
      </x:c>
      <x:c r="L876" s="49" t="str">
        <x:v>MS Seats : 15+ EWS : 6</x:v>
      </x:c>
      <x:c r="M876" s="49" t="str">
        <x:v>https://dse2025.mahacet.org.in/dse25/admin/allotment/cap2/4163_4.pdf</x:v>
      </x:c>
    </x:row>
    <x:row r="877">
      <x:c r="A877" s="49" t="str">
        <x:v>2025-26</x:v>
      </x:c>
      <x:c r="B877" s="63" t="n">
        <x:v>4163</x:v>
      </x:c>
      <x:c r="C877" s="49" t="str">
        <x:v>Rajiv Gandhi College of Engineering Research &amp; Technology Chandrapur</x:v>
      </x:c>
      <x:c r="D877" s="72" t="n">
        <x:v>416370110</x:v>
      </x:c>
      <x:c r="E877" s="49" t="str">
        <x:v>Mining Engineering</x:v>
      </x:c>
      <x:c r="F877" s="73" t="n">
        <x:v>19</x:v>
      </x:c>
      <x:c r="G877" s="73" t="n">
        <x:v>14</x:v>
      </x:c>
      <x:c r="H877" s="73" t="n">
        <x:v>5</x:v>
      </x:c>
      <x:c r="I877" s="73"/>
      <x:c r="J877" s="73" t="n">
        <x:v>0</x:v>
      </x:c>
      <x:c r="K877" s="49" t="str">
        <x:v>Un-Aided</x:v>
      </x:c>
      <x:c r="L877" s="49" t="str">
        <x:v>MS Seats : 14+ EWS : 5</x:v>
      </x:c>
      <x:c r="M877" s="49" t="str">
        <x:v>https://dse2025.mahacet.org.in/dse25/admin/allotment/cap2/4163_4.pdf</x:v>
      </x:c>
    </x:row>
    <x:row r="878">
      <x:c r="A878" s="49" t="str">
        <x:v>2025-26</x:v>
      </x:c>
      <x:c r="B878" s="63" t="n">
        <x:v>4163</x:v>
      </x:c>
      <x:c r="C878" s="49" t="str">
        <x:v>Rajiv Gandhi College of Engineering Research &amp; Technology Chandrapur</x:v>
      </x:c>
      <x:c r="D878" s="72" t="n">
        <x:v>416391210</x:v>
      </x:c>
      <x:c r="E878" s="49" t="str">
        <x:v>Computer Science and Engineering(Data Science)</x:v>
      </x:c>
      <x:c r="F878" s="73" t="n">
        <x:v>11</x:v>
      </x:c>
      <x:c r="G878" s="73" t="n">
        <x:v>9</x:v>
      </x:c>
      <x:c r="H878" s="73" t="n">
        <x:v>2</x:v>
      </x:c>
      <x:c r="I878" s="73"/>
      <x:c r="J878" s="73" t="n">
        <x:v>0</x:v>
      </x:c>
      <x:c r="K878" s="49" t="str">
        <x:v>Un-Aided</x:v>
      </x:c>
      <x:c r="L878" s="49" t="str">
        <x:v>MS Seats : 9+ EWS : 2</x:v>
      </x:c>
      <x:c r="M878" s="49" t="str">
        <x:v>https://dse2025.mahacet.org.in/dse25/admin/allotment/cap2/4163_4.pdf</x:v>
      </x:c>
    </x:row>
    <x:row r="879">
      <x:c r="A879" s="49" t="str">
        <x:v>2025-26</x:v>
      </x:c>
      <x:c r="B879" s="63" t="n">
        <x:v>4167</x:v>
      </x:c>
      <x:c r="C879" s="49" t="str">
        <x:v>Yeshwantrao Chavan College of Engineering,Wanadongri, Nagpur</x:v>
      </x:c>
      <x:c r="D879" s="72" t="n">
        <x:v>416719110</x:v>
      </x:c>
      <x:c r="E879" s="49" t="str">
        <x:v>Civil Engineering</x:v>
      </x:c>
      <x:c r="F879" s="73" t="n">
        <x:v>25</x:v>
      </x:c>
      <x:c r="G879" s="73" t="n">
        <x:v>19</x:v>
      </x:c>
      <x:c r="H879" s="73" t="n">
        <x:v>6</x:v>
      </x:c>
      <x:c r="I879" s="73"/>
      <x:c r="J879" s="73" t="n">
        <x:v>0</x:v>
      </x:c>
      <x:c r="K879" s="49" t="str">
        <x:v>Un-Aided Autonomous</x:v>
      </x:c>
      <x:c r="L879" s="49" t="str">
        <x:v>MS Seats : 19+ EWS : 6</x:v>
      </x:c>
      <x:c r="M879" s="49" t="str">
        <x:v>https://dse2025.mahacet.org.in/dse25/admin/allotment/cap2/4167_4.pdf</x:v>
      </x:c>
    </x:row>
    <x:row r="880">
      <x:c r="A880" s="49" t="str">
        <x:v>2025-26</x:v>
      </x:c>
      <x:c r="B880" s="63" t="n">
        <x:v>4167</x:v>
      </x:c>
      <x:c r="C880" s="49" t="str">
        <x:v>Yeshwantrao Chavan College of Engineering,Wanadongri, Nagpur</x:v>
      </x:c>
      <x:c r="D880" s="72" t="n">
        <x:v>416724210</x:v>
      </x:c>
      <x:c r="E880" s="49" t="str">
        <x:v>Computer Science and Engineering</x:v>
      </x:c>
      <x:c r="F880" s="73" t="n">
        <x:v>25</x:v>
      </x:c>
      <x:c r="G880" s="73" t="n">
        <x:v>21</x:v>
      </x:c>
      <x:c r="H880" s="73" t="n">
        <x:v>4</x:v>
      </x:c>
      <x:c r="I880" s="73"/>
      <x:c r="J880" s="73" t="n">
        <x:v>0</x:v>
      </x:c>
      <x:c r="K880" s="49" t="str">
        <x:v>Un-Aided Autonomous</x:v>
      </x:c>
      <x:c r="L880" s="49" t="str">
        <x:v>MS Seats : 21+ EWS : 4</x:v>
      </x:c>
      <x:c r="M880" s="49" t="str">
        <x:v>https://dse2025.mahacet.org.in/dse25/admin/allotment/cap2/4167_4.pdf</x:v>
      </x:c>
    </x:row>
    <x:row r="881">
      <x:c r="A881" s="49" t="str">
        <x:v>2025-26</x:v>
      </x:c>
      <x:c r="B881" s="63" t="n">
        <x:v>4167</x:v>
      </x:c>
      <x:c r="C881" s="49" t="str">
        <x:v>Yeshwantrao Chavan College of Engineering,Wanadongri, Nagpur</x:v>
      </x:c>
      <x:c r="D881" s="72" t="n">
        <x:v>416724610</x:v>
      </x:c>
      <x:c r="E881" s="49" t="str">
        <x:v>Information Technology</x:v>
      </x:c>
      <x:c r="F881" s="73" t="n">
        <x:v>23</x:v>
      </x:c>
      <x:c r="G881" s="73" t="n">
        <x:v>21</x:v>
      </x:c>
      <x:c r="H881" s="73" t="n">
        <x:v>2</x:v>
      </x:c>
      <x:c r="I881" s="73"/>
      <x:c r="J881" s="73" t="n">
        <x:v>0</x:v>
      </x:c>
      <x:c r="K881" s="49" t="str">
        <x:v>Un-Aided Autonomous</x:v>
      </x:c>
      <x:c r="L881" s="49" t="str">
        <x:v>MS Seats : 21+ EWS : 2</x:v>
      </x:c>
      <x:c r="M881" s="49" t="str">
        <x:v>https://dse2025.mahacet.org.in/dse25/admin/allotment/cap2/4167_4.pdf</x:v>
      </x:c>
    </x:row>
    <x:row r="882">
      <x:c r="A882" s="49" t="str">
        <x:v>2025-26</x:v>
      </x:c>
      <x:c r="B882" s="63" t="n">
        <x:v>4167</x:v>
      </x:c>
      <x:c r="C882" s="49" t="str">
        <x:v>Yeshwantrao Chavan College of Engineering,Wanadongri, Nagpur</x:v>
      </x:c>
      <x:c r="D882" s="72" t="n">
        <x:v>416725110</x:v>
      </x:c>
      <x:c r="E882" s="49" t="str">
        <x:v>Computer Technology</x:v>
      </x:c>
      <x:c r="F882" s="73" t="n">
        <x:v>16</x:v>
      </x:c>
      <x:c r="G882" s="73" t="n">
        <x:v>13</x:v>
      </x:c>
      <x:c r="H882" s="73" t="n">
        <x:v>3</x:v>
      </x:c>
      <x:c r="I882" s="73"/>
      <x:c r="J882" s="73" t="n">
        <x:v>0</x:v>
      </x:c>
      <x:c r="K882" s="49" t="str">
        <x:v>Un-Aided Autonomous</x:v>
      </x:c>
      <x:c r="L882" s="49" t="str">
        <x:v>MS Seats : 13+ EWS : 3</x:v>
      </x:c>
      <x:c r="M882" s="49" t="str">
        <x:v>https://dse2025.mahacet.org.in/dse25/admin/allotment/cap2/4167_4.pdf</x:v>
      </x:c>
    </x:row>
    <x:row r="883">
      <x:c r="A883" s="49" t="str">
        <x:v>2025-26</x:v>
      </x:c>
      <x:c r="B883" s="63" t="n">
        <x:v>4167</x:v>
      </x:c>
      <x:c r="C883" s="49" t="str">
        <x:v>Yeshwantrao Chavan College of Engineering,Wanadongri, Nagpur</x:v>
      </x:c>
      <x:c r="D883" s="72" t="n">
        <x:v>416725710</x:v>
      </x:c>
      <x:c r="E883" s="49" t="str">
        <x:v>Computer Science and Design</x:v>
      </x:c>
      <x:c r="F883" s="73" t="n">
        <x:v>9</x:v>
      </x:c>
      <x:c r="G883" s="73" t="n">
        <x:v>7</x:v>
      </x:c>
      <x:c r="H883" s="73" t="n">
        <x:v>2</x:v>
      </x:c>
      <x:c r="I883" s="73"/>
      <x:c r="J883" s="73" t="n">
        <x:v>0</x:v>
      </x:c>
      <x:c r="K883" s="49" t="str">
        <x:v>Un-Aided Autonomous</x:v>
      </x:c>
      <x:c r="L883" s="49" t="str">
        <x:v>MS Seats : 7+ EWS : 2</x:v>
      </x:c>
      <x:c r="M883" s="49" t="str">
        <x:v>https://dse2025.mahacet.org.in/dse25/admin/allotment/cap2/4167_4.pdf</x:v>
      </x:c>
    </x:row>
    <x:row r="884">
      <x:c r="A884" s="49" t="str">
        <x:v>2025-26</x:v>
      </x:c>
      <x:c r="B884" s="63" t="n">
        <x:v>4167</x:v>
      </x:c>
      <x:c r="C884" s="49" t="str">
        <x:v>Yeshwantrao Chavan College of Engineering,Wanadongri, Nagpur</x:v>
      </x:c>
      <x:c r="D884" s="72" t="n">
        <x:v>416726710</x:v>
      </x:c>
      <x:c r="E884" s="49" t="str">
        <x:v>Computer Science and Engineering (IoT)</x:v>
      </x:c>
      <x:c r="F884" s="73" t="n">
        <x:v>8</x:v>
      </x:c>
      <x:c r="G884" s="73" t="n">
        <x:v>7</x:v>
      </x:c>
      <x:c r="H884" s="73" t="n">
        <x:v>1</x:v>
      </x:c>
      <x:c r="I884" s="73"/>
      <x:c r="J884" s="73" t="n">
        <x:v>0</x:v>
      </x:c>
      <x:c r="K884" s="49" t="str">
        <x:v>Un-Aided Autonomous</x:v>
      </x:c>
      <x:c r="L884" s="49" t="str">
        <x:v>MS Seats : 7+ EWS : 1</x:v>
      </x:c>
      <x:c r="M884" s="49" t="str">
        <x:v>https://dse2025.mahacet.org.in/dse25/admin/allotment/cap2/4167_4.pdf</x:v>
      </x:c>
    </x:row>
    <x:row r="885">
      <x:c r="A885" s="49" t="str">
        <x:v>2025-26</x:v>
      </x:c>
      <x:c r="B885" s="63" t="n">
        <x:v>4167</x:v>
      </x:c>
      <x:c r="C885" s="49" t="str">
        <x:v>Yeshwantrao Chavan College of Engineering,Wanadongri, Nagpur</x:v>
      </x:c>
      <x:c r="D885" s="72" t="n">
        <x:v>416735610</x:v>
      </x:c>
      <x:c r="E885" s="49" t="str">
        <x:v>Electrical Engg[Electronics and Power]</x:v>
      </x:c>
      <x:c r="F885" s="73" t="n">
        <x:v>26</x:v>
      </x:c>
      <x:c r="G885" s="73" t="n">
        <x:v>21</x:v>
      </x:c>
      <x:c r="H885" s="73" t="n">
        <x:v>5</x:v>
      </x:c>
      <x:c r="I885" s="73"/>
      <x:c r="J885" s="73" t="n">
        <x:v>0</x:v>
      </x:c>
      <x:c r="K885" s="49" t="str">
        <x:v>Un-Aided Autonomous</x:v>
      </x:c>
      <x:c r="L885" s="49" t="str">
        <x:v>MS Seats : 21+ EWS : 5</x:v>
      </x:c>
      <x:c r="M885" s="49" t="str">
        <x:v>https://dse2025.mahacet.org.in/dse25/admin/allotment/cap2/4167_4.pdf</x:v>
      </x:c>
    </x:row>
    <x:row r="886">
      <x:c r="A886" s="49" t="str">
        <x:v>2025-26</x:v>
      </x:c>
      <x:c r="B886" s="63" t="n">
        <x:v>4167</x:v>
      </x:c>
      <x:c r="C886" s="49" t="str">
        <x:v>Yeshwantrao Chavan College of Engineering,Wanadongri, Nagpur</x:v>
      </x:c>
      <x:c r="D886" s="72" t="n">
        <x:v>416737210</x:v>
      </x:c>
      <x:c r="E886" s="49" t="str">
        <x:v>Electronics and Telecommunication Engg</x:v>
      </x:c>
      <x:c r="F886" s="73" t="n">
        <x:v>26</x:v>
      </x:c>
      <x:c r="G886" s="73" t="n">
        <x:v>21</x:v>
      </x:c>
      <x:c r="H886" s="73" t="n">
        <x:v>5</x:v>
      </x:c>
      <x:c r="I886" s="73"/>
      <x:c r="J886" s="73" t="n">
        <x:v>0</x:v>
      </x:c>
      <x:c r="K886" s="49" t="str">
        <x:v>Un-Aided Autonomous</x:v>
      </x:c>
      <x:c r="L886" s="49" t="str">
        <x:v>MS Seats : 21+ EWS : 5</x:v>
      </x:c>
      <x:c r="M886" s="49" t="str">
        <x:v>https://dse2025.mahacet.org.in/dse25/admin/allotment/cap2/4167_4.pdf</x:v>
      </x:c>
    </x:row>
    <x:row r="887">
      <x:c r="A887" s="49" t="str">
        <x:v>2025-26</x:v>
      </x:c>
      <x:c r="B887" s="63" t="n">
        <x:v>4167</x:v>
      </x:c>
      <x:c r="C887" s="49" t="str">
        <x:v>Yeshwantrao Chavan College of Engineering,Wanadongri, Nagpur</x:v>
      </x:c>
      <x:c r="D887" s="72" t="n">
        <x:v>416737610</x:v>
      </x:c>
      <x:c r="E887" s="49" t="str">
        <x:v>Electronics Engineering</x:v>
      </x:c>
      <x:c r="F887" s="73" t="n">
        <x:v>16</x:v>
      </x:c>
      <x:c r="G887" s="73" t="n">
        <x:v>13</x:v>
      </x:c>
      <x:c r="H887" s="73" t="n">
        <x:v>3</x:v>
      </x:c>
      <x:c r="I887" s="73"/>
      <x:c r="J887" s="73" t="n">
        <x:v>0</x:v>
      </x:c>
      <x:c r="K887" s="49" t="str">
        <x:v>Un-Aided Autonomous</x:v>
      </x:c>
      <x:c r="L887" s="49" t="str">
        <x:v>MS Seats : 13+ EWS : 3</x:v>
      </x:c>
      <x:c r="M887" s="49" t="str">
        <x:v>https://dse2025.mahacet.org.in/dse25/admin/allotment/cap2/4167_4.pdf</x:v>
      </x:c>
    </x:row>
    <x:row r="888">
      <x:c r="A888" s="49" t="str">
        <x:v>2025-26</x:v>
      </x:c>
      <x:c r="B888" s="63" t="n">
        <x:v>4167</x:v>
      </x:c>
      <x:c r="C888" s="49" t="str">
        <x:v>Yeshwantrao Chavan College of Engineering,Wanadongri, Nagpur</x:v>
      </x:c>
      <x:c r="D888" s="72" t="n">
        <x:v>416737810</x:v>
      </x:c>
      <x:c r="E888" s="49" t="str">
        <x:v>Electronics Engineering ( VLSI Design and Technology)</x:v>
      </x:c>
      <x:c r="F888" s="73" t="n">
        <x:v>8</x:v>
      </x:c>
      <x:c r="G888" s="73" t="n">
        <x:v>7</x:v>
      </x:c>
      <x:c r="H888" s="73" t="n">
        <x:v>1</x:v>
      </x:c>
      <x:c r="I888" s="73"/>
      <x:c r="J888" s="73" t="n">
        <x:v>0</x:v>
      </x:c>
      <x:c r="K888" s="49" t="str">
        <x:v>Un-Aided Autonomous</x:v>
      </x:c>
      <x:c r="L888" s="49" t="str">
        <x:v>MS Seats : 7+ EWS : 1</x:v>
      </x:c>
      <x:c r="M888" s="49" t="str">
        <x:v>https://dse2025.mahacet.org.in/dse25/admin/allotment/cap2/4167_4.pdf</x:v>
      </x:c>
    </x:row>
    <x:row r="889">
      <x:c r="A889" s="49" t="str">
        <x:v>2025-26</x:v>
      </x:c>
      <x:c r="B889" s="63" t="n">
        <x:v>4167</x:v>
      </x:c>
      <x:c r="C889" s="49" t="str">
        <x:v>Yeshwantrao Chavan College of Engineering,Wanadongri, Nagpur</x:v>
      </x:c>
      <x:c r="D889" s="72" t="n">
        <x:v>416761210</x:v>
      </x:c>
      <x:c r="E889" s="49" t="str">
        <x:v>Mechanical Engineering</x:v>
      </x:c>
      <x:c r="F889" s="73" t="n">
        <x:v>27</x:v>
      </x:c>
      <x:c r="G889" s="73" t="n">
        <x:v>23</x:v>
      </x:c>
      <x:c r="H889" s="73" t="n">
        <x:v>4</x:v>
      </x:c>
      <x:c r="I889" s="73"/>
      <x:c r="J889" s="73" t="n">
        <x:v>0</x:v>
      </x:c>
      <x:c r="K889" s="49" t="str">
        <x:v>Un-Aided Autonomous</x:v>
      </x:c>
      <x:c r="L889" s="49" t="str">
        <x:v>MS Seats : 23+ EWS : 4</x:v>
      </x:c>
      <x:c r="M889" s="49" t="str">
        <x:v>https://dse2025.mahacet.org.in/dse25/admin/allotment/cap2/4167_4.pdf</x:v>
      </x:c>
    </x:row>
    <x:row r="890">
      <x:c r="A890" s="49" t="str">
        <x:v>2025-26</x:v>
      </x:c>
      <x:c r="B890" s="63" t="n">
        <x:v>4167</x:v>
      </x:c>
      <x:c r="C890" s="49" t="str">
        <x:v>Yeshwantrao Chavan College of Engineering,Wanadongri, Nagpur</x:v>
      </x:c>
      <x:c r="D890" s="72" t="n">
        <x:v>416791110</x:v>
      </x:c>
      <x:c r="E890" s="49" t="str">
        <x:v>Computer Science and Engineering(Artificial Intelligence and Machine Learning)</x:v>
      </x:c>
      <x:c r="F890" s="73" t="n">
        <x:v>9</x:v>
      </x:c>
      <x:c r="G890" s="73" t="n">
        <x:v>7</x:v>
      </x:c>
      <x:c r="H890" s="73" t="n">
        <x:v>2</x:v>
      </x:c>
      <x:c r="I890" s="73"/>
      <x:c r="J890" s="73" t="n">
        <x:v>0</x:v>
      </x:c>
      <x:c r="K890" s="49" t="str">
        <x:v>Un-Aided Autonomous</x:v>
      </x:c>
      <x:c r="L890" s="49" t="str">
        <x:v>MS Seats : 7+ EWS : 2</x:v>
      </x:c>
      <x:c r="M890" s="49" t="str">
        <x:v>https://dse2025.mahacet.org.in/dse25/admin/allotment/cap2/4167_4.pdf</x:v>
      </x:c>
    </x:row>
    <x:row r="891">
      <x:c r="A891" s="49" t="str">
        <x:v>2025-26</x:v>
      </x:c>
      <x:c r="B891" s="63" t="n">
        <x:v>4167</x:v>
      </x:c>
      <x:c r="C891" s="49" t="str">
        <x:v>Yeshwantrao Chavan College of Engineering,Wanadongri, Nagpur</x:v>
      </x:c>
      <x:c r="D891" s="72" t="n">
        <x:v>416799510</x:v>
      </x:c>
      <x:c r="E891" s="49" t="str">
        <x:v>Artificial Intelligence and Data Science</x:v>
      </x:c>
      <x:c r="F891" s="73" t="n">
        <x:v>15</x:v>
      </x:c>
      <x:c r="G891" s="73" t="n">
        <x:v>13</x:v>
      </x:c>
      <x:c r="H891" s="73" t="n">
        <x:v>2</x:v>
      </x:c>
      <x:c r="I891" s="73"/>
      <x:c r="J891" s="73" t="n">
        <x:v>0</x:v>
      </x:c>
      <x:c r="K891" s="49" t="str">
        <x:v>Un-Aided Autonomous</x:v>
      </x:c>
      <x:c r="L891" s="49" t="str">
        <x:v>MS Seats : 13+ EWS : 2</x:v>
      </x:c>
      <x:c r="M891" s="49" t="str">
        <x:v>https://dse2025.mahacet.org.in/dse25/admin/allotment/cap2/4167_4.pdf</x:v>
      </x:c>
    </x:row>
    <x:row r="892">
      <x:c r="A892" s="49" t="str">
        <x:v>2025-26</x:v>
      </x:c>
      <x:c r="B892" s="63" t="n">
        <x:v>4172</x:v>
      </x:c>
      <x:c r="C892" s="49" t="str">
        <x:v>Anjuman College of Engineering &amp; Technology, Nagpur</x:v>
      </x:c>
      <x:c r="D892" s="72" t="n">
        <x:v>417219110</x:v>
      </x:c>
      <x:c r="E892" s="49" t="str">
        <x:v>Civil Engineering</x:v>
      </x:c>
      <x:c r="F892" s="73" t="n">
        <x:v>14</x:v>
      </x:c>
      <x:c r="G892" s="73" t="n">
        <x:v>6</x:v>
      </x:c>
      <x:c r="H892" s="73"/>
      <x:c r="I892" s="73" t="n">
        <x:v>8</x:v>
      </x:c>
      <x:c r="J892" s="73" t="n">
        <x:v>0</x:v>
      </x:c>
      <x:c r="K892" s="49" t="str">
        <x:v>Un-Aided Religious Minority - Muslim</x:v>
      </x:c>
      <x:c r="L892" s="49" t="str">
        <x:v>MS Seats : 6 + Minority Seats : 8</x:v>
      </x:c>
      <x:c r="M892" s="49" t="str">
        <x:v>https://dse2025.mahacet.org.in/dse25/admin/allotment/cap2/4172_4.pdf</x:v>
      </x:c>
    </x:row>
    <x:row r="893">
      <x:c r="A893" s="49" t="str">
        <x:v>2025-26</x:v>
      </x:c>
      <x:c r="B893" s="63" t="n">
        <x:v>4172</x:v>
      </x:c>
      <x:c r="C893" s="49" t="str">
        <x:v>Anjuman College of Engineering &amp; Technology, Nagpur</x:v>
      </x:c>
      <x:c r="D893" s="72" t="n">
        <x:v>417224210</x:v>
      </x:c>
      <x:c r="E893" s="49" t="str">
        <x:v>Computer Science and Engineering</x:v>
      </x:c>
      <x:c r="F893" s="73" t="n">
        <x:v>15</x:v>
      </x:c>
      <x:c r="G893" s="73" t="n">
        <x:v>7</x:v>
      </x:c>
      <x:c r="H893" s="73"/>
      <x:c r="I893" s="73" t="n">
        <x:v>8</x:v>
      </x:c>
      <x:c r="J893" s="73" t="n">
        <x:v>0</x:v>
      </x:c>
      <x:c r="K893" s="49" t="str">
        <x:v>Un-Aided Religious Minority - Muslim</x:v>
      </x:c>
      <x:c r="L893" s="49" t="str">
        <x:v>MS Seats : 7 + Minority Seats : 8</x:v>
      </x:c>
      <x:c r="M893" s="49" t="str">
        <x:v>https://dse2025.mahacet.org.in/dse25/admin/allotment/cap2/4172_4.pdf</x:v>
      </x:c>
    </x:row>
    <x:row r="894">
      <x:c r="A894" s="49" t="str">
        <x:v>2025-26</x:v>
      </x:c>
      <x:c r="B894" s="63" t="n">
        <x:v>4172</x:v>
      </x:c>
      <x:c r="C894" s="49" t="str">
        <x:v>Anjuman College of Engineering &amp; Technology, Nagpur</x:v>
      </x:c>
      <x:c r="D894" s="72" t="n">
        <x:v>417226310</x:v>
      </x:c>
      <x:c r="E894" s="49" t="str">
        <x:v>Artificial Intelligence (AI) and Data Science</x:v>
      </x:c>
      <x:c r="F894" s="73" t="n">
        <x:v>6</x:v>
      </x:c>
      <x:c r="G894" s="73" t="n">
        <x:v>2</x:v>
      </x:c>
      <x:c r="H894" s="73"/>
      <x:c r="I894" s="73" t="n">
        <x:v>4</x:v>
      </x:c>
      <x:c r="J894" s="73" t="n">
        <x:v>0</x:v>
      </x:c>
      <x:c r="K894" s="49" t="str">
        <x:v>Un-Aided Religious Minority - Muslim</x:v>
      </x:c>
      <x:c r="L894" s="49" t="str">
        <x:v>MS Seats : 2 + Minority Seats : 4</x:v>
      </x:c>
      <x:c r="M894" s="49" t="str">
        <x:v>https://dse2025.mahacet.org.in/dse25/admin/allotment/cap2/4172_4.pdf</x:v>
      </x:c>
    </x:row>
    <x:row r="895">
      <x:c r="A895" s="49" t="str">
        <x:v>2025-26</x:v>
      </x:c>
      <x:c r="B895" s="63" t="n">
        <x:v>4172</x:v>
      </x:c>
      <x:c r="C895" s="49" t="str">
        <x:v>Anjuman College of Engineering &amp; Technology, Nagpur</x:v>
      </x:c>
      <x:c r="D895" s="72" t="n">
        <x:v>417229310</x:v>
      </x:c>
      <x:c r="E895" s="49" t="str">
        <x:v>Electrical Engineering</x:v>
      </x:c>
      <x:c r="F895" s="73" t="n">
        <x:v>8</x:v>
      </x:c>
      <x:c r="G895" s="73" t="n">
        <x:v>3</x:v>
      </x:c>
      <x:c r="H895" s="73"/>
      <x:c r="I895" s="73" t="n">
        <x:v>5</x:v>
      </x:c>
      <x:c r="J895" s="73" t="n">
        <x:v>0</x:v>
      </x:c>
      <x:c r="K895" s="49" t="str">
        <x:v>Un-Aided Religious Minority - Muslim</x:v>
      </x:c>
      <x:c r="L895" s="49" t="str">
        <x:v>MS Seats : 3 + Minority Seats : 5</x:v>
      </x:c>
      <x:c r="M895" s="49" t="str">
        <x:v>https://dse2025.mahacet.org.in/dse25/admin/allotment/cap2/4172_4.pdf</x:v>
      </x:c>
    </x:row>
    <x:row r="896">
      <x:c r="A896" s="49" t="str">
        <x:v>2025-26</x:v>
      </x:c>
      <x:c r="B896" s="63" t="n">
        <x:v>4172</x:v>
      </x:c>
      <x:c r="C896" s="49" t="str">
        <x:v>Anjuman College of Engineering &amp; Technology, Nagpur</x:v>
      </x:c>
      <x:c r="D896" s="72" t="n">
        <x:v>417237210</x:v>
      </x:c>
      <x:c r="E896" s="49" t="str">
        <x:v>Electronics and Telecommunication Engg</x:v>
      </x:c>
      <x:c r="F896" s="73" t="n">
        <x:v>7</x:v>
      </x:c>
      <x:c r="G896" s="73" t="n">
        <x:v>3</x:v>
      </x:c>
      <x:c r="H896" s="73"/>
      <x:c r="I896" s="73" t="n">
        <x:v>4</x:v>
      </x:c>
      <x:c r="J896" s="73" t="n">
        <x:v>0</x:v>
      </x:c>
      <x:c r="K896" s="49" t="str">
        <x:v>Un-Aided Religious Minority - Muslim</x:v>
      </x:c>
      <x:c r="L896" s="49" t="str">
        <x:v>MS Seats : 3 + Minority Seats : 4</x:v>
      </x:c>
      <x:c r="M896" s="49" t="str">
        <x:v>https://dse2025.mahacet.org.in/dse25/admin/allotment/cap2/4172_4.pdf</x:v>
      </x:c>
    </x:row>
    <x:row r="897">
      <x:c r="A897" s="49" t="str">
        <x:v>2025-26</x:v>
      </x:c>
      <x:c r="B897" s="63" t="n">
        <x:v>4172</x:v>
      </x:c>
      <x:c r="C897" s="49" t="str">
        <x:v>Anjuman College of Engineering &amp; Technology, Nagpur</x:v>
      </x:c>
      <x:c r="D897" s="72" t="n">
        <x:v>417261210</x:v>
      </x:c>
      <x:c r="E897" s="49" t="str">
        <x:v>Mechanical Engineering</x:v>
      </x:c>
      <x:c r="F897" s="73" t="n">
        <x:v>14</x:v>
      </x:c>
      <x:c r="G897" s="73" t="n">
        <x:v>6</x:v>
      </x:c>
      <x:c r="H897" s="73"/>
      <x:c r="I897" s="73" t="n">
        <x:v>8</x:v>
      </x:c>
      <x:c r="J897" s="73" t="n">
        <x:v>0</x:v>
      </x:c>
      <x:c r="K897" s="49" t="str">
        <x:v>Un-Aided Religious Minority - Muslim</x:v>
      </x:c>
      <x:c r="L897" s="49" t="str">
        <x:v>MS Seats : 6 + Minority Seats : 8</x:v>
      </x:c>
      <x:c r="M897" s="49" t="str">
        <x:v>https://dse2025.mahacet.org.in/dse25/admin/allotment/cap2/4172_4.pdf</x:v>
      </x:c>
    </x:row>
    <x:row r="898">
      <x:c r="A898" s="49" t="str">
        <x:v>2025-26</x:v>
      </x:c>
      <x:c r="B898" s="63" t="n">
        <x:v>4174</x:v>
      </x:c>
      <x:c r="C898" s="49" t="str">
        <x:v>ST. Vincent Pallotti College of Engineering &amp; Technology, Nagpur</x:v>
      </x:c>
      <x:c r="D898" s="72" t="n">
        <x:v>417419110</x:v>
      </x:c>
      <x:c r="E898" s="49" t="str">
        <x:v>Civil Engineering</x:v>
      </x:c>
      <x:c r="F898" s="73" t="n">
        <x:v>10</x:v>
      </x:c>
      <x:c r="G898" s="73" t="n">
        <x:v>4</x:v>
      </x:c>
      <x:c r="H898" s="73"/>
      <x:c r="I898" s="73" t="n">
        <x:v>6</x:v>
      </x:c>
      <x:c r="J898" s="73" t="n">
        <x:v>0</x:v>
      </x:c>
      <x:c r="K898" s="49" t="str">
        <x:v>Un-Aided Autonomous Religious Minority - Christian</x:v>
      </x:c>
      <x:c r="L898" s="49" t="str">
        <x:v>MS Seats : 4 + Minority Seats : 6</x:v>
      </x:c>
      <x:c r="M898" s="49" t="str">
        <x:v>https://dse2025.mahacet.org.in/dse25/admin/allotment/cap2/4174_4.pdf</x:v>
      </x:c>
    </x:row>
    <x:row r="899">
      <x:c r="A899" s="49" t="str">
        <x:v>2025-26</x:v>
      </x:c>
      <x:c r="B899" s="63" t="n">
        <x:v>4174</x:v>
      </x:c>
      <x:c r="C899" s="49" t="str">
        <x:v>ST. Vincent Pallotti College of Engineering &amp; Technology, Nagpur</x:v>
      </x:c>
      <x:c r="D899" s="72" t="n">
        <x:v>417424510</x:v>
      </x:c>
      <x:c r="E899" s="49" t="str">
        <x:v>Computer Engineering</x:v>
      </x:c>
      <x:c r="F899" s="73" t="n">
        <x:v>12</x:v>
      </x:c>
      <x:c r="G899" s="73" t="n">
        <x:v>5</x:v>
      </x:c>
      <x:c r="H899" s="73"/>
      <x:c r="I899" s="73" t="n">
        <x:v>7</x:v>
      </x:c>
      <x:c r="J899" s="73" t="n">
        <x:v>0</x:v>
      </x:c>
      <x:c r="K899" s="49" t="str">
        <x:v>Un-Aided Autonomous Religious Minority - Christian</x:v>
      </x:c>
      <x:c r="L899" s="49" t="str">
        <x:v>MS Seats : 5 + Minority Seats : 7</x:v>
      </x:c>
      <x:c r="M899" s="49" t="str">
        <x:v>https://dse2025.mahacet.org.in/dse25/admin/allotment/cap2/4174_4.pdf</x:v>
      </x:c>
    </x:row>
    <x:row r="900">
      <x:c r="A900" s="49" t="str">
        <x:v>2025-26</x:v>
      </x:c>
      <x:c r="B900" s="63" t="n">
        <x:v>4174</x:v>
      </x:c>
      <x:c r="C900" s="49" t="str">
        <x:v>ST. Vincent Pallotti College of Engineering &amp; Technology, Nagpur</x:v>
      </x:c>
      <x:c r="D900" s="72" t="n">
        <x:v>417424610</x:v>
      </x:c>
      <x:c r="E900" s="49" t="str">
        <x:v>Information Technology</x:v>
      </x:c>
      <x:c r="F900" s="73" t="n">
        <x:v>6</x:v>
      </x:c>
      <x:c r="G900" s="73" t="n">
        <x:v>2</x:v>
      </x:c>
      <x:c r="H900" s="73"/>
      <x:c r="I900" s="73" t="n">
        <x:v>4</x:v>
      </x:c>
      <x:c r="J900" s="73" t="n">
        <x:v>0</x:v>
      </x:c>
      <x:c r="K900" s="49" t="str">
        <x:v>Un-Aided Autonomous Religious Minority - Christian</x:v>
      </x:c>
      <x:c r="L900" s="49" t="str">
        <x:v>MS Seats : 2 + Minority Seats : 4</x:v>
      </x:c>
      <x:c r="M900" s="49" t="str">
        <x:v>https://dse2025.mahacet.org.in/dse25/admin/allotment/cap2/4174_4.pdf</x:v>
      </x:c>
    </x:row>
    <x:row r="901">
      <x:c r="A901" s="49" t="str">
        <x:v>2025-26</x:v>
      </x:c>
      <x:c r="B901" s="63" t="n">
        <x:v>4174</x:v>
      </x:c>
      <x:c r="C901" s="49" t="str">
        <x:v>ST. Vincent Pallotti College of Engineering &amp; Technology, Nagpur</x:v>
      </x:c>
      <x:c r="D901" s="72" t="n">
        <x:v>417426010</x:v>
      </x:c>
      <x:c r="E901" s="49" t="str">
        <x:v>Computer Science and Engineering (Cyber Security)</x:v>
      </x:c>
      <x:c r="F901" s="73" t="n">
        <x:v>6</x:v>
      </x:c>
      <x:c r="G901" s="73" t="n">
        <x:v>2</x:v>
      </x:c>
      <x:c r="H901" s="73"/>
      <x:c r="I901" s="73" t="n">
        <x:v>4</x:v>
      </x:c>
      <x:c r="J901" s="73" t="n">
        <x:v>0</x:v>
      </x:c>
      <x:c r="K901" s="49" t="str">
        <x:v>Un-Aided Autonomous Religious Minority - Christian</x:v>
      </x:c>
      <x:c r="L901" s="49" t="str">
        <x:v>MS Seats : 2 + Minority Seats : 4</x:v>
      </x:c>
      <x:c r="M901" s="49" t="str">
        <x:v>https://dse2025.mahacet.org.in/dse25/admin/allotment/cap2/4174_4.pdf</x:v>
      </x:c>
    </x:row>
    <x:row r="902">
      <x:c r="A902" s="49" t="str">
        <x:v>2025-26</x:v>
      </x:c>
      <x:c r="B902" s="63" t="n">
        <x:v>4174</x:v>
      </x:c>
      <x:c r="C902" s="49" t="str">
        <x:v>ST. Vincent Pallotti College of Engineering &amp; Technology, Nagpur</x:v>
      </x:c>
      <x:c r="D902" s="72" t="n">
        <x:v>417426210</x:v>
      </x:c>
      <x:c r="E902" s="49" t="str">
        <x:v>Computer Science and Business Systems</x:v>
      </x:c>
      <x:c r="F902" s="73" t="n">
        <x:v>6</x:v>
      </x:c>
      <x:c r="G902" s="73" t="n">
        <x:v>2</x:v>
      </x:c>
      <x:c r="H902" s="73"/>
      <x:c r="I902" s="73" t="n">
        <x:v>4</x:v>
      </x:c>
      <x:c r="J902" s="73" t="n">
        <x:v>0</x:v>
      </x:c>
      <x:c r="K902" s="49" t="str">
        <x:v>Un-Aided Autonomous Religious Minority - Christian</x:v>
      </x:c>
      <x:c r="L902" s="49" t="str">
        <x:v>MS Seats : 2 + Minority Seats : 4</x:v>
      </x:c>
      <x:c r="M902" s="49" t="str">
        <x:v>https://dse2025.mahacet.org.in/dse25/admin/allotment/cap2/4174_4.pdf</x:v>
      </x:c>
    </x:row>
    <x:row r="903">
      <x:c r="A903" s="49" t="str">
        <x:v>2025-26</x:v>
      </x:c>
      <x:c r="B903" s="63" t="n">
        <x:v>4174</x:v>
      </x:c>
      <x:c r="C903" s="49" t="str">
        <x:v>ST. Vincent Pallotti College of Engineering &amp; Technology, Nagpur</x:v>
      </x:c>
      <x:c r="D903" s="72" t="n">
        <x:v>417426510</x:v>
      </x:c>
      <x:c r="E903" s="49" t="str">
        <x:v>Industrial IoT</x:v>
      </x:c>
      <x:c r="F903" s="73" t="n">
        <x:v>7</x:v>
      </x:c>
      <x:c r="G903" s="73" t="n">
        <x:v>3</x:v>
      </x:c>
      <x:c r="H903" s="73"/>
      <x:c r="I903" s="73" t="n">
        <x:v>4</x:v>
      </x:c>
      <x:c r="J903" s="73" t="n">
        <x:v>0</x:v>
      </x:c>
      <x:c r="K903" s="49" t="str">
        <x:v>Un-Aided Autonomous Religious Minority - Christian</x:v>
      </x:c>
      <x:c r="L903" s="49" t="str">
        <x:v>MS Seats : 3 + Minority Seats : 4</x:v>
      </x:c>
      <x:c r="M903" s="49" t="str">
        <x:v>https://dse2025.mahacet.org.in/dse25/admin/allotment/cap2/4174_4.pdf</x:v>
      </x:c>
    </x:row>
    <x:row r="904">
      <x:c r="A904" s="49" t="str">
        <x:v>2025-26</x:v>
      </x:c>
      <x:c r="B904" s="63" t="n">
        <x:v>4174</x:v>
      </x:c>
      <x:c r="C904" s="49" t="str">
        <x:v>ST. Vincent Pallotti College of Engineering &amp; Technology, Nagpur</x:v>
      </x:c>
      <x:c r="D904" s="72" t="n">
        <x:v>417429310</x:v>
      </x:c>
      <x:c r="E904" s="49" t="str">
        <x:v>Electrical Engineering</x:v>
      </x:c>
      <x:c r="F904" s="73" t="n">
        <x:v>8</x:v>
      </x:c>
      <x:c r="G904" s="73" t="n">
        <x:v>3</x:v>
      </x:c>
      <x:c r="H904" s="73"/>
      <x:c r="I904" s="73" t="n">
        <x:v>5</x:v>
      </x:c>
      <x:c r="J904" s="73" t="n">
        <x:v>0</x:v>
      </x:c>
      <x:c r="K904" s="49" t="str">
        <x:v>Un-Aided Autonomous Religious Minority - Christian</x:v>
      </x:c>
      <x:c r="L904" s="49" t="str">
        <x:v>MS Seats : 3 + Minority Seats : 5</x:v>
      </x:c>
      <x:c r="M904" s="49" t="str">
        <x:v>https://dse2025.mahacet.org.in/dse25/admin/allotment/cap2/4174_4.pdf</x:v>
      </x:c>
    </x:row>
    <x:row r="905">
      <x:c r="A905" s="49" t="str">
        <x:v>2025-26</x:v>
      </x:c>
      <x:c r="B905" s="63" t="n">
        <x:v>4174</x:v>
      </x:c>
      <x:c r="C905" s="49" t="str">
        <x:v>ST. Vincent Pallotti College of Engineering &amp; Technology, Nagpur</x:v>
      </x:c>
      <x:c r="D905" s="72" t="n">
        <x:v>417437210</x:v>
      </x:c>
      <x:c r="E905" s="49" t="str">
        <x:v>Electronics and Telecommunication Engg</x:v>
      </x:c>
      <x:c r="F905" s="73" t="n">
        <x:v>6</x:v>
      </x:c>
      <x:c r="G905" s="73" t="n">
        <x:v>2</x:v>
      </x:c>
      <x:c r="H905" s="73"/>
      <x:c r="I905" s="73" t="n">
        <x:v>4</x:v>
      </x:c>
      <x:c r="J905" s="73" t="n">
        <x:v>0</x:v>
      </x:c>
      <x:c r="K905" s="49" t="str">
        <x:v>Un-Aided Autonomous Religious Minority - Christian</x:v>
      </x:c>
      <x:c r="L905" s="49" t="str">
        <x:v>MS Seats : 2 + Minority Seats : 4</x:v>
      </x:c>
      <x:c r="M905" s="49" t="str">
        <x:v>https://dse2025.mahacet.org.in/dse25/admin/allotment/cap2/4174_4.pdf</x:v>
      </x:c>
    </x:row>
    <x:row r="906">
      <x:c r="A906" s="49" t="str">
        <x:v>2025-26</x:v>
      </x:c>
      <x:c r="B906" s="63" t="n">
        <x:v>4174</x:v>
      </x:c>
      <x:c r="C906" s="49" t="str">
        <x:v>ST. Vincent Pallotti College of Engineering &amp; Technology, Nagpur</x:v>
      </x:c>
      <x:c r="D906" s="72" t="n">
        <x:v>417461210</x:v>
      </x:c>
      <x:c r="E906" s="49" t="str">
        <x:v>Mechanical Engineering</x:v>
      </x:c>
      <x:c r="F906" s="73" t="n">
        <x:v>12</x:v>
      </x:c>
      <x:c r="G906" s="73" t="n">
        <x:v>5</x:v>
      </x:c>
      <x:c r="H906" s="73"/>
      <x:c r="I906" s="73" t="n">
        <x:v>7</x:v>
      </x:c>
      <x:c r="J906" s="73" t="n">
        <x:v>0</x:v>
      </x:c>
      <x:c r="K906" s="49" t="str">
        <x:v>Un-Aided Autonomous Religious Minority - Christian</x:v>
      </x:c>
      <x:c r="L906" s="49" t="str">
        <x:v>MS Seats : 5 + Minority Seats : 7</x:v>
      </x:c>
      <x:c r="M906" s="49" t="str">
        <x:v>https://dse2025.mahacet.org.in/dse25/admin/allotment/cap2/4174_4.pdf</x:v>
      </x:c>
    </x:row>
    <x:row r="907">
      <x:c r="A907" s="49" t="str">
        <x:v>2025-26</x:v>
      </x:c>
      <x:c r="B907" s="63" t="n">
        <x:v>4174</x:v>
      </x:c>
      <x:c r="C907" s="49" t="str">
        <x:v>ST. Vincent Pallotti College of Engineering &amp; Technology, Nagpur</x:v>
      </x:c>
      <x:c r="D907" s="72" t="n">
        <x:v>417491210</x:v>
      </x:c>
      <x:c r="E907" s="49" t="str">
        <x:v>Computer Science and Engineering(Data Science)</x:v>
      </x:c>
      <x:c r="F907" s="73" t="n">
        <x:v>7</x:v>
      </x:c>
      <x:c r="G907" s="73" t="n">
        <x:v>3</x:v>
      </x:c>
      <x:c r="H907" s="73"/>
      <x:c r="I907" s="73" t="n">
        <x:v>4</x:v>
      </x:c>
      <x:c r="J907" s="73" t="n">
        <x:v>0</x:v>
      </x:c>
      <x:c r="K907" s="49" t="str">
        <x:v>Un-Aided Autonomous Religious Minority - Christian</x:v>
      </x:c>
      <x:c r="L907" s="49" t="str">
        <x:v>MS Seats : 3 + Minority Seats : 4</x:v>
      </x:c>
      <x:c r="M907" s="49" t="str">
        <x:v>https://dse2025.mahacet.org.in/dse25/admin/allotment/cap2/4174_4.pdf</x:v>
      </x:c>
    </x:row>
    <x:row r="908">
      <x:c r="A908" s="49" t="str">
        <x:v>2025-26</x:v>
      </x:c>
      <x:c r="B908" s="63" t="n">
        <x:v>4174</x:v>
      </x:c>
      <x:c r="C908" s="49" t="str">
        <x:v>ST. Vincent Pallotti College of Engineering &amp; Technology, Nagpur</x:v>
      </x:c>
      <x:c r="D908" s="72" t="n">
        <x:v>417499710</x:v>
      </x:c>
      <x:c r="E908" s="49" t="str">
        <x:v>Artificial Intelligence</x:v>
      </x:c>
      <x:c r="F908" s="73" t="n">
        <x:v>6</x:v>
      </x:c>
      <x:c r="G908" s="73" t="n">
        <x:v>2</x:v>
      </x:c>
      <x:c r="H908" s="73"/>
      <x:c r="I908" s="73" t="n">
        <x:v>4</x:v>
      </x:c>
      <x:c r="J908" s="73" t="n">
        <x:v>0</x:v>
      </x:c>
      <x:c r="K908" s="49" t="str">
        <x:v>Un-Aided Autonomous Religious Minority - Christian</x:v>
      </x:c>
      <x:c r="L908" s="49" t="str">
        <x:v>MS Seats : 2 + Minority Seats : 4</x:v>
      </x:c>
      <x:c r="M908" s="49" t="str">
        <x:v>https://dse2025.mahacet.org.in/dse25/admin/allotment/cap2/4174_4.pdf</x:v>
      </x:c>
    </x:row>
    <x:row r="909">
      <x:c r="A909" s="49" t="str">
        <x:v>2025-26</x:v>
      </x:c>
      <x:c r="B909" s="63" t="n">
        <x:v>4175</x:v>
      </x:c>
      <x:c r="C909" s="49" t="str">
        <x:v>JMSS Shri Shankarprasad Agnihotri College of Engineering, Wardha</x:v>
      </x:c>
      <x:c r="D909" s="72" t="n">
        <x:v>417519110</x:v>
      </x:c>
      <x:c r="E909" s="49" t="str">
        <x:v>Civil Engineering</x:v>
      </x:c>
      <x:c r="F909" s="73" t="n">
        <x:v>62</x:v>
      </x:c>
      <x:c r="G909" s="73" t="n">
        <x:v>55</x:v>
      </x:c>
      <x:c r="H909" s="73" t="n">
        <x:v>7</x:v>
      </x:c>
      <x:c r="I909" s="73"/>
      <x:c r="J909" s="73" t="n">
        <x:v>0</x:v>
      </x:c>
      <x:c r="K909" s="49" t="str">
        <x:v>Un-Aided</x:v>
      </x:c>
      <x:c r="L909" s="49" t="str">
        <x:v>MS Seats : 55+ EWS : 7</x:v>
      </x:c>
      <x:c r="M909" s="49" t="str">
        <x:v>https://dse2025.mahacet.org.in/dse25/admin/allotment/cap2/4175_4.pdf</x:v>
      </x:c>
    </x:row>
    <x:row r="910">
      <x:c r="A910" s="49" t="str">
        <x:v>2025-26</x:v>
      </x:c>
      <x:c r="B910" s="63" t="n">
        <x:v>4175</x:v>
      </x:c>
      <x:c r="C910" s="49" t="str">
        <x:v>JMSS Shri Shankarprasad Agnihotri College of Engineering, Wardha</x:v>
      </x:c>
      <x:c r="D910" s="72" t="n">
        <x:v>417524210</x:v>
      </x:c>
      <x:c r="E910" s="49" t="str">
        <x:v>Computer Science and Engineering</x:v>
      </x:c>
      <x:c r="F910" s="73" t="n">
        <x:v>13</x:v>
      </x:c>
      <x:c r="G910" s="73" t="n">
        <x:v>7</x:v>
      </x:c>
      <x:c r="H910" s="73" t="n">
        <x:v>6</x:v>
      </x:c>
      <x:c r="I910" s="73"/>
      <x:c r="J910" s="73" t="n">
        <x:v>0</x:v>
      </x:c>
      <x:c r="K910" s="49" t="str">
        <x:v>Un-Aided</x:v>
      </x:c>
      <x:c r="L910" s="49" t="str">
        <x:v>MS Seats : 7+ EWS : 6</x:v>
      </x:c>
      <x:c r="M910" s="49" t="str">
        <x:v>https://dse2025.mahacet.org.in/dse25/admin/allotment/cap2/4175_4.pdf</x:v>
      </x:c>
    </x:row>
    <x:row r="911">
      <x:c r="A911" s="49" t="str">
        <x:v>2025-26</x:v>
      </x:c>
      <x:c r="B911" s="63" t="n">
        <x:v>4175</x:v>
      </x:c>
      <x:c r="C911" s="49" t="str">
        <x:v>JMSS Shri Shankarprasad Agnihotri College of Engineering, Wardha</x:v>
      </x:c>
      <x:c r="D911" s="72" t="n">
        <x:v>417537210</x:v>
      </x:c>
      <x:c r="E911" s="49" t="str">
        <x:v>Electronics and Telecommunication Engg</x:v>
      </x:c>
      <x:c r="F911" s="73" t="n">
        <x:v>22</x:v>
      </x:c>
      <x:c r="G911" s="73" t="n">
        <x:v>15</x:v>
      </x:c>
      <x:c r="H911" s="73" t="n">
        <x:v>7</x:v>
      </x:c>
      <x:c r="I911" s="73"/>
      <x:c r="J911" s="73" t="n">
        <x:v>0</x:v>
      </x:c>
      <x:c r="K911" s="49" t="str">
        <x:v>Un-Aided</x:v>
      </x:c>
      <x:c r="L911" s="49" t="str">
        <x:v>MS Seats : 15+ EWS : 7</x:v>
      </x:c>
      <x:c r="M911" s="49" t="str">
        <x:v>https://dse2025.mahacet.org.in/dse25/admin/allotment/cap2/4175_4.pdf</x:v>
      </x:c>
    </x:row>
    <x:row r="912">
      <x:c r="A912" s="49" t="str">
        <x:v>2025-26</x:v>
      </x:c>
      <x:c r="B912" s="63" t="n">
        <x:v>4175</x:v>
      </x:c>
      <x:c r="C912" s="49" t="str">
        <x:v>JMSS Shri Shankarprasad Agnihotri College of Engineering, Wardha</x:v>
      </x:c>
      <x:c r="D912" s="72" t="n">
        <x:v>417561210</x:v>
      </x:c>
      <x:c r="E912" s="49" t="str">
        <x:v>Mechanical Engineering</x:v>
      </x:c>
      <x:c r="F912" s="73" t="n">
        <x:v>13</x:v>
      </x:c>
      <x:c r="G912" s="73" t="n">
        <x:v>9</x:v>
      </x:c>
      <x:c r="H912" s="73" t="n">
        <x:v>4</x:v>
      </x:c>
      <x:c r="I912" s="73"/>
      <x:c r="J912" s="73" t="n">
        <x:v>0</x:v>
      </x:c>
      <x:c r="K912" s="49" t="str">
        <x:v>Un-Aided</x:v>
      </x:c>
      <x:c r="L912" s="49" t="str">
        <x:v>MS Seats : 9+ EWS : 4</x:v>
      </x:c>
      <x:c r="M912" s="49" t="str">
        <x:v>https://dse2025.mahacet.org.in/dse25/admin/allotment/cap2/4175_4.pdf</x:v>
      </x:c>
    </x:row>
    <x:row r="913">
      <x:c r="A913" s="49" t="str">
        <x:v>2025-26</x:v>
      </x:c>
      <x:c r="B913" s="63" t="n">
        <x:v>4177</x:v>
      </x:c>
      <x:c r="C913" s="49" t="str">
        <x:v>Priyadarshini Bhagwati College of Engineering, Harpur Nagar, Umred Road,Nagpur</x:v>
      </x:c>
      <x:c r="D913" s="72" t="n">
        <x:v>417719110</x:v>
      </x:c>
      <x:c r="E913" s="49" t="str">
        <x:v>Civil Engineering</x:v>
      </x:c>
      <x:c r="F913" s="73" t="n">
        <x:v>8</x:v>
      </x:c>
      <x:c r="G913" s="73" t="n">
        <x:v>3</x:v>
      </x:c>
      <x:c r="H913" s="73"/>
      <x:c r="I913" s="73" t="n">
        <x:v>5</x:v>
      </x:c>
      <x:c r="J913" s="73" t="n">
        <x:v>0</x:v>
      </x:c>
      <x:c r="K913" s="49" t="str">
        <x:v>Un-Aided Linguistic Minority - Hindi</x:v>
      </x:c>
      <x:c r="L913" s="49" t="str">
        <x:v>MS Seats : 3 + Minority Seats : 5</x:v>
      </x:c>
      <x:c r="M913" s="49" t="str">
        <x:v>https://dse2025.mahacet.org.in/dse25/admin/allotment/cap2/4177_4.pdf</x:v>
      </x:c>
    </x:row>
    <x:row r="914">
      <x:c r="A914" s="49" t="str">
        <x:v>2025-26</x:v>
      </x:c>
      <x:c r="B914" s="63" t="n">
        <x:v>4177</x:v>
      </x:c>
      <x:c r="C914" s="49" t="str">
        <x:v>Priyadarshini Bhagwati College of Engineering, Harpur Nagar, Umred Road,Nagpur</x:v>
      </x:c>
      <x:c r="D914" s="72" t="n">
        <x:v>417724210</x:v>
      </x:c>
      <x:c r="E914" s="49" t="str">
        <x:v>Computer Science and Engineering</x:v>
      </x:c>
      <x:c r="F914" s="73" t="n">
        <x:v>12</x:v>
      </x:c>
      <x:c r="G914" s="73" t="n">
        <x:v>5</x:v>
      </x:c>
      <x:c r="H914" s="73"/>
      <x:c r="I914" s="73" t="n">
        <x:v>7</x:v>
      </x:c>
      <x:c r="J914" s="73" t="n">
        <x:v>0</x:v>
      </x:c>
      <x:c r="K914" s="49" t="str">
        <x:v>Un-Aided Linguistic Minority - Hindi</x:v>
      </x:c>
      <x:c r="L914" s="49" t="str">
        <x:v>MS Seats : 5 + Minority Seats : 7</x:v>
      </x:c>
      <x:c r="M914" s="49" t="str">
        <x:v>https://dse2025.mahacet.org.in/dse25/admin/allotment/cap2/4177_4.pdf</x:v>
      </x:c>
    </x:row>
    <x:row r="915">
      <x:c r="A915" s="49" t="str">
        <x:v>2025-26</x:v>
      </x:c>
      <x:c r="B915" s="63" t="n">
        <x:v>4177</x:v>
      </x:c>
      <x:c r="C915" s="49" t="str">
        <x:v>Priyadarshini Bhagwati College of Engineering, Harpur Nagar, Umred Road,Nagpur</x:v>
      </x:c>
      <x:c r="D915" s="72" t="n">
        <x:v>417724610</x:v>
      </x:c>
      <x:c r="E915" s="49" t="str">
        <x:v>Information Technology</x:v>
      </x:c>
      <x:c r="F915" s="73" t="n">
        <x:v>6</x:v>
      </x:c>
      <x:c r="G915" s="73" t="n">
        <x:v>2</x:v>
      </x:c>
      <x:c r="H915" s="73"/>
      <x:c r="I915" s="73" t="n">
        <x:v>4</x:v>
      </x:c>
      <x:c r="J915" s="73" t="n">
        <x:v>0</x:v>
      </x:c>
      <x:c r="K915" s="49" t="str">
        <x:v>Un-Aided Linguistic Minority - Hindi</x:v>
      </x:c>
      <x:c r="L915" s="49" t="str">
        <x:v>MS Seats : 2 + Minority Seats : 4</x:v>
      </x:c>
      <x:c r="M915" s="49" t="str">
        <x:v>https://dse2025.mahacet.org.in/dse25/admin/allotment/cap2/4177_4.pdf</x:v>
      </x:c>
    </x:row>
    <x:row r="916">
      <x:c r="A916" s="49" t="str">
        <x:v>2025-26</x:v>
      </x:c>
      <x:c r="B916" s="63" t="n">
        <x:v>4177</x:v>
      </x:c>
      <x:c r="C916" s="49" t="str">
        <x:v>Priyadarshini Bhagwati College of Engineering, Harpur Nagar, Umred Road,Nagpur</x:v>
      </x:c>
      <x:c r="D916" s="72" t="n">
        <x:v>417737010</x:v>
      </x:c>
      <x:c r="E916" s="49" t="str">
        <x:v>Electronics and Communication Engineering</x:v>
      </x:c>
      <x:c r="F916" s="73" t="n">
        <x:v>6</x:v>
      </x:c>
      <x:c r="G916" s="73" t="n">
        <x:v>2</x:v>
      </x:c>
      <x:c r="H916" s="73"/>
      <x:c r="I916" s="73" t="n">
        <x:v>4</x:v>
      </x:c>
      <x:c r="J916" s="73" t="n">
        <x:v>0</x:v>
      </x:c>
      <x:c r="K916" s="49" t="str">
        <x:v>Un-Aided Linguistic Minority - Hindi</x:v>
      </x:c>
      <x:c r="L916" s="49" t="str">
        <x:v>MS Seats : 2 + Minority Seats : 4</x:v>
      </x:c>
      <x:c r="M916" s="49" t="str">
        <x:v>https://dse2025.mahacet.org.in/dse25/admin/allotment/cap2/4177_4.pdf</x:v>
      </x:c>
    </x:row>
    <x:row r="917">
      <x:c r="A917" s="49" t="str">
        <x:v>2025-26</x:v>
      </x:c>
      <x:c r="B917" s="63" t="n">
        <x:v>4177</x:v>
      </x:c>
      <x:c r="C917" s="49" t="str">
        <x:v>Priyadarshini Bhagwati College of Engineering, Harpur Nagar, Umred Road,Nagpur</x:v>
      </x:c>
      <x:c r="D917" s="72" t="n">
        <x:v>417761210</x:v>
      </x:c>
      <x:c r="E917" s="49" t="str">
        <x:v>Mechanical Engineering</x:v>
      </x:c>
      <x:c r="F917" s="73" t="n">
        <x:v>11</x:v>
      </x:c>
      <x:c r="G917" s="73" t="n">
        <x:v>5</x:v>
      </x:c>
      <x:c r="H917" s="73"/>
      <x:c r="I917" s="73" t="n">
        <x:v>6</x:v>
      </x:c>
      <x:c r="J917" s="73" t="n">
        <x:v>0</x:v>
      </x:c>
      <x:c r="K917" s="49" t="str">
        <x:v>Un-Aided Linguistic Minority - Hindi</x:v>
      </x:c>
      <x:c r="L917" s="49" t="str">
        <x:v>MS Seats : 5 + Minority Seats : 6</x:v>
      </x:c>
      <x:c r="M917" s="49" t="str">
        <x:v>https://dse2025.mahacet.org.in/dse25/admin/allotment/cap2/4177_4.pdf</x:v>
      </x:c>
    </x:row>
    <x:row r="918">
      <x:c r="A918" s="49" t="str">
        <x:v>2025-26</x:v>
      </x:c>
      <x:c r="B918" s="63" t="n">
        <x:v>4181</x:v>
      </x:c>
      <x:c r="C918" s="49" t="str">
        <x:v>Swaminarayan Siddhanta Institute Of Technology, Nagpur</x:v>
      </x:c>
      <x:c r="D918" s="72" t="n">
        <x:v>418119110</x:v>
      </x:c>
      <x:c r="E918" s="49" t="str">
        <x:v>Civil Engineering</x:v>
      </x:c>
      <x:c r="F918" s="73" t="n">
        <x:v>56</x:v>
      </x:c>
      <x:c r="G918" s="73" t="n">
        <x:v>49</x:v>
      </x:c>
      <x:c r="H918" s="73" t="n">
        <x:v>7</x:v>
      </x:c>
      <x:c r="I918" s="73"/>
      <x:c r="J918" s="73" t="n">
        <x:v>0</x:v>
      </x:c>
      <x:c r="K918" s="49" t="str">
        <x:v>Un-Aided</x:v>
      </x:c>
      <x:c r="L918" s="49" t="str">
        <x:v>MS Seats : 49+ EWS : 7</x:v>
      </x:c>
      <x:c r="M918" s="49" t="str">
        <x:v>https://dse2025.mahacet.org.in/dse25/admin/allotment/cap2/4181_4.pdf</x:v>
      </x:c>
    </x:row>
    <x:row r="919">
      <x:c r="A919" s="49" t="str">
        <x:v>2025-26</x:v>
      </x:c>
      <x:c r="B919" s="63" t="n">
        <x:v>4181</x:v>
      </x:c>
      <x:c r="C919" s="49" t="str">
        <x:v>Swaminarayan Siddhanta Institute Of Technology, Nagpur</x:v>
      </x:c>
      <x:c r="D919" s="72" t="n">
        <x:v>418124510</x:v>
      </x:c>
      <x:c r="E919" s="49" t="str">
        <x:v>Computer Engineering</x:v>
      </x:c>
      <x:c r="F919" s="73" t="n">
        <x:v>41</x:v>
      </x:c>
      <x:c r="G919" s="73" t="n">
        <x:v>25</x:v>
      </x:c>
      <x:c r="H919" s="73" t="n">
        <x:v>16</x:v>
      </x:c>
      <x:c r="I919" s="73"/>
      <x:c r="J919" s="73" t="n">
        <x:v>0</x:v>
      </x:c>
      <x:c r="K919" s="49" t="str">
        <x:v>Un-Aided</x:v>
      </x:c>
      <x:c r="L919" s="49" t="str">
        <x:v>MS Seats : 25+ EWS : 16</x:v>
      </x:c>
      <x:c r="M919" s="49" t="str">
        <x:v>https://dse2025.mahacet.org.in/dse25/admin/allotment/cap2/4181_4.pdf</x:v>
      </x:c>
    </x:row>
    <x:row r="920">
      <x:c r="A920" s="49" t="str">
        <x:v>2025-26</x:v>
      </x:c>
      <x:c r="B920" s="63" t="n">
        <x:v>4181</x:v>
      </x:c>
      <x:c r="C920" s="49" t="str">
        <x:v>Swaminarayan Siddhanta Institute Of Technology, Nagpur</x:v>
      </x:c>
      <x:c r="D920" s="72" t="n">
        <x:v>418137210</x:v>
      </x:c>
      <x:c r="E920" s="49" t="str">
        <x:v>Electronics and Telecommunication Engg</x:v>
      </x:c>
      <x:c r="F920" s="73" t="n">
        <x:v>8</x:v>
      </x:c>
      <x:c r="G920" s="73" t="n">
        <x:v>6</x:v>
      </x:c>
      <x:c r="H920" s="73" t="n">
        <x:v>2</x:v>
      </x:c>
      <x:c r="I920" s="73"/>
      <x:c r="J920" s="73" t="n">
        <x:v>0</x:v>
      </x:c>
      <x:c r="K920" s="49" t="str">
        <x:v>Un-Aided</x:v>
      </x:c>
      <x:c r="L920" s="49" t="str">
        <x:v>MS Seats : 6+ EWS : 2</x:v>
      </x:c>
      <x:c r="M920" s="49" t="str">
        <x:v>https://dse2025.mahacet.org.in/dse25/admin/allotment/cap2/4181_4.pdf</x:v>
      </x:c>
    </x:row>
    <x:row r="921">
      <x:c r="A921" s="49" t="str">
        <x:v>2025-26</x:v>
      </x:c>
      <x:c r="B921" s="63" t="n">
        <x:v>4181</x:v>
      </x:c>
      <x:c r="C921" s="49" t="str">
        <x:v>Swaminarayan Siddhanta Institute Of Technology, Nagpur</x:v>
      </x:c>
      <x:c r="D921" s="72" t="n">
        <x:v>418161210</x:v>
      </x:c>
      <x:c r="E921" s="49" t="str">
        <x:v>Mechanical Engineering</x:v>
      </x:c>
      <x:c r="F921" s="73" t="n">
        <x:v>50</x:v>
      </x:c>
      <x:c r="G921" s="73" t="n">
        <x:v>43</x:v>
      </x:c>
      <x:c r="H921" s="73" t="n">
        <x:v>7</x:v>
      </x:c>
      <x:c r="I921" s="73"/>
      <x:c r="J921" s="73" t="n">
        <x:v>0</x:v>
      </x:c>
      <x:c r="K921" s="49" t="str">
        <x:v>Un-Aided</x:v>
      </x:c>
      <x:c r="L921" s="49" t="str">
        <x:v>MS Seats : 43+ EWS : 7</x:v>
      </x:c>
      <x:c r="M921" s="49" t="str">
        <x:v>https://dse2025.mahacet.org.in/dse25/admin/allotment/cap2/4181_4.pdf</x:v>
      </x:c>
    </x:row>
    <x:row r="922">
      <x:c r="A922" s="49" t="str">
        <x:v>2025-26</x:v>
      </x:c>
      <x:c r="B922" s="63" t="n">
        <x:v>4188</x:v>
      </x:c>
      <x:c r="C922" s="49" t="str">
        <x:v>Krushi Jivan Vikas Pratishthan, Ballarpur Institute of Technology, Mouza Bamni</x:v>
      </x:c>
      <x:c r="D922" s="72" t="n">
        <x:v>418819110</x:v>
      </x:c>
      <x:c r="E922" s="49" t="str">
        <x:v>Civil Engineering</x:v>
      </x:c>
      <x:c r="F922" s="73" t="n">
        <x:v>43</x:v>
      </x:c>
      <x:c r="G922" s="73" t="n">
        <x:v>37</x:v>
      </x:c>
      <x:c r="H922" s="73" t="n">
        <x:v>6</x:v>
      </x:c>
      <x:c r="I922" s="73"/>
      <x:c r="J922" s="73" t="n">
        <x:v>0</x:v>
      </x:c>
      <x:c r="K922" s="49" t="str">
        <x:v>Un-Aided</x:v>
      </x:c>
      <x:c r="L922" s="49" t="str">
        <x:v>MS Seats : 37+ EWS : 6</x:v>
      </x:c>
      <x:c r="M922" s="49" t="str">
        <x:v>https://dse2025.mahacet.org.in/dse25/admin/allotment/cap2/4188_4.pdf</x:v>
      </x:c>
    </x:row>
    <x:row r="923">
      <x:c r="A923" s="49" t="str">
        <x:v>2025-26</x:v>
      </x:c>
      <x:c r="B923" s="63" t="n">
        <x:v>4188</x:v>
      </x:c>
      <x:c r="C923" s="49" t="str">
        <x:v>Krushi Jivan Vikas Pratishthan, Ballarpur Institute of Technology, Mouza Bamni</x:v>
      </x:c>
      <x:c r="D923" s="72" t="n">
        <x:v>418824210</x:v>
      </x:c>
      <x:c r="E923" s="49" t="str">
        <x:v>Computer Science and Engineering</x:v>
      </x:c>
      <x:c r="F923" s="73" t="n">
        <x:v>15</x:v>
      </x:c>
      <x:c r="G923" s="73" t="n">
        <x:v>12</x:v>
      </x:c>
      <x:c r="H923" s="73" t="n">
        <x:v>3</x:v>
      </x:c>
      <x:c r="I923" s="73"/>
      <x:c r="J923" s="73" t="n">
        <x:v>0</x:v>
      </x:c>
      <x:c r="K923" s="49" t="str">
        <x:v>Un-Aided</x:v>
      </x:c>
      <x:c r="L923" s="49" t="str">
        <x:v>MS Seats : 12+ EWS : 3</x:v>
      </x:c>
      <x:c r="M923" s="49" t="str">
        <x:v>https://dse2025.mahacet.org.in/dse25/admin/allotment/cap2/4188_4.pdf</x:v>
      </x:c>
    </x:row>
    <x:row r="924">
      <x:c r="A924" s="49" t="str">
        <x:v>2025-26</x:v>
      </x:c>
      <x:c r="B924" s="63" t="n">
        <x:v>4188</x:v>
      </x:c>
      <x:c r="C924" s="49" t="str">
        <x:v>Krushi Jivan Vikas Pratishthan, Ballarpur Institute of Technology, Mouza Bamni</x:v>
      </x:c>
      <x:c r="D924" s="72" t="n">
        <x:v>418829310</x:v>
      </x:c>
      <x:c r="E924" s="49" t="str">
        <x:v>Electrical Engineering</x:v>
      </x:c>
      <x:c r="F924" s="73" t="n">
        <x:v>28</x:v>
      </x:c>
      <x:c r="G924" s="73" t="n">
        <x:v>25</x:v>
      </x:c>
      <x:c r="H924" s="73" t="n">
        <x:v>3</x:v>
      </x:c>
      <x:c r="I924" s="73"/>
      <x:c r="J924" s="73" t="n">
        <x:v>0</x:v>
      </x:c>
      <x:c r="K924" s="49" t="str">
        <x:v>Un-Aided</x:v>
      </x:c>
      <x:c r="L924" s="49" t="str">
        <x:v>MS Seats : 25+ EWS : 3</x:v>
      </x:c>
      <x:c r="M924" s="49" t="str">
        <x:v>https://dse2025.mahacet.org.in/dse25/admin/allotment/cap2/4188_4.pdf</x:v>
      </x:c>
    </x:row>
    <x:row r="925">
      <x:c r="A925" s="49" t="str">
        <x:v>2025-26</x:v>
      </x:c>
      <x:c r="B925" s="63" t="n">
        <x:v>4188</x:v>
      </x:c>
      <x:c r="C925" s="49" t="str">
        <x:v>Krushi Jivan Vikas Pratishthan, Ballarpur Institute of Technology, Mouza Bamni</x:v>
      </x:c>
      <x:c r="D925" s="72" t="n">
        <x:v>418837210</x:v>
      </x:c>
      <x:c r="E925" s="49" t="str">
        <x:v>Electronics and Telecommunication Engg</x:v>
      </x:c>
      <x:c r="F925" s="73" t="n">
        <x:v>6</x:v>
      </x:c>
      <x:c r="G925" s="73" t="n">
        <x:v>6</x:v>
      </x:c>
      <x:c r="H925" s="73" t="n">
        <x:v>0</x:v>
      </x:c>
      <x:c r="I925" s="73"/>
      <x:c r="J925" s="73" t="n">
        <x:v>0</x:v>
      </x:c>
      <x:c r="K925" s="49" t="str">
        <x:v>Un-Aided</x:v>
      </x:c>
      <x:c r="L925" s="49" t="str">
        <x:v>MS Seats : 6+ EWS : 0</x:v>
      </x:c>
      <x:c r="M925" s="49" t="str">
        <x:v>https://dse2025.mahacet.org.in/dse25/admin/allotment/cap2/4188_4.pdf</x:v>
      </x:c>
    </x:row>
    <x:row r="926">
      <x:c r="A926" s="49" t="str">
        <x:v>2025-26</x:v>
      </x:c>
      <x:c r="B926" s="63" t="n">
        <x:v>4188</x:v>
      </x:c>
      <x:c r="C926" s="49" t="str">
        <x:v>Krushi Jivan Vikas Pratishthan, Ballarpur Institute of Technology, Mouza Bamni</x:v>
      </x:c>
      <x:c r="D926" s="72" t="n">
        <x:v>418850310</x:v>
      </x:c>
      <x:c r="E926" s="49" t="str">
        <x:v>Food Technology</x:v>
      </x:c>
      <x:c r="F926" s="73" t="n">
        <x:v>20</x:v>
      </x:c>
      <x:c r="G926" s="73" t="n">
        <x:v>16</x:v>
      </x:c>
      <x:c r="H926" s="73" t="n">
        <x:v>4</x:v>
      </x:c>
      <x:c r="I926" s="73"/>
      <x:c r="J926" s="73" t="n">
        <x:v>0</x:v>
      </x:c>
      <x:c r="K926" s="49" t="str">
        <x:v>Un-Aided</x:v>
      </x:c>
      <x:c r="L926" s="49" t="str">
        <x:v>MS Seats : 16+ EWS : 4</x:v>
      </x:c>
      <x:c r="M926" s="49" t="str">
        <x:v>https://dse2025.mahacet.org.in/dse25/admin/allotment/cap2/4188_4.pdf</x:v>
      </x:c>
    </x:row>
    <x:row r="927">
      <x:c r="A927" s="49" t="str">
        <x:v>2025-26</x:v>
      </x:c>
      <x:c r="B927" s="63" t="n">
        <x:v>4188</x:v>
      </x:c>
      <x:c r="C927" s="49" t="str">
        <x:v>Krushi Jivan Vikas Pratishthan, Ballarpur Institute of Technology, Mouza Bamni</x:v>
      </x:c>
      <x:c r="D927" s="72" t="n">
        <x:v>418861210</x:v>
      </x:c>
      <x:c r="E927" s="49" t="str">
        <x:v>Mechanical Engineering</x:v>
      </x:c>
      <x:c r="F927" s="73" t="n">
        <x:v>13</x:v>
      </x:c>
      <x:c r="G927" s="73" t="n">
        <x:v>10</x:v>
      </x:c>
      <x:c r="H927" s="73" t="n">
        <x:v>3</x:v>
      </x:c>
      <x:c r="I927" s="73"/>
      <x:c r="J927" s="73" t="n">
        <x:v>0</x:v>
      </x:c>
      <x:c r="K927" s="49" t="str">
        <x:v>Un-Aided</x:v>
      </x:c>
      <x:c r="L927" s="49" t="str">
        <x:v>MS Seats : 10+ EWS : 3</x:v>
      </x:c>
      <x:c r="M927" s="49" t="str">
        <x:v>https://dse2025.mahacet.org.in/dse25/admin/allotment/cap2/4188_4.pdf</x:v>
      </x:c>
    </x:row>
    <x:row r="928">
      <x:c r="A928" s="49" t="str">
        <x:v>2025-26</x:v>
      </x:c>
      <x:c r="B928" s="63" t="n">
        <x:v>4188</x:v>
      </x:c>
      <x:c r="C928" s="49" t="str">
        <x:v>Krushi Jivan Vikas Pratishthan, Ballarpur Institute of Technology, Mouza Bamni</x:v>
      </x:c>
      <x:c r="D928" s="72" t="n">
        <x:v>418870110</x:v>
      </x:c>
      <x:c r="E928" s="49" t="str">
        <x:v>Mining Engineering</x:v>
      </x:c>
      <x:c r="F928" s="73" t="n">
        <x:v>63</x:v>
      </x:c>
      <x:c r="G928" s="73" t="n">
        <x:v>50</x:v>
      </x:c>
      <x:c r="H928" s="73" t="n">
        <x:v>13</x:v>
      </x:c>
      <x:c r="I928" s="73"/>
      <x:c r="J928" s="73" t="n">
        <x:v>0</x:v>
      </x:c>
      <x:c r="K928" s="49" t="str">
        <x:v>Un-Aided</x:v>
      </x:c>
      <x:c r="L928" s="49" t="str">
        <x:v>MS Seats : 50+ EWS : 13</x:v>
      </x:c>
      <x:c r="M928" s="49" t="str">
        <x:v>https://dse2025.mahacet.org.in/dse25/admin/allotment/cap2/4188_4.pdf</x:v>
      </x:c>
    </x:row>
    <x:row r="929">
      <x:c r="A929" s="49" t="str">
        <x:v>2025-26</x:v>
      </x:c>
      <x:c r="B929" s="63" t="n">
        <x:v>4190</x:v>
      </x:c>
      <x:c r="C929" s="49" t="str">
        <x:v>M.D. Yergude Memorial Shikshan Prasarak Mandal's Shri Sai College of Engineering &amp; Technology, Bhadrawati</x:v>
      </x:c>
      <x:c r="D929" s="72" t="n">
        <x:v>419019110</x:v>
      </x:c>
      <x:c r="E929" s="49" t="str">
        <x:v>Civil Engineering</x:v>
      </x:c>
      <x:c r="F929" s="73" t="n">
        <x:v>58</x:v>
      </x:c>
      <x:c r="G929" s="73" t="n">
        <x:v>51</x:v>
      </x:c>
      <x:c r="H929" s="73" t="n">
        <x:v>7</x:v>
      </x:c>
      <x:c r="I929" s="73"/>
      <x:c r="J929" s="73" t="n">
        <x:v>0</x:v>
      </x:c>
      <x:c r="K929" s="49" t="str">
        <x:v>Un-Aided</x:v>
      </x:c>
      <x:c r="L929" s="49" t="str">
        <x:v>MS Seats : 51+ EWS : 7</x:v>
      </x:c>
      <x:c r="M929" s="49" t="str">
        <x:v>https://dse2025.mahacet.org.in/dse25/admin/allotment/cap2/4190_4.pdf</x:v>
      </x:c>
    </x:row>
    <x:row r="930">
      <x:c r="A930" s="49" t="str">
        <x:v>2025-26</x:v>
      </x:c>
      <x:c r="B930" s="63" t="n">
        <x:v>4190</x:v>
      </x:c>
      <x:c r="C930" s="49" t="str">
        <x:v>M.D. Yergude Memorial Shikshan Prasarak Mandal's Shri Sai College of Engineering &amp; Technology, Bhadrawati</x:v>
      </x:c>
      <x:c r="D930" s="72" t="n">
        <x:v>419024210</x:v>
      </x:c>
      <x:c r="E930" s="49" t="str">
        <x:v>Computer Science and Engineering</x:v>
      </x:c>
      <x:c r="F930" s="73" t="n">
        <x:v>14</x:v>
      </x:c>
      <x:c r="G930" s="73" t="n">
        <x:v>10</x:v>
      </x:c>
      <x:c r="H930" s="73" t="n">
        <x:v>4</x:v>
      </x:c>
      <x:c r="I930" s="73"/>
      <x:c r="J930" s="73" t="n">
        <x:v>0</x:v>
      </x:c>
      <x:c r="K930" s="49" t="str">
        <x:v>Un-Aided</x:v>
      </x:c>
      <x:c r="L930" s="49" t="str">
        <x:v>MS Seats : 10+ EWS : 4</x:v>
      </x:c>
      <x:c r="M930" s="49" t="str">
        <x:v>https://dse2025.mahacet.org.in/dse25/admin/allotment/cap2/4190_4.pdf</x:v>
      </x:c>
    </x:row>
    <x:row r="931">
      <x:c r="A931" s="49" t="str">
        <x:v>2025-26</x:v>
      </x:c>
      <x:c r="B931" s="63" t="n">
        <x:v>4190</x:v>
      </x:c>
      <x:c r="C931" s="49" t="str">
        <x:v>M.D. Yergude Memorial Shikshan Prasarak Mandal's Shri Sai College of Engineering &amp; Technology, Bhadrawati</x:v>
      </x:c>
      <x:c r="D931" s="72" t="n">
        <x:v>419029310</x:v>
      </x:c>
      <x:c r="E931" s="49" t="str">
        <x:v>Electrical Engineering</x:v>
      </x:c>
      <x:c r="F931" s="73" t="n">
        <x:v>51</x:v>
      </x:c>
      <x:c r="G931" s="73" t="n">
        <x:v>45</x:v>
      </x:c>
      <x:c r="H931" s="73" t="n">
        <x:v>6</x:v>
      </x:c>
      <x:c r="I931" s="73"/>
      <x:c r="J931" s="73" t="n">
        <x:v>0</x:v>
      </x:c>
      <x:c r="K931" s="49" t="str">
        <x:v>Un-Aided</x:v>
      </x:c>
      <x:c r="L931" s="49" t="str">
        <x:v>MS Seats : 45+ EWS : 6</x:v>
      </x:c>
      <x:c r="M931" s="49" t="str">
        <x:v>https://dse2025.mahacet.org.in/dse25/admin/allotment/cap2/4190_4.pdf</x:v>
      </x:c>
    </x:row>
    <x:row r="932">
      <x:c r="A932" s="49" t="str">
        <x:v>2025-26</x:v>
      </x:c>
      <x:c r="B932" s="63" t="n">
        <x:v>4190</x:v>
      </x:c>
      <x:c r="C932" s="49" t="str">
        <x:v>M.D. Yergude Memorial Shikshan Prasarak Mandal's Shri Sai College of Engineering &amp; Technology, Bhadrawati</x:v>
      </x:c>
      <x:c r="D932" s="72" t="n">
        <x:v>419037010</x:v>
      </x:c>
      <x:c r="E932" s="49" t="str">
        <x:v>Electronics and Communication Engineering</x:v>
      </x:c>
      <x:c r="F932" s="73" t="n">
        <x:v>24</x:v>
      </x:c>
      <x:c r="G932" s="73" t="n">
        <x:v>20</x:v>
      </x:c>
      <x:c r="H932" s="73" t="n">
        <x:v>4</x:v>
      </x:c>
      <x:c r="I932" s="73"/>
      <x:c r="J932" s="73" t="n">
        <x:v>0</x:v>
      </x:c>
      <x:c r="K932" s="49" t="str">
        <x:v>Un-Aided</x:v>
      </x:c>
      <x:c r="L932" s="49" t="str">
        <x:v>MS Seats : 20+ EWS : 4</x:v>
      </x:c>
      <x:c r="M932" s="49" t="str">
        <x:v>https://dse2025.mahacet.org.in/dse25/admin/allotment/cap2/4190_4.pdf</x:v>
      </x:c>
    </x:row>
    <x:row r="933">
      <x:c r="A933" s="49" t="str">
        <x:v>2025-26</x:v>
      </x:c>
      <x:c r="B933" s="63" t="n">
        <x:v>4190</x:v>
      </x:c>
      <x:c r="C933" s="49" t="str">
        <x:v>M.D. Yergude Memorial Shikshan Prasarak Mandal's Shri Sai College of Engineering &amp; Technology, Bhadrawati</x:v>
      </x:c>
      <x:c r="D933" s="72" t="n">
        <x:v>419061210</x:v>
      </x:c>
      <x:c r="E933" s="49" t="str">
        <x:v>Mechanical Engineering</x:v>
      </x:c>
      <x:c r="F933" s="73" t="n">
        <x:v>55</x:v>
      </x:c>
      <x:c r="G933" s="73" t="n">
        <x:v>48</x:v>
      </x:c>
      <x:c r="H933" s="73" t="n">
        <x:v>7</x:v>
      </x:c>
      <x:c r="I933" s="73"/>
      <x:c r="J933" s="73" t="n">
        <x:v>0</x:v>
      </x:c>
      <x:c r="K933" s="49" t="str">
        <x:v>Un-Aided</x:v>
      </x:c>
      <x:c r="L933" s="49" t="str">
        <x:v>MS Seats : 48+ EWS : 7</x:v>
      </x:c>
      <x:c r="M933" s="49" t="str">
        <x:v>https://dse2025.mahacet.org.in/dse25/admin/allotment/cap2/4190_4.pdf</x:v>
      </x:c>
    </x:row>
    <x:row r="934">
      <x:c r="A934" s="49" t="str">
        <x:v>2025-26</x:v>
      </x:c>
      <x:c r="B934" s="63" t="n">
        <x:v>4192</x:v>
      </x:c>
      <x:c r="C934" s="49" t="str">
        <x:v>Maitraya Education Society, Nagarjuna Institute of Engineering Technology &amp; Management, Nagpur</x:v>
      </x:c>
      <x:c r="D934" s="72" t="n">
        <x:v>419219110</x:v>
      </x:c>
      <x:c r="E934" s="49" t="str">
        <x:v>Civil Engineering</x:v>
      </x:c>
      <x:c r="F934" s="73" t="n">
        <x:v>55</x:v>
      </x:c>
      <x:c r="G934" s="73" t="n">
        <x:v>48</x:v>
      </x:c>
      <x:c r="H934" s="73" t="n">
        <x:v>7</x:v>
      </x:c>
      <x:c r="I934" s="73"/>
      <x:c r="J934" s="73" t="n">
        <x:v>0</x:v>
      </x:c>
      <x:c r="K934" s="49" t="str">
        <x:v>Un-Aided</x:v>
      </x:c>
      <x:c r="L934" s="49" t="str">
        <x:v>MS Seats : 48+ EWS : 7</x:v>
      </x:c>
      <x:c r="M934" s="49" t="str">
        <x:v>https://dse2025.mahacet.org.in/dse25/admin/allotment/cap2/4192_4.pdf</x:v>
      </x:c>
    </x:row>
    <x:row r="935">
      <x:c r="A935" s="49" t="str">
        <x:v>2025-26</x:v>
      </x:c>
      <x:c r="B935" s="63" t="n">
        <x:v>4192</x:v>
      </x:c>
      <x:c r="C935" s="49" t="str">
        <x:v>Maitraya Education Society, Nagarjuna Institute of Engineering Technology &amp; Management, Nagpur</x:v>
      </x:c>
      <x:c r="D935" s="72" t="n">
        <x:v>419224210</x:v>
      </x:c>
      <x:c r="E935" s="49" t="str">
        <x:v>Computer Science and Engineering</x:v>
      </x:c>
      <x:c r="F935" s="73" t="n">
        <x:v>24</x:v>
      </x:c>
      <x:c r="G935" s="73" t="n">
        <x:v>17</x:v>
      </x:c>
      <x:c r="H935" s="73" t="n">
        <x:v>7</x:v>
      </x:c>
      <x:c r="I935" s="73"/>
      <x:c r="J935" s="73" t="n">
        <x:v>0</x:v>
      </x:c>
      <x:c r="K935" s="49" t="str">
        <x:v>Un-Aided</x:v>
      </x:c>
      <x:c r="L935" s="49" t="str">
        <x:v>MS Seats : 17+ EWS : 7</x:v>
      </x:c>
      <x:c r="M935" s="49" t="str">
        <x:v>https://dse2025.mahacet.org.in/dse25/admin/allotment/cap2/4192_4.pdf</x:v>
      </x:c>
    </x:row>
    <x:row r="936">
      <x:c r="A936" s="49" t="str">
        <x:v>2025-26</x:v>
      </x:c>
      <x:c r="B936" s="63" t="n">
        <x:v>4192</x:v>
      </x:c>
      <x:c r="C936" s="49" t="str">
        <x:v>Maitraya Education Society, Nagarjuna Institute of Engineering Technology &amp; Management, Nagpur</x:v>
      </x:c>
      <x:c r="D936" s="72" t="n">
        <x:v>419235610</x:v>
      </x:c>
      <x:c r="E936" s="49" t="str">
        <x:v>Electrical Engg[Electronics and Power]</x:v>
      </x:c>
      <x:c r="F936" s="73" t="n">
        <x:v>50</x:v>
      </x:c>
      <x:c r="G936" s="73" t="n">
        <x:v>43</x:v>
      </x:c>
      <x:c r="H936" s="73" t="n">
        <x:v>7</x:v>
      </x:c>
      <x:c r="I936" s="73"/>
      <x:c r="J936" s="73" t="n">
        <x:v>0</x:v>
      </x:c>
      <x:c r="K936" s="49" t="str">
        <x:v>Un-Aided</x:v>
      </x:c>
      <x:c r="L936" s="49" t="str">
        <x:v>MS Seats : 43+ EWS : 7</x:v>
      </x:c>
      <x:c r="M936" s="49" t="str">
        <x:v>https://dse2025.mahacet.org.in/dse25/admin/allotment/cap2/4192_4.pdf</x:v>
      </x:c>
    </x:row>
    <x:row r="937">
      <x:c r="A937" s="49" t="str">
        <x:v>2025-26</x:v>
      </x:c>
      <x:c r="B937" s="63" t="n">
        <x:v>4192</x:v>
      </x:c>
      <x:c r="C937" s="49" t="str">
        <x:v>Maitraya Education Society, Nagarjuna Institute of Engineering Technology &amp; Management, Nagpur</x:v>
      </x:c>
      <x:c r="D937" s="72" t="n">
        <x:v>419261210</x:v>
      </x:c>
      <x:c r="E937" s="49" t="str">
        <x:v>Mechanical Engineering</x:v>
      </x:c>
      <x:c r="F937" s="73" t="n">
        <x:v>51</x:v>
      </x:c>
      <x:c r="G937" s="73" t="n">
        <x:v>45</x:v>
      </x:c>
      <x:c r="H937" s="73" t="n">
        <x:v>6</x:v>
      </x:c>
      <x:c r="I937" s="73"/>
      <x:c r="J937" s="73" t="n">
        <x:v>0</x:v>
      </x:c>
      <x:c r="K937" s="49" t="str">
        <x:v>Un-Aided</x:v>
      </x:c>
      <x:c r="L937" s="49" t="str">
        <x:v>MS Seats : 45+ EWS : 6</x:v>
      </x:c>
      <x:c r="M937" s="49" t="str">
        <x:v>https://dse2025.mahacet.org.in/dse25/admin/allotment/cap2/4192_4.pdf</x:v>
      </x:c>
    </x:row>
    <x:row r="938">
      <x:c r="A938" s="49" t="str">
        <x:v>2025-26</x:v>
      </x:c>
      <x:c r="B938" s="63" t="n">
        <x:v>4192</x:v>
      </x:c>
      <x:c r="C938" s="49" t="str">
        <x:v>Maitraya Education Society, Nagarjuna Institute of Engineering Technology &amp; Management, Nagpur</x:v>
      </x:c>
      <x:c r="D938" s="72" t="n">
        <x:v>419291110</x:v>
      </x:c>
      <x:c r="E938" s="49" t="str">
        <x:v>Computer Science and Engineering(Artificial Intelligence and Machine Learning)</x:v>
      </x:c>
      <x:c r="F938" s="73" t="n">
        <x:v>20</x:v>
      </x:c>
      <x:c r="G938" s="73" t="n">
        <x:v>13</x:v>
      </x:c>
      <x:c r="H938" s="73" t="n">
        <x:v>7</x:v>
      </x:c>
      <x:c r="I938" s="73"/>
      <x:c r="J938" s="73" t="n">
        <x:v>0</x:v>
      </x:c>
      <x:c r="K938" s="49" t="str">
        <x:v>Un-Aided</x:v>
      </x:c>
      <x:c r="L938" s="49" t="str">
        <x:v>MS Seats : 13+ EWS : 7</x:v>
      </x:c>
      <x:c r="M938" s="49" t="str">
        <x:v>https://dse2025.mahacet.org.in/dse25/admin/allotment/cap2/4192_4.pdf</x:v>
      </x:c>
    </x:row>
    <x:row r="939">
      <x:c r="A939" s="49" t="str">
        <x:v>2025-26</x:v>
      </x:c>
      <x:c r="B939" s="63" t="n">
        <x:v>4193</x:v>
      </x:c>
      <x:c r="C939" s="49" t="str">
        <x:v>K.D.M. Education Society, Vidharbha Institute of Technology,Umred Road ,Nagpur</x:v>
      </x:c>
      <x:c r="D939" s="72" t="n">
        <x:v>419324210</x:v>
      </x:c>
      <x:c r="E939" s="49" t="str">
        <x:v>Computer Science and Engineering</x:v>
      </x:c>
      <x:c r="F939" s="73" t="n">
        <x:v>13</x:v>
      </x:c>
      <x:c r="G939" s="73" t="n">
        <x:v>6</x:v>
      </x:c>
      <x:c r="H939" s="73"/>
      <x:c r="I939" s="73" t="n">
        <x:v>7</x:v>
      </x:c>
      <x:c r="J939" s="73" t="n">
        <x:v>0</x:v>
      </x:c>
      <x:c r="K939" s="49" t="str">
        <x:v>Un-Aided Autonomous Linguistic Minority - Hindi</x:v>
      </x:c>
      <x:c r="L939" s="49" t="str">
        <x:v>MS Seats : 6 + Minority Seats : 7</x:v>
      </x:c>
      <x:c r="M939" s="49" t="str">
        <x:v>https://dse2025.mahacet.org.in/dse25/admin/allotment/cap2/4193_4.pdf</x:v>
      </x:c>
    </x:row>
    <x:row r="940">
      <x:c r="A940" s="49" t="str">
        <x:v>2025-26</x:v>
      </x:c>
      <x:c r="B940" s="63" t="n">
        <x:v>4193</x:v>
      </x:c>
      <x:c r="C940" s="49" t="str">
        <x:v>K.D.M. Education Society, Vidharbha Institute of Technology,Umred Road ,Nagpur</x:v>
      </x:c>
      <x:c r="D940" s="72" t="n">
        <x:v>419329310</x:v>
      </x:c>
      <x:c r="E940" s="49" t="str">
        <x:v>Electrical Engineering</x:v>
      </x:c>
      <x:c r="F940" s="73" t="n">
        <x:v>31</x:v>
      </x:c>
      <x:c r="G940" s="73" t="n">
        <x:v>15</x:v>
      </x:c>
      <x:c r="H940" s="73"/>
      <x:c r="I940" s="73" t="n">
        <x:v>16</x:v>
      </x:c>
      <x:c r="J940" s="73" t="n">
        <x:v>0</x:v>
      </x:c>
      <x:c r="K940" s="49" t="str">
        <x:v>Un-Aided Autonomous Linguistic Minority - Hindi</x:v>
      </x:c>
      <x:c r="L940" s="49" t="str">
        <x:v>MS Seats : 15 + Minority Seats : 16</x:v>
      </x:c>
      <x:c r="M940" s="49" t="str">
        <x:v>https://dse2025.mahacet.org.in/dse25/admin/allotment/cap2/4193_4.pdf</x:v>
      </x:c>
    </x:row>
    <x:row r="941">
      <x:c r="A941" s="49" t="str">
        <x:v>2025-26</x:v>
      </x:c>
      <x:c r="B941" s="63" t="n">
        <x:v>4193</x:v>
      </x:c>
      <x:c r="C941" s="49" t="str">
        <x:v>K.D.M. Education Society, Vidharbha Institute of Technology,Umred Road ,Nagpur</x:v>
      </x:c>
      <x:c r="D941" s="72" t="n">
        <x:v>419337010</x:v>
      </x:c>
      <x:c r="E941" s="49" t="str">
        <x:v>Electronics and Communication Engineering</x:v>
      </x:c>
      <x:c r="F941" s="73" t="n">
        <x:v>38</x:v>
      </x:c>
      <x:c r="G941" s="73" t="n">
        <x:v>18</x:v>
      </x:c>
      <x:c r="H941" s="73"/>
      <x:c r="I941" s="73" t="n">
        <x:v>20</x:v>
      </x:c>
      <x:c r="J941" s="73" t="n">
        <x:v>0</x:v>
      </x:c>
      <x:c r="K941" s="49" t="str">
        <x:v>Un-Aided Autonomous Linguistic Minority - Hindi</x:v>
      </x:c>
      <x:c r="L941" s="49" t="str">
        <x:v>MS Seats : 18 + Minority Seats : 20</x:v>
      </x:c>
      <x:c r="M941" s="49" t="str">
        <x:v>https://dse2025.mahacet.org.in/dse25/admin/allotment/cap2/4193_4.pdf</x:v>
      </x:c>
    </x:row>
    <x:row r="942">
      <x:c r="A942" s="49" t="str">
        <x:v>2025-26</x:v>
      </x:c>
      <x:c r="B942" s="63" t="n">
        <x:v>4193</x:v>
      </x:c>
      <x:c r="C942" s="49" t="str">
        <x:v>K.D.M. Education Society, Vidharbha Institute of Technology,Umred Road ,Nagpur</x:v>
      </x:c>
      <x:c r="D942" s="72" t="n">
        <x:v>419361210</x:v>
      </x:c>
      <x:c r="E942" s="49" t="str">
        <x:v>Mechanical Engineering</x:v>
      </x:c>
      <x:c r="F942" s="73" t="n">
        <x:v>33</x:v>
      </x:c>
      <x:c r="G942" s="73" t="n">
        <x:v>16</x:v>
      </x:c>
      <x:c r="H942" s="73"/>
      <x:c r="I942" s="73" t="n">
        <x:v>17</x:v>
      </x:c>
      <x:c r="J942" s="73" t="n">
        <x:v>0</x:v>
      </x:c>
      <x:c r="K942" s="49" t="str">
        <x:v>Un-Aided Autonomous Linguistic Minority - Hindi</x:v>
      </x:c>
      <x:c r="L942" s="49" t="str">
        <x:v>MS Seats : 16 + Minority Seats : 17</x:v>
      </x:c>
      <x:c r="M942" s="49" t="str">
        <x:v>https://dse2025.mahacet.org.in/dse25/admin/allotment/cap2/4193_4.pdf</x:v>
      </x:c>
    </x:row>
    <x:row r="943">
      <x:c r="A943" s="49" t="str">
        <x:v>2025-26</x:v>
      </x:c>
      <x:c r="B943" s="63" t="n">
        <x:v>4193</x:v>
      </x:c>
      <x:c r="C943" s="49" t="str">
        <x:v>K.D.M. Education Society, Vidharbha Institute of Technology,Umred Road ,Nagpur</x:v>
      </x:c>
      <x:c r="D943" s="72" t="n">
        <x:v>419391110</x:v>
      </x:c>
      <x:c r="E943" s="49" t="str">
        <x:v>Computer Science and Engineering(Artificial Intelligence and Machine Learning)</x:v>
      </x:c>
      <x:c r="F943" s="73" t="n">
        <x:v>6</x:v>
      </x:c>
      <x:c r="G943" s="73" t="n">
        <x:v>2</x:v>
      </x:c>
      <x:c r="H943" s="73"/>
      <x:c r="I943" s="73" t="n">
        <x:v>4</x:v>
      </x:c>
      <x:c r="J943" s="73" t="n">
        <x:v>0</x:v>
      </x:c>
      <x:c r="K943" s="49" t="str">
        <x:v>Un-Aided Autonomous Linguistic Minority - Hindi</x:v>
      </x:c>
      <x:c r="L943" s="49" t="str">
        <x:v>MS Seats : 2 + Minority Seats : 4</x:v>
      </x:c>
      <x:c r="M943" s="49" t="str">
        <x:v>https://dse2025.mahacet.org.in/dse25/admin/allotment/cap2/4193_4.pdf</x:v>
      </x:c>
    </x:row>
    <x:row r="944">
      <x:c r="A944" s="49" t="str">
        <x:v>2025-26</x:v>
      </x:c>
      <x:c r="B944" s="63" t="n">
        <x:v>4193</x:v>
      </x:c>
      <x:c r="C944" s="49" t="str">
        <x:v>K.D.M. Education Society, Vidharbha Institute of Technology,Umred Road ,Nagpur</x:v>
      </x:c>
      <x:c r="D944" s="72" t="n">
        <x:v>419391210</x:v>
      </x:c>
      <x:c r="E944" s="49" t="str">
        <x:v>Computer Science and Engineering(Data Science)</x:v>
      </x:c>
      <x:c r="F944" s="73" t="n">
        <x:v>13</x:v>
      </x:c>
      <x:c r="G944" s="73" t="n">
        <x:v>6</x:v>
      </x:c>
      <x:c r="H944" s="73"/>
      <x:c r="I944" s="73" t="n">
        <x:v>7</x:v>
      </x:c>
      <x:c r="J944" s="73" t="n">
        <x:v>0</x:v>
      </x:c>
      <x:c r="K944" s="49" t="str">
        <x:v>Un-Aided Autonomous Linguistic Minority - Hindi</x:v>
      </x:c>
      <x:c r="L944" s="49" t="str">
        <x:v>MS Seats : 6 + Minority Seats : 7</x:v>
      </x:c>
      <x:c r="M944" s="49" t="str">
        <x:v>https://dse2025.mahacet.org.in/dse25/admin/allotment/cap2/4193_4.pdf</x:v>
      </x:c>
    </x:row>
    <x:row r="945">
      <x:c r="A945" s="49" t="str">
        <x:v>2025-26</x:v>
      </x:c>
      <x:c r="B945" s="63" t="n">
        <x:v>4196</x:v>
      </x:c>
      <x:c r="C945" s="49" t="str">
        <x:v>Gurunanak Educational Society's Gurunanak Institute of Technology, Nagpur</x:v>
      </x:c>
      <x:c r="D945" s="72" t="n">
        <x:v>419619110</x:v>
      </x:c>
      <x:c r="E945" s="49" t="str">
        <x:v>Civil Engineering</x:v>
      </x:c>
      <x:c r="F945" s="73" t="n">
        <x:v>27</x:v>
      </x:c>
      <x:c r="G945" s="73" t="n">
        <x:v>24</x:v>
      </x:c>
      <x:c r="H945" s="73" t="n">
        <x:v>3</x:v>
      </x:c>
      <x:c r="I945" s="73"/>
      <x:c r="J945" s="73" t="n">
        <x:v>0</x:v>
      </x:c>
      <x:c r="K945" s="49" t="str">
        <x:v>Un-Aided</x:v>
      </x:c>
      <x:c r="L945" s="49" t="str">
        <x:v>MS Seats : 24+ EWS : 3</x:v>
      </x:c>
      <x:c r="M945" s="49" t="str">
        <x:v>https://dse2025.mahacet.org.in/dse25/admin/allotment/cap2/4196_4.pdf</x:v>
      </x:c>
    </x:row>
    <x:row r="946">
      <x:c r="A946" s="49" t="str">
        <x:v>2025-26</x:v>
      </x:c>
      <x:c r="B946" s="63" t="n">
        <x:v>4196</x:v>
      </x:c>
      <x:c r="C946" s="49" t="str">
        <x:v>Gurunanak Educational Society's Gurunanak Institute of Technology, Nagpur</x:v>
      </x:c>
      <x:c r="D946" s="72" t="n">
        <x:v>419624210</x:v>
      </x:c>
      <x:c r="E946" s="49" t="str">
        <x:v>Computer Science and Engineering</x:v>
      </x:c>
      <x:c r="F946" s="73" t="n">
        <x:v>23</x:v>
      </x:c>
      <x:c r="G946" s="73" t="n">
        <x:v>16</x:v>
      </x:c>
      <x:c r="H946" s="73" t="n">
        <x:v>7</x:v>
      </x:c>
      <x:c r="I946" s="73"/>
      <x:c r="J946" s="73" t="n">
        <x:v>0</x:v>
      </x:c>
      <x:c r="K946" s="49" t="str">
        <x:v>Un-Aided</x:v>
      </x:c>
      <x:c r="L946" s="49" t="str">
        <x:v>MS Seats : 16+ EWS : 7</x:v>
      </x:c>
      <x:c r="M946" s="49" t="str">
        <x:v>https://dse2025.mahacet.org.in/dse25/admin/allotment/cap2/4196_4.pdf</x:v>
      </x:c>
    </x:row>
    <x:row r="947">
      <x:c r="A947" s="49" t="str">
        <x:v>2025-26</x:v>
      </x:c>
      <x:c r="B947" s="63" t="n">
        <x:v>4196</x:v>
      </x:c>
      <x:c r="C947" s="49" t="str">
        <x:v>Gurunanak Educational Society's Gurunanak Institute of Technology, Nagpur</x:v>
      </x:c>
      <x:c r="D947" s="72" t="n">
        <x:v>419637210</x:v>
      </x:c>
      <x:c r="E947" s="49" t="str">
        <x:v>Electronics and Telecommunication Engg</x:v>
      </x:c>
      <x:c r="F947" s="73" t="n">
        <x:v>32</x:v>
      </x:c>
      <x:c r="G947" s="73" t="n">
        <x:v>25</x:v>
      </x:c>
      <x:c r="H947" s="73" t="n">
        <x:v>7</x:v>
      </x:c>
      <x:c r="I947" s="73"/>
      <x:c r="J947" s="73" t="n">
        <x:v>0</x:v>
      </x:c>
      <x:c r="K947" s="49" t="str">
        <x:v>Un-Aided</x:v>
      </x:c>
      <x:c r="L947" s="49" t="str">
        <x:v>MS Seats : 25+ EWS : 7</x:v>
      </x:c>
      <x:c r="M947" s="49" t="str">
        <x:v>https://dse2025.mahacet.org.in/dse25/admin/allotment/cap2/4196_4.pdf</x:v>
      </x:c>
    </x:row>
    <x:row r="948">
      <x:c r="A948" s="49" t="str">
        <x:v>2025-26</x:v>
      </x:c>
      <x:c r="B948" s="63" t="n">
        <x:v>4196</x:v>
      </x:c>
      <x:c r="C948" s="49" t="str">
        <x:v>Gurunanak Educational Society's Gurunanak Institute of Technology, Nagpur</x:v>
      </x:c>
      <x:c r="D948" s="72" t="n">
        <x:v>419661210</x:v>
      </x:c>
      <x:c r="E948" s="49" t="str">
        <x:v>Mechanical Engineering</x:v>
      </x:c>
      <x:c r="F948" s="73" t="n">
        <x:v>21</x:v>
      </x:c>
      <x:c r="G948" s="73" t="n">
        <x:v>18</x:v>
      </x:c>
      <x:c r="H948" s="73" t="n">
        <x:v>3</x:v>
      </x:c>
      <x:c r="I948" s="73"/>
      <x:c r="J948" s="73" t="n">
        <x:v>0</x:v>
      </x:c>
      <x:c r="K948" s="49" t="str">
        <x:v>Un-Aided</x:v>
      </x:c>
      <x:c r="L948" s="49" t="str">
        <x:v>MS Seats : 18+ EWS : 3</x:v>
      </x:c>
      <x:c r="M948" s="49" t="str">
        <x:v>https://dse2025.mahacet.org.in/dse25/admin/allotment/cap2/4196_4.pdf</x:v>
      </x:c>
    </x:row>
    <x:row r="949">
      <x:c r="A949" s="49" t="str">
        <x:v>2025-26</x:v>
      </x:c>
      <x:c r="B949" s="63" t="n">
        <x:v>4196</x:v>
      </x:c>
      <x:c r="C949" s="49" t="str">
        <x:v>Gurunanak Educational Society's Gurunanak Institute of Technology, Nagpur</x:v>
      </x:c>
      <x:c r="D949" s="72" t="n">
        <x:v>419691010</x:v>
      </x:c>
      <x:c r="E949" s="49" t="str">
        <x:v>Computer Science and Engineering(Cyber Security)</x:v>
      </x:c>
      <x:c r="F949" s="73" t="n">
        <x:v>38</x:v>
      </x:c>
      <x:c r="G949" s="73" t="n">
        <x:v>31</x:v>
      </x:c>
      <x:c r="H949" s="73" t="n">
        <x:v>7</x:v>
      </x:c>
      <x:c r="I949" s="73"/>
      <x:c r="J949" s="73" t="n">
        <x:v>0</x:v>
      </x:c>
      <x:c r="K949" s="49" t="str">
        <x:v>Un-Aided</x:v>
      </x:c>
      <x:c r="L949" s="49" t="str">
        <x:v>MS Seats : 31+ EWS : 7</x:v>
      </x:c>
      <x:c r="M949" s="49" t="str">
        <x:v>https://dse2025.mahacet.org.in/dse25/admin/allotment/cap2/4196_4.pdf</x:v>
      </x:c>
    </x:row>
    <x:row r="950">
      <x:c r="A950" s="49" t="str">
        <x:v>2025-26</x:v>
      </x:c>
      <x:c r="B950" s="63" t="n">
        <x:v>4196</x:v>
      </x:c>
      <x:c r="C950" s="49" t="str">
        <x:v>Gurunanak Educational Society's Gurunanak Institute of Technology, Nagpur</x:v>
      </x:c>
      <x:c r="D950" s="72" t="n">
        <x:v>419691210</x:v>
      </x:c>
      <x:c r="E950" s="49" t="str">
        <x:v>Computer Science and Engineering(Data Science)</x:v>
      </x:c>
      <x:c r="F950" s="73" t="n">
        <x:v>26</x:v>
      </x:c>
      <x:c r="G950" s="73" t="n">
        <x:v>19</x:v>
      </x:c>
      <x:c r="H950" s="73" t="n">
        <x:v>7</x:v>
      </x:c>
      <x:c r="I950" s="73"/>
      <x:c r="J950" s="73" t="n">
        <x:v>0</x:v>
      </x:c>
      <x:c r="K950" s="49" t="str">
        <x:v>Un-Aided</x:v>
      </x:c>
      <x:c r="L950" s="49" t="str">
        <x:v>MS Seats : 19+ EWS : 7</x:v>
      </x:c>
      <x:c r="M950" s="49" t="str">
        <x:v>https://dse2025.mahacet.org.in/dse25/admin/allotment/cap2/4196_4.pdf</x:v>
      </x:c>
    </x:row>
    <x:row r="951">
      <x:c r="A951" s="49" t="str">
        <x:v>2025-26</x:v>
      </x:c>
      <x:c r="B951" s="63" t="n">
        <x:v>4196</x:v>
      </x:c>
      <x:c r="C951" s="49" t="str">
        <x:v>Gurunanak Educational Society's Gurunanak Institute of Technology, Nagpur</x:v>
      </x:c>
      <x:c r="D951" s="72" t="n">
        <x:v>419692110</x:v>
      </x:c>
      <x:c r="E951" s="49" t="str">
        <x:v>Artificial Intelligence and Machine Learning</x:v>
      </x:c>
      <x:c r="F951" s="73" t="n">
        <x:v>28</x:v>
      </x:c>
      <x:c r="G951" s="73" t="n">
        <x:v>21</x:v>
      </x:c>
      <x:c r="H951" s="73" t="n">
        <x:v>7</x:v>
      </x:c>
      <x:c r="I951" s="73"/>
      <x:c r="J951" s="73" t="n">
        <x:v>0</x:v>
      </x:c>
      <x:c r="K951" s="49" t="str">
        <x:v>Un-Aided</x:v>
      </x:c>
      <x:c r="L951" s="49" t="str">
        <x:v>MS Seats : 21+ EWS : 7</x:v>
      </x:c>
      <x:c r="M951" s="49" t="str">
        <x:v>https://dse2025.mahacet.org.in/dse25/admin/allotment/cap2/4196_4.pdf</x:v>
      </x:c>
    </x:row>
    <x:row r="952">
      <x:c r="A952" s="49" t="str">
        <x:v>2025-26</x:v>
      </x:c>
      <x:c r="B952" s="63" t="n">
        <x:v>4197</x:v>
      </x:c>
      <x:c r="C952" s="49" t="str">
        <x:v>Jai Mahakali Shikshan Sanstha, Agnihotri College of Engineering, Sindhi(Meghe)</x:v>
      </x:c>
      <x:c r="D952" s="72" t="n">
        <x:v>419719110</x:v>
      </x:c>
      <x:c r="E952" s="49" t="str">
        <x:v>Civil Engineering</x:v>
      </x:c>
      <x:c r="F952" s="73" t="n">
        <x:v>33</x:v>
      </x:c>
      <x:c r="G952" s="73" t="n">
        <x:v>30</x:v>
      </x:c>
      <x:c r="H952" s="73" t="n">
        <x:v>3</x:v>
      </x:c>
      <x:c r="I952" s="73"/>
      <x:c r="J952" s="73" t="n">
        <x:v>0</x:v>
      </x:c>
      <x:c r="K952" s="49" t="str">
        <x:v>Un-Aided</x:v>
      </x:c>
      <x:c r="L952" s="49" t="str">
        <x:v>MS Seats : 30+ EWS : 3</x:v>
      </x:c>
      <x:c r="M952" s="49" t="str">
        <x:v>https://dse2025.mahacet.org.in/dse25/admin/allotment/cap2/4197_4.pdf</x:v>
      </x:c>
    </x:row>
    <x:row r="953">
      <x:c r="A953" s="49" t="str">
        <x:v>2025-26</x:v>
      </x:c>
      <x:c r="B953" s="63" t="n">
        <x:v>4197</x:v>
      </x:c>
      <x:c r="C953" s="49" t="str">
        <x:v>Jai Mahakali Shikshan Sanstha, Agnihotri College of Engineering, Sindhi(Meghe)</x:v>
      </x:c>
      <x:c r="D953" s="72" t="n">
        <x:v>419724210</x:v>
      </x:c>
      <x:c r="E953" s="49" t="str">
        <x:v>Computer Science and Engineering</x:v>
      </x:c>
      <x:c r="F953" s="73" t="n">
        <x:v>8</x:v>
      </x:c>
      <x:c r="G953" s="73" t="n">
        <x:v>6</x:v>
      </x:c>
      <x:c r="H953" s="73" t="n">
        <x:v>2</x:v>
      </x:c>
      <x:c r="I953" s="73"/>
      <x:c r="J953" s="73" t="n">
        <x:v>0</x:v>
      </x:c>
      <x:c r="K953" s="49" t="str">
        <x:v>Un-Aided</x:v>
      </x:c>
      <x:c r="L953" s="49" t="str">
        <x:v>MS Seats : 6+ EWS : 2</x:v>
      </x:c>
      <x:c r="M953" s="49" t="str">
        <x:v>https://dse2025.mahacet.org.in/dse25/admin/allotment/cap2/4197_4.pdf</x:v>
      </x:c>
    </x:row>
    <x:row r="954">
      <x:c r="A954" s="49" t="str">
        <x:v>2025-26</x:v>
      </x:c>
      <x:c r="B954" s="63" t="n">
        <x:v>4197</x:v>
      </x:c>
      <x:c r="C954" s="49" t="str">
        <x:v>Jai Mahakali Shikshan Sanstha, Agnihotri College of Engineering, Sindhi(Meghe)</x:v>
      </x:c>
      <x:c r="D954" s="72" t="n">
        <x:v>419729310</x:v>
      </x:c>
      <x:c r="E954" s="49" t="str">
        <x:v>Electrical Engineering</x:v>
      </x:c>
      <x:c r="F954" s="73" t="n">
        <x:v>15</x:v>
      </x:c>
      <x:c r="G954" s="73" t="n">
        <x:v>12</x:v>
      </x:c>
      <x:c r="H954" s="73" t="n">
        <x:v>3</x:v>
      </x:c>
      <x:c r="I954" s="73"/>
      <x:c r="J954" s="73" t="n">
        <x:v>0</x:v>
      </x:c>
      <x:c r="K954" s="49" t="str">
        <x:v>Un-Aided</x:v>
      </x:c>
      <x:c r="L954" s="49" t="str">
        <x:v>MS Seats : 12+ EWS : 3</x:v>
      </x:c>
      <x:c r="M954" s="49" t="str">
        <x:v>https://dse2025.mahacet.org.in/dse25/admin/allotment/cap2/4197_4.pdf</x:v>
      </x:c>
    </x:row>
    <x:row r="955">
      <x:c r="A955" s="49" t="str">
        <x:v>2025-26</x:v>
      </x:c>
      <x:c r="B955" s="63" t="n">
        <x:v>4197</x:v>
      </x:c>
      <x:c r="C955" s="49" t="str">
        <x:v>Jai Mahakali Shikshan Sanstha, Agnihotri College of Engineering, Sindhi(Meghe)</x:v>
      </x:c>
      <x:c r="D955" s="72" t="n">
        <x:v>419737010</x:v>
      </x:c>
      <x:c r="E955" s="49" t="str">
        <x:v>Electronics and Communication Engineering</x:v>
      </x:c>
      <x:c r="F955" s="73" t="n">
        <x:v>26</x:v>
      </x:c>
      <x:c r="G955" s="73" t="n">
        <x:v>23</x:v>
      </x:c>
      <x:c r="H955" s="73" t="n">
        <x:v>3</x:v>
      </x:c>
      <x:c r="I955" s="73"/>
      <x:c r="J955" s="73" t="n">
        <x:v>0</x:v>
      </x:c>
      <x:c r="K955" s="49" t="str">
        <x:v>Un-Aided</x:v>
      </x:c>
      <x:c r="L955" s="49" t="str">
        <x:v>MS Seats : 23+ EWS : 3</x:v>
      </x:c>
      <x:c r="M955" s="49" t="str">
        <x:v>https://dse2025.mahacet.org.in/dse25/admin/allotment/cap2/4197_4.pdf</x:v>
      </x:c>
    </x:row>
    <x:row r="956">
      <x:c r="A956" s="49" t="str">
        <x:v>2025-26</x:v>
      </x:c>
      <x:c r="B956" s="63" t="n">
        <x:v>4197</x:v>
      </x:c>
      <x:c r="C956" s="49" t="str">
        <x:v>Jai Mahakali Shikshan Sanstha, Agnihotri College of Engineering, Sindhi(Meghe)</x:v>
      </x:c>
      <x:c r="D956" s="72" t="n">
        <x:v>419761210</x:v>
      </x:c>
      <x:c r="E956" s="49" t="str">
        <x:v>Mechanical Engineering</x:v>
      </x:c>
      <x:c r="F956" s="73" t="n">
        <x:v>18</x:v>
      </x:c>
      <x:c r="G956" s="73" t="n">
        <x:v>16</x:v>
      </x:c>
      <x:c r="H956" s="73" t="n">
        <x:v>2</x:v>
      </x:c>
      <x:c r="I956" s="73"/>
      <x:c r="J956" s="73" t="n">
        <x:v>0</x:v>
      </x:c>
      <x:c r="K956" s="49" t="str">
        <x:v>Un-Aided</x:v>
      </x:c>
      <x:c r="L956" s="49" t="str">
        <x:v>MS Seats : 16+ EWS : 2</x:v>
      </x:c>
      <x:c r="M956" s="49" t="str">
        <x:v>https://dse2025.mahacet.org.in/dse25/admin/allotment/cap2/4197_4.pdf</x:v>
      </x:c>
    </x:row>
    <x:row r="957">
      <x:c r="A957" s="49" t="str">
        <x:v>2025-26</x:v>
      </x:c>
      <x:c r="B957" s="63" t="n">
        <x:v>4285</x:v>
      </x:c>
      <x:c r="C957" s="49" t="str">
        <x:v>V M Institute of Engineering and Technology, Dongargaon, Nagpur</x:v>
      </x:c>
      <x:c r="D957" s="72" t="n">
        <x:v>428519110</x:v>
      </x:c>
      <x:c r="E957" s="49" t="str">
        <x:v>Civil Engineering</x:v>
      </x:c>
      <x:c r="F957" s="73" t="n">
        <x:v>59</x:v>
      </x:c>
      <x:c r="G957" s="73" t="n">
        <x:v>52</x:v>
      </x:c>
      <x:c r="H957" s="73" t="n">
        <x:v>7</x:v>
      </x:c>
      <x:c r="I957" s="73"/>
      <x:c r="J957" s="73" t="n">
        <x:v>0</x:v>
      </x:c>
      <x:c r="K957" s="49" t="str">
        <x:v>Un-Aided</x:v>
      </x:c>
      <x:c r="L957" s="49" t="str">
        <x:v>MS Seats : 52+ EWS : 7</x:v>
      </x:c>
      <x:c r="M957" s="49" t="str">
        <x:v>https://dse2025.mahacet.org.in/dse25/admin/allotment/cap2/4285_4.pdf</x:v>
      </x:c>
    </x:row>
    <x:row r="958">
      <x:c r="A958" s="49" t="str">
        <x:v>2025-26</x:v>
      </x:c>
      <x:c r="B958" s="63" t="n">
        <x:v>4285</x:v>
      </x:c>
      <x:c r="C958" s="49" t="str">
        <x:v>V M Institute of Engineering and Technology, Dongargaon, Nagpur</x:v>
      </x:c>
      <x:c r="D958" s="72" t="n">
        <x:v>428524610</x:v>
      </x:c>
      <x:c r="E958" s="49" t="str">
        <x:v>Information Technology</x:v>
      </x:c>
      <x:c r="F958" s="73" t="n">
        <x:v>21</x:v>
      </x:c>
      <x:c r="G958" s="73" t="n">
        <x:v>14</x:v>
      </x:c>
      <x:c r="H958" s="73" t="n">
        <x:v>7</x:v>
      </x:c>
      <x:c r="I958" s="73"/>
      <x:c r="J958" s="73" t="n">
        <x:v>0</x:v>
      </x:c>
      <x:c r="K958" s="49" t="str">
        <x:v>Un-Aided</x:v>
      </x:c>
      <x:c r="L958" s="49" t="str">
        <x:v>MS Seats : 14+ EWS : 7</x:v>
      </x:c>
      <x:c r="M958" s="49" t="str">
        <x:v>https://dse2025.mahacet.org.in/dse25/admin/allotment/cap2/4285_4.pdf</x:v>
      </x:c>
    </x:row>
    <x:row r="959">
      <x:c r="A959" s="49" t="str">
        <x:v>2025-26</x:v>
      </x:c>
      <x:c r="B959" s="63" t="n">
        <x:v>4285</x:v>
      </x:c>
      <x:c r="C959" s="49" t="str">
        <x:v>V M Institute of Engineering and Technology, Dongargaon, Nagpur</x:v>
      </x:c>
      <x:c r="D959" s="72" t="n">
        <x:v>428529310</x:v>
      </x:c>
      <x:c r="E959" s="49" t="str">
        <x:v>Electrical Engineering</x:v>
      </x:c>
      <x:c r="F959" s="73" t="n">
        <x:v>41</x:v>
      </x:c>
      <x:c r="G959" s="73" t="n">
        <x:v>34</x:v>
      </x:c>
      <x:c r="H959" s="73" t="n">
        <x:v>7</x:v>
      </x:c>
      <x:c r="I959" s="73"/>
      <x:c r="J959" s="73" t="n">
        <x:v>0</x:v>
      </x:c>
      <x:c r="K959" s="49" t="str">
        <x:v>Un-Aided</x:v>
      </x:c>
      <x:c r="L959" s="49" t="str">
        <x:v>MS Seats : 34+ EWS : 7</x:v>
      </x:c>
      <x:c r="M959" s="49" t="str">
        <x:v>https://dse2025.mahacet.org.in/dse25/admin/allotment/cap2/4285_4.pdf</x:v>
      </x:c>
    </x:row>
    <x:row r="960">
      <x:c r="A960" s="49" t="str">
        <x:v>2025-26</x:v>
      </x:c>
      <x:c r="B960" s="63" t="n">
        <x:v>4285</x:v>
      </x:c>
      <x:c r="C960" s="49" t="str">
        <x:v>V M Institute of Engineering and Technology, Dongargaon, Nagpur</x:v>
      </x:c>
      <x:c r="D960" s="72" t="n">
        <x:v>428561210</x:v>
      </x:c>
      <x:c r="E960" s="49" t="str">
        <x:v>Mechanical Engineering</x:v>
      </x:c>
      <x:c r="F960" s="73" t="n">
        <x:v>132</x:v>
      </x:c>
      <x:c r="G960" s="73" t="n">
        <x:v>118</x:v>
      </x:c>
      <x:c r="H960" s="73" t="n">
        <x:v>14</x:v>
      </x:c>
      <x:c r="I960" s="73"/>
      <x:c r="J960" s="73" t="n">
        <x:v>0</x:v>
      </x:c>
      <x:c r="K960" s="49" t="str">
        <x:v>Un-Aided</x:v>
      </x:c>
      <x:c r="L960" s="49" t="str">
        <x:v>MS Seats : 118+ EWS : 14</x:v>
      </x:c>
      <x:c r="M960" s="49" t="str">
        <x:v>https://dse2025.mahacet.org.in/dse25/admin/allotment/cap2/4285_4.pdf</x:v>
      </x:c>
    </x:row>
    <x:row r="961">
      <x:c r="A961" s="49" t="str">
        <x:v>2025-26</x:v>
      </x:c>
      <x:c r="B961" s="63" t="n">
        <x:v>4302</x:v>
      </x:c>
      <x:c r="C961" s="49" t="str">
        <x:v>Gondia Education Society's Manoharbhai Patel Institute Of Engineering &amp; Technology, Shahapur, Bhandara</x:v>
      </x:c>
      <x:c r="D961" s="72" t="n">
        <x:v>430219110</x:v>
      </x:c>
      <x:c r="E961" s="49" t="str">
        <x:v>Civil Engineering</x:v>
      </x:c>
      <x:c r="F961" s="73" t="n">
        <x:v>19</x:v>
      </x:c>
      <x:c r="G961" s="73" t="n">
        <x:v>16</x:v>
      </x:c>
      <x:c r="H961" s="73" t="n">
        <x:v>3</x:v>
      </x:c>
      <x:c r="I961" s="73"/>
      <x:c r="J961" s="73" t="n">
        <x:v>0</x:v>
      </x:c>
      <x:c r="K961" s="49" t="str">
        <x:v>Un-Aided</x:v>
      </x:c>
      <x:c r="L961" s="49" t="str">
        <x:v>MS Seats : 16+ EWS : 3</x:v>
      </x:c>
      <x:c r="M961" s="49" t="str">
        <x:v>https://dse2025.mahacet.org.in/dse25/admin/allotment/cap2/4302_4.pdf</x:v>
      </x:c>
    </x:row>
    <x:row r="962">
      <x:c r="A962" s="49" t="str">
        <x:v>2025-26</x:v>
      </x:c>
      <x:c r="B962" s="63" t="n">
        <x:v>4302</x:v>
      </x:c>
      <x:c r="C962" s="49" t="str">
        <x:v>Gondia Education Society's Manoharbhai Patel Institute Of Engineering &amp; Technology, Shahapur, Bhandara</x:v>
      </x:c>
      <x:c r="D962" s="72" t="n">
        <x:v>430224510</x:v>
      </x:c>
      <x:c r="E962" s="49" t="str">
        <x:v>Computer Engineering</x:v>
      </x:c>
      <x:c r="F962" s="73" t="n">
        <x:v>12</x:v>
      </x:c>
      <x:c r="G962" s="73" t="n">
        <x:v>8</x:v>
      </x:c>
      <x:c r="H962" s="73" t="n">
        <x:v>4</x:v>
      </x:c>
      <x:c r="I962" s="73"/>
      <x:c r="J962" s="73" t="n">
        <x:v>0</x:v>
      </x:c>
      <x:c r="K962" s="49" t="str">
        <x:v>Un-Aided</x:v>
      </x:c>
      <x:c r="L962" s="49" t="str">
        <x:v>MS Seats : 8+ EWS : 4</x:v>
      </x:c>
      <x:c r="M962" s="49" t="str">
        <x:v>https://dse2025.mahacet.org.in/dse25/admin/allotment/cap2/4302_4.pdf</x:v>
      </x:c>
    </x:row>
    <x:row r="963">
      <x:c r="A963" s="49" t="str">
        <x:v>2025-26</x:v>
      </x:c>
      <x:c r="B963" s="63" t="n">
        <x:v>4302</x:v>
      </x:c>
      <x:c r="C963" s="49" t="str">
        <x:v>Gondia Education Society's Manoharbhai Patel Institute Of Engineering &amp; Technology, Shahapur, Bhandara</x:v>
      </x:c>
      <x:c r="D963" s="72" t="n">
        <x:v>430261210</x:v>
      </x:c>
      <x:c r="E963" s="49" t="str">
        <x:v>Mechanical Engineering</x:v>
      </x:c>
      <x:c r="F963" s="73" t="n">
        <x:v>30</x:v>
      </x:c>
      <x:c r="G963" s="73" t="n">
        <x:v>27</x:v>
      </x:c>
      <x:c r="H963" s="73" t="n">
        <x:v>3</x:v>
      </x:c>
      <x:c r="I963" s="73"/>
      <x:c r="J963" s="73" t="n">
        <x:v>0</x:v>
      </x:c>
      <x:c r="K963" s="49" t="str">
        <x:v>Un-Aided</x:v>
      </x:c>
      <x:c r="L963" s="49" t="str">
        <x:v>MS Seats : 27+ EWS : 3</x:v>
      </x:c>
      <x:c r="M963" s="49" t="str">
        <x:v>https://dse2025.mahacet.org.in/dse25/admin/allotment/cap2/4302_4.pdf</x:v>
      </x:c>
    </x:row>
    <x:row r="964">
      <x:c r="A964" s="49" t="str">
        <x:v>2025-26</x:v>
      </x:c>
      <x:c r="B964" s="63" t="n">
        <x:v>4304</x:v>
      </x:c>
      <x:c r="C964" s="49" t="str">
        <x:v>Cummins College of Engineering For Women, Sukhali (Gupchup), Tal. Hingna Hingna Nagpur</x:v>
      </x:c>
      <x:c r="D964" s="72" t="n">
        <x:v>430424550</x:v>
      </x:c>
      <x:c r="E964" s="49" t="str">
        <x:v>Computer Engineering</x:v>
      </x:c>
      <x:c r="F964" s="73" t="n">
        <x:v>18</x:v>
      </x:c>
      <x:c r="G964" s="73" t="n">
        <x:v>16</x:v>
      </x:c>
      <x:c r="H964" s="73" t="n">
        <x:v>2</x:v>
      </x:c>
      <x:c r="I964" s="73"/>
      <x:c r="J964" s="73" t="n">
        <x:v>0</x:v>
      </x:c>
      <x:c r="K964" s="49" t="str">
        <x:v>Un-Aided</x:v>
      </x:c>
      <x:c r="L964" s="49" t="str">
        <x:v>MS Seats : 16+ EWS : 2</x:v>
      </x:c>
      <x:c r="M964" s="49" t="str">
        <x:v>https://dse2025.mahacet.org.in/dse25/admin/allotment/cap2/4304_4.pdf</x:v>
      </x:c>
    </x:row>
    <x:row r="965">
      <x:c r="A965" s="49" t="str">
        <x:v>2025-26</x:v>
      </x:c>
      <x:c r="B965" s="63" t="n">
        <x:v>4304</x:v>
      </x:c>
      <x:c r="C965" s="49" t="str">
        <x:v>Cummins College of Engineering For Women, Sukhali (Gupchup), Tal. Hingna Hingna Nagpur</x:v>
      </x:c>
      <x:c r="D965" s="72" t="n">
        <x:v>430437250</x:v>
      </x:c>
      <x:c r="E965" s="49" t="str">
        <x:v>Electronics and Telecommunication Engg</x:v>
      </x:c>
      <x:c r="F965" s="73" t="n">
        <x:v>8</x:v>
      </x:c>
      <x:c r="G965" s="73" t="n">
        <x:v>7</x:v>
      </x:c>
      <x:c r="H965" s="73" t="n">
        <x:v>1</x:v>
      </x:c>
      <x:c r="I965" s="73"/>
      <x:c r="J965" s="73" t="n">
        <x:v>0</x:v>
      </x:c>
      <x:c r="K965" s="49" t="str">
        <x:v>Un-Aided</x:v>
      </x:c>
      <x:c r="L965" s="49" t="str">
        <x:v>MS Seats : 7+ EWS : 1</x:v>
      </x:c>
      <x:c r="M965" s="49" t="str">
        <x:v>https://dse2025.mahacet.org.in/dse25/admin/allotment/cap2/4304_4.pdf</x:v>
      </x:c>
    </x:row>
    <x:row r="966">
      <x:c r="A966" s="49" t="str">
        <x:v>2025-26</x:v>
      </x:c>
      <x:c r="B966" s="63" t="n">
        <x:v>4304</x:v>
      </x:c>
      <x:c r="C966" s="49" t="str">
        <x:v>Cummins College of Engineering For Women, Sukhali (Gupchup), Tal. Hingna Hingna Nagpur</x:v>
      </x:c>
      <x:c r="D966" s="72" t="n">
        <x:v>430461250</x:v>
      </x:c>
      <x:c r="E966" s="49" t="str">
        <x:v>Mechanical Engineering</x:v>
      </x:c>
      <x:c r="F966" s="73" t="n">
        <x:v>11</x:v>
      </x:c>
      <x:c r="G966" s="73" t="n">
        <x:v>8</x:v>
      </x:c>
      <x:c r="H966" s="73" t="n">
        <x:v>3</x:v>
      </x:c>
      <x:c r="I966" s="73"/>
      <x:c r="J966" s="73" t="n">
        <x:v>0</x:v>
      </x:c>
      <x:c r="K966" s="49" t="str">
        <x:v>Un-Aided</x:v>
      </x:c>
      <x:c r="L966" s="49" t="str">
        <x:v>MS Seats : 8+ EWS : 3</x:v>
      </x:c>
      <x:c r="M966" s="49" t="str">
        <x:v>https://dse2025.mahacet.org.in/dse25/admin/allotment/cap2/4304_4.pdf</x:v>
      </x:c>
    </x:row>
    <x:row r="967">
      <x:c r="A967" s="49" t="str">
        <x:v>2025-26</x:v>
      </x:c>
      <x:c r="B967" s="63" t="n">
        <x:v>4613</x:v>
      </x:c>
      <x:c r="C967" s="49" t="str">
        <x:v>Suryodaya College of Engineering &amp; Technology, Nagpur</x:v>
      </x:c>
      <x:c r="D967" s="72" t="n">
        <x:v>461319110</x:v>
      </x:c>
      <x:c r="E967" s="49" t="str">
        <x:v>Civil Engineering</x:v>
      </x:c>
      <x:c r="F967" s="73" t="n">
        <x:v>10</x:v>
      </x:c>
      <x:c r="G967" s="73" t="n">
        <x:v>7</x:v>
      </x:c>
      <x:c r="H967" s="73" t="n">
        <x:v>3</x:v>
      </x:c>
      <x:c r="I967" s="73"/>
      <x:c r="J967" s="73" t="n">
        <x:v>0</x:v>
      </x:c>
      <x:c r="K967" s="49" t="str">
        <x:v>Un-Aided Autonomous</x:v>
      </x:c>
      <x:c r="L967" s="49" t="str">
        <x:v>MS Seats : 7+ EWS : 3</x:v>
      </x:c>
      <x:c r="M967" s="49" t="str">
        <x:v>https://dse2025.mahacet.org.in/dse25/admin/allotment/cap2/4613_4.pdf</x:v>
      </x:c>
    </x:row>
    <x:row r="968">
      <x:c r="A968" s="49" t="str">
        <x:v>2025-26</x:v>
      </x:c>
      <x:c r="B968" s="63" t="n">
        <x:v>4613</x:v>
      </x:c>
      <x:c r="C968" s="49" t="str">
        <x:v>Suryodaya College of Engineering &amp; Technology, Nagpur</x:v>
      </x:c>
      <x:c r="D968" s="72" t="n">
        <x:v>461324510</x:v>
      </x:c>
      <x:c r="E968" s="49" t="str">
        <x:v>Computer Engineering</x:v>
      </x:c>
      <x:c r="F968" s="73" t="n">
        <x:v>12</x:v>
      </x:c>
      <x:c r="G968" s="73" t="n">
        <x:v>10</x:v>
      </x:c>
      <x:c r="H968" s="73" t="n">
        <x:v>2</x:v>
      </x:c>
      <x:c r="I968" s="73"/>
      <x:c r="J968" s="73" t="n">
        <x:v>0</x:v>
      </x:c>
      <x:c r="K968" s="49" t="str">
        <x:v>Un-Aided Autonomous</x:v>
      </x:c>
      <x:c r="L968" s="49" t="str">
        <x:v>MS Seats : 10+ EWS : 2</x:v>
      </x:c>
      <x:c r="M968" s="49" t="str">
        <x:v>https://dse2025.mahacet.org.in/dse25/admin/allotment/cap2/4613_4.pdf</x:v>
      </x:c>
    </x:row>
    <x:row r="969">
      <x:c r="A969" s="49" t="str">
        <x:v>2025-26</x:v>
      </x:c>
      <x:c r="B969" s="63" t="n">
        <x:v>4613</x:v>
      </x:c>
      <x:c r="C969" s="49" t="str">
        <x:v>Suryodaya College of Engineering &amp; Technology, Nagpur</x:v>
      </x:c>
      <x:c r="D969" s="72" t="n">
        <x:v>461326510</x:v>
      </x:c>
      <x:c r="E969" s="49" t="str">
        <x:v>Industrial IoT</x:v>
      </x:c>
      <x:c r="F969" s="73" t="n">
        <x:v>10</x:v>
      </x:c>
      <x:c r="G969" s="73" t="n">
        <x:v>7</x:v>
      </x:c>
      <x:c r="H969" s="73" t="n">
        <x:v>3</x:v>
      </x:c>
      <x:c r="I969" s="73"/>
      <x:c r="J969" s="73" t="n">
        <x:v>0</x:v>
      </x:c>
      <x:c r="K969" s="49" t="str">
        <x:v>Un-Aided Autonomous</x:v>
      </x:c>
      <x:c r="L969" s="49" t="str">
        <x:v>MS Seats : 7+ EWS : 3</x:v>
      </x:c>
      <x:c r="M969" s="49" t="str">
        <x:v>https://dse2025.mahacet.org.in/dse25/admin/allotment/cap2/4613_4.pdf</x:v>
      </x:c>
    </x:row>
    <x:row r="970">
      <x:c r="A970" s="49" t="str">
        <x:v>2025-26</x:v>
      </x:c>
      <x:c r="B970" s="63" t="n">
        <x:v>4613</x:v>
      </x:c>
      <x:c r="C970" s="49" t="str">
        <x:v>Suryodaya College of Engineering &amp; Technology, Nagpur</x:v>
      </x:c>
      <x:c r="D970" s="72" t="n">
        <x:v>461329310</x:v>
      </x:c>
      <x:c r="E970" s="49" t="str">
        <x:v>Electrical Engineering</x:v>
      </x:c>
      <x:c r="F970" s="73" t="n">
        <x:v>15</x:v>
      </x:c>
      <x:c r="G970" s="73" t="n">
        <x:v>11</x:v>
      </x:c>
      <x:c r="H970" s="73" t="n">
        <x:v>4</x:v>
      </x:c>
      <x:c r="I970" s="73"/>
      <x:c r="J970" s="73" t="n">
        <x:v>0</x:v>
      </x:c>
      <x:c r="K970" s="49" t="str">
        <x:v>Un-Aided Autonomous</x:v>
      </x:c>
      <x:c r="L970" s="49" t="str">
        <x:v>MS Seats : 11+ EWS : 4</x:v>
      </x:c>
      <x:c r="M970" s="49" t="str">
        <x:v>https://dse2025.mahacet.org.in/dse25/admin/allotment/cap2/4613_4.pdf</x:v>
      </x:c>
    </x:row>
    <x:row r="971">
      <x:c r="A971" s="49" t="str">
        <x:v>2025-26</x:v>
      </x:c>
      <x:c r="B971" s="63" t="n">
        <x:v>4613</x:v>
      </x:c>
      <x:c r="C971" s="49" t="str">
        <x:v>Suryodaya College of Engineering &amp; Technology, Nagpur</x:v>
      </x:c>
      <x:c r="D971" s="72" t="n">
        <x:v>461337210</x:v>
      </x:c>
      <x:c r="E971" s="49" t="str">
        <x:v>Electronics and Telecommunication Engg</x:v>
      </x:c>
      <x:c r="F971" s="73" t="n">
        <x:v>16</x:v>
      </x:c>
      <x:c r="G971" s="73" t="n">
        <x:v>9</x:v>
      </x:c>
      <x:c r="H971" s="73" t="n">
        <x:v>7</x:v>
      </x:c>
      <x:c r="I971" s="73"/>
      <x:c r="J971" s="73" t="n">
        <x:v>0</x:v>
      </x:c>
      <x:c r="K971" s="49" t="str">
        <x:v>Un-Aided Autonomous</x:v>
      </x:c>
      <x:c r="L971" s="49" t="str">
        <x:v>MS Seats : 9+ EWS : 7</x:v>
      </x:c>
      <x:c r="M971" s="49" t="str">
        <x:v>https://dse2025.mahacet.org.in/dse25/admin/allotment/cap2/4613_4.pdf</x:v>
      </x:c>
    </x:row>
    <x:row r="972">
      <x:c r="A972" s="49" t="str">
        <x:v>2025-26</x:v>
      </x:c>
      <x:c r="B972" s="63" t="n">
        <x:v>4613</x:v>
      </x:c>
      <x:c r="C972" s="49" t="str">
        <x:v>Suryodaya College of Engineering &amp; Technology, Nagpur</x:v>
      </x:c>
      <x:c r="D972" s="72" t="n">
        <x:v>461361210</x:v>
      </x:c>
      <x:c r="E972" s="49" t="str">
        <x:v>Mechanical Engineering</x:v>
      </x:c>
      <x:c r="F972" s="73" t="n">
        <x:v>23</x:v>
      </x:c>
      <x:c r="G972" s="73" t="n">
        <x:v>17</x:v>
      </x:c>
      <x:c r="H972" s="73" t="n">
        <x:v>6</x:v>
      </x:c>
      <x:c r="I972" s="73"/>
      <x:c r="J972" s="73" t="n">
        <x:v>0</x:v>
      </x:c>
      <x:c r="K972" s="49" t="str">
        <x:v>Un-Aided Autonomous</x:v>
      </x:c>
      <x:c r="L972" s="49" t="str">
        <x:v>MS Seats : 17+ EWS : 6</x:v>
      </x:c>
      <x:c r="M972" s="49" t="str">
        <x:v>https://dse2025.mahacet.org.in/dse25/admin/allotment/cap2/4613_4.pdf</x:v>
      </x:c>
    </x:row>
    <x:row r="973">
      <x:c r="A973" s="49" t="str">
        <x:v>2025-26</x:v>
      </x:c>
      <x:c r="B973" s="63" t="n">
        <x:v>4613</x:v>
      </x:c>
      <x:c r="C973" s="49" t="str">
        <x:v>Suryodaya College of Engineering &amp; Technology, Nagpur</x:v>
      </x:c>
      <x:c r="D973" s="72" t="n">
        <x:v>461391210</x:v>
      </x:c>
      <x:c r="E973" s="49" t="str">
        <x:v>Computer Science and Engineering(Data Science)</x:v>
      </x:c>
      <x:c r="F973" s="73" t="n">
        <x:v>10</x:v>
      </x:c>
      <x:c r="G973" s="73" t="n">
        <x:v>8</x:v>
      </x:c>
      <x:c r="H973" s="73" t="n">
        <x:v>2</x:v>
      </x:c>
      <x:c r="I973" s="73"/>
      <x:c r="J973" s="73" t="n">
        <x:v>0</x:v>
      </x:c>
      <x:c r="K973" s="49" t="str">
        <x:v>Un-Aided Autonomous</x:v>
      </x:c>
      <x:c r="L973" s="49" t="str">
        <x:v>MS Seats : 8+ EWS : 2</x:v>
      </x:c>
      <x:c r="M973" s="49" t="str">
        <x:v>https://dse2025.mahacet.org.in/dse25/admin/allotment/cap2/4613_4.pdf</x:v>
      </x:c>
    </x:row>
    <x:row r="974">
      <x:c r="A974" s="49" t="str">
        <x:v>2025-26</x:v>
      </x:c>
      <x:c r="B974" s="63" t="n">
        <x:v>4648</x:v>
      </x:c>
      <x:c r="C974" s="49" t="str">
        <x:v>R.V. Parankar College of Engineering &amp; Technology, Arvi, Dist Wardha</x:v>
      </x:c>
      <x:c r="D974" s="72" t="n">
        <x:v>464819110</x:v>
      </x:c>
      <x:c r="E974" s="49" t="str">
        <x:v>Civil Engineering</x:v>
      </x:c>
      <x:c r="F974" s="73" t="n">
        <x:v>32</x:v>
      </x:c>
      <x:c r="G974" s="73" t="n">
        <x:v>29</x:v>
      </x:c>
      <x:c r="H974" s="73" t="n">
        <x:v>3</x:v>
      </x:c>
      <x:c r="I974" s="73"/>
      <x:c r="J974" s="73" t="n">
        <x:v>0</x:v>
      </x:c>
      <x:c r="K974" s="49" t="str">
        <x:v>Un-Aided</x:v>
      </x:c>
      <x:c r="L974" s="49" t="str">
        <x:v>MS Seats : 29+ EWS : 3</x:v>
      </x:c>
      <x:c r="M974" s="49" t="str">
        <x:v>https://dse2025.mahacet.org.in/dse25/admin/allotment/cap2/4648_4.pdf</x:v>
      </x:c>
    </x:row>
    <x:row r="975">
      <x:c r="A975" s="49" t="str">
        <x:v>2025-26</x:v>
      </x:c>
      <x:c r="B975" s="63" t="n">
        <x:v>4648</x:v>
      </x:c>
      <x:c r="C975" s="49" t="str">
        <x:v>R.V. Parankar College of Engineering &amp; Technology, Arvi, Dist Wardha</x:v>
      </x:c>
      <x:c r="D975" s="72" t="n">
        <x:v>464824210</x:v>
      </x:c>
      <x:c r="E975" s="49" t="str">
        <x:v>Computer Science and Engineering</x:v>
      </x:c>
      <x:c r="F975" s="73" t="n">
        <x:v>38</x:v>
      </x:c>
      <x:c r="G975" s="73" t="n">
        <x:v>31</x:v>
      </x:c>
      <x:c r="H975" s="73" t="n">
        <x:v>7</x:v>
      </x:c>
      <x:c r="I975" s="73"/>
      <x:c r="J975" s="73" t="n">
        <x:v>0</x:v>
      </x:c>
      <x:c r="K975" s="49" t="str">
        <x:v>Un-Aided</x:v>
      </x:c>
      <x:c r="L975" s="49" t="str">
        <x:v>MS Seats : 31+ EWS : 7</x:v>
      </x:c>
      <x:c r="M975" s="49" t="str">
        <x:v>https://dse2025.mahacet.org.in/dse25/admin/allotment/cap2/4648_4.pdf</x:v>
      </x:c>
    </x:row>
    <x:row r="976">
      <x:c r="A976" s="49" t="str">
        <x:v>2025-26</x:v>
      </x:c>
      <x:c r="B976" s="63" t="n">
        <x:v>4648</x:v>
      </x:c>
      <x:c r="C976" s="49" t="str">
        <x:v>R.V. Parankar College of Engineering &amp; Technology, Arvi, Dist Wardha</x:v>
      </x:c>
      <x:c r="D976" s="72" t="n">
        <x:v>464824610</x:v>
      </x:c>
      <x:c r="E976" s="49" t="str">
        <x:v>Information Technology</x:v>
      </x:c>
      <x:c r="F976" s="73" t="n">
        <x:v>18</x:v>
      </x:c>
      <x:c r="G976" s="73" t="n">
        <x:v>15</x:v>
      </x:c>
      <x:c r="H976" s="73" t="n">
        <x:v>3</x:v>
      </x:c>
      <x:c r="I976" s="73"/>
      <x:c r="J976" s="73" t="n">
        <x:v>0</x:v>
      </x:c>
      <x:c r="K976" s="49" t="str">
        <x:v>Un-Aided</x:v>
      </x:c>
      <x:c r="L976" s="49" t="str">
        <x:v>MS Seats : 15+ EWS : 3</x:v>
      </x:c>
      <x:c r="M976" s="49" t="str">
        <x:v>https://dse2025.mahacet.org.in/dse25/admin/allotment/cap2/4648_4.pdf</x:v>
      </x:c>
    </x:row>
    <x:row r="977">
      <x:c r="A977" s="49" t="str">
        <x:v>2025-26</x:v>
      </x:c>
      <x:c r="B977" s="63" t="n">
        <x:v>4648</x:v>
      </x:c>
      <x:c r="C977" s="49" t="str">
        <x:v>R.V. Parankar College of Engineering &amp; Technology, Arvi, Dist Wardha</x:v>
      </x:c>
      <x:c r="D977" s="72" t="n">
        <x:v>464829310</x:v>
      </x:c>
      <x:c r="E977" s="49" t="str">
        <x:v>Electrical Engineering</x:v>
      </x:c>
      <x:c r="F977" s="73" t="n">
        <x:v>27</x:v>
      </x:c>
      <x:c r="G977" s="73" t="n">
        <x:v>24</x:v>
      </x:c>
      <x:c r="H977" s="73" t="n">
        <x:v>3</x:v>
      </x:c>
      <x:c r="I977" s="73"/>
      <x:c r="J977" s="73" t="n">
        <x:v>0</x:v>
      </x:c>
      <x:c r="K977" s="49" t="str">
        <x:v>Un-Aided</x:v>
      </x:c>
      <x:c r="L977" s="49" t="str">
        <x:v>MS Seats : 24+ EWS : 3</x:v>
      </x:c>
      <x:c r="M977" s="49" t="str">
        <x:v>https://dse2025.mahacet.org.in/dse25/admin/allotment/cap2/4648_4.pdf</x:v>
      </x:c>
    </x:row>
    <x:row r="978">
      <x:c r="A978" s="49" t="str">
        <x:v>2025-26</x:v>
      </x:c>
      <x:c r="B978" s="63" t="n">
        <x:v>4648</x:v>
      </x:c>
      <x:c r="C978" s="49" t="str">
        <x:v>R.V. Parankar College of Engineering &amp; Technology, Arvi, Dist Wardha</x:v>
      </x:c>
      <x:c r="D978" s="72" t="n">
        <x:v>464861210</x:v>
      </x:c>
      <x:c r="E978" s="49" t="str">
        <x:v>Mechanical Engineering</x:v>
      </x:c>
      <x:c r="F978" s="73" t="n">
        <x:v>36</x:v>
      </x:c>
      <x:c r="G978" s="73" t="n">
        <x:v>33</x:v>
      </x:c>
      <x:c r="H978" s="73" t="n">
        <x:v>3</x:v>
      </x:c>
      <x:c r="I978" s="73"/>
      <x:c r="J978" s="73" t="n">
        <x:v>0</x:v>
      </x:c>
      <x:c r="K978" s="49" t="str">
        <x:v>Un-Aided</x:v>
      </x:c>
      <x:c r="L978" s="49" t="str">
        <x:v>MS Seats : 33+ EWS : 3</x:v>
      </x:c>
      <x:c r="M978" s="49" t="str">
        <x:v>https://dse2025.mahacet.org.in/dse25/admin/allotment/cap2/4648_4.pdf</x:v>
      </x:c>
    </x:row>
    <x:row r="979">
      <x:c r="A979" s="49" t="str">
        <x:v>2025-26</x:v>
      </x:c>
      <x:c r="B979" s="63" t="n">
        <x:v>4649</x:v>
      </x:c>
      <x:c r="C979" s="49" t="str">
        <x:v>Bajaj Institute of Technology, Wardha</x:v>
      </x:c>
      <x:c r="D979" s="72" t="n">
        <x:v>464919110</x:v>
      </x:c>
      <x:c r="E979" s="49" t="str">
        <x:v>Civil Engineering</x:v>
      </x:c>
      <x:c r="F979" s="73" t="n">
        <x:v>12</x:v>
      </x:c>
      <x:c r="G979" s="73" t="n">
        <x:v>5</x:v>
      </x:c>
      <x:c r="H979" s="73"/>
      <x:c r="I979" s="73" t="n">
        <x:v>7</x:v>
      </x:c>
      <x:c r="J979" s="73" t="n">
        <x:v>0</x:v>
      </x:c>
      <x:c r="K979" s="49" t="str">
        <x:v>Un-Aided Linguistic Minority - Hindi</x:v>
      </x:c>
      <x:c r="L979" s="49" t="str">
        <x:v>MS Seats : 5 + Minority Seats : 7</x:v>
      </x:c>
      <x:c r="M979" s="49" t="str">
        <x:v>https://dse2025.mahacet.org.in/dse25/admin/allotment/cap2/4649_4.pdf</x:v>
      </x:c>
    </x:row>
    <x:row r="980">
      <x:c r="A980" s="49" t="str">
        <x:v>2025-26</x:v>
      </x:c>
      <x:c r="B980" s="63" t="n">
        <x:v>4649</x:v>
      </x:c>
      <x:c r="C980" s="49" t="str">
        <x:v>Bajaj Institute of Technology, Wardha</x:v>
      </x:c>
      <x:c r="D980" s="72" t="n">
        <x:v>464924510</x:v>
      </x:c>
      <x:c r="E980" s="49" t="str">
        <x:v>Computer Engineering</x:v>
      </x:c>
      <x:c r="F980" s="73" t="n">
        <x:v>14</x:v>
      </x:c>
      <x:c r="G980" s="73" t="n">
        <x:v>6</x:v>
      </x:c>
      <x:c r="H980" s="73"/>
      <x:c r="I980" s="73" t="n">
        <x:v>8</x:v>
      </x:c>
      <x:c r="J980" s="73" t="n">
        <x:v>0</x:v>
      </x:c>
      <x:c r="K980" s="49" t="str">
        <x:v>Un-Aided Linguistic Minority - Hindi</x:v>
      </x:c>
      <x:c r="L980" s="49" t="str">
        <x:v>MS Seats : 6 + Minority Seats : 8</x:v>
      </x:c>
      <x:c r="M980" s="49" t="str">
        <x:v>https://dse2025.mahacet.org.in/dse25/admin/allotment/cap2/4649_4.pdf</x:v>
      </x:c>
    </x:row>
    <x:row r="981">
      <x:c r="A981" s="49" t="str">
        <x:v>2025-26</x:v>
      </x:c>
      <x:c r="B981" s="63" t="n">
        <x:v>4649</x:v>
      </x:c>
      <x:c r="C981" s="49" t="str">
        <x:v>Bajaj Institute of Technology, Wardha</x:v>
      </x:c>
      <x:c r="D981" s="72" t="n">
        <x:v>464929310</x:v>
      </x:c>
      <x:c r="E981" s="49" t="str">
        <x:v>Electrical Engineering</x:v>
      </x:c>
      <x:c r="F981" s="73" t="n">
        <x:v>9</x:v>
      </x:c>
      <x:c r="G981" s="73" t="n">
        <x:v>4</x:v>
      </x:c>
      <x:c r="H981" s="73"/>
      <x:c r="I981" s="73" t="n">
        <x:v>5</x:v>
      </x:c>
      <x:c r="J981" s="73" t="n">
        <x:v>0</x:v>
      </x:c>
      <x:c r="K981" s="49" t="str">
        <x:v>Un-Aided Linguistic Minority - Hindi</x:v>
      </x:c>
      <x:c r="L981" s="49" t="str">
        <x:v>MS Seats : 4 + Minority Seats : 5</x:v>
      </x:c>
      <x:c r="M981" s="49" t="str">
        <x:v>https://dse2025.mahacet.org.in/dse25/admin/allotment/cap2/4649_4.pdf</x:v>
      </x:c>
    </x:row>
    <x:row r="982">
      <x:c r="A982" s="49" t="str">
        <x:v>2025-26</x:v>
      </x:c>
      <x:c r="B982" s="63" t="n">
        <x:v>4649</x:v>
      </x:c>
      <x:c r="C982" s="49" t="str">
        <x:v>Bajaj Institute of Technology, Wardha</x:v>
      </x:c>
      <x:c r="D982" s="72" t="n">
        <x:v>464961210</x:v>
      </x:c>
      <x:c r="E982" s="49" t="str">
        <x:v>Mechanical Engineering</x:v>
      </x:c>
      <x:c r="F982" s="73" t="n">
        <x:v>9</x:v>
      </x:c>
      <x:c r="G982" s="73" t="n">
        <x:v>4</x:v>
      </x:c>
      <x:c r="H982" s="73"/>
      <x:c r="I982" s="73" t="n">
        <x:v>5</x:v>
      </x:c>
      <x:c r="J982" s="73" t="n">
        <x:v>0</x:v>
      </x:c>
      <x:c r="K982" s="49" t="str">
        <x:v>Un-Aided Linguistic Minority - Hindi</x:v>
      </x:c>
      <x:c r="L982" s="49" t="str">
        <x:v>MS Seats : 4 + Minority Seats : 5</x:v>
      </x:c>
      <x:c r="M982" s="49" t="str">
        <x:v>https://dse2025.mahacet.org.in/dse25/admin/allotment/cap2/4649_4.pdf</x:v>
      </x:c>
    </x:row>
    <x:row r="983">
      <x:c r="A983" s="49" t="str">
        <x:v>2025-26</x:v>
      </x:c>
      <x:c r="B983" s="63" t="n">
        <x:v>4679</x:v>
      </x:c>
      <x:c r="C983" s="49" t="str">
        <x:v>Karanjekar College of Engineering &amp; Management, Sakoli</x:v>
      </x:c>
      <x:c r="D983" s="72" t="n">
        <x:v>467919110</x:v>
      </x:c>
      <x:c r="E983" s="49" t="str">
        <x:v>Civil Engineering</x:v>
      </x:c>
      <x:c r="F983" s="73" t="n">
        <x:v>40</x:v>
      </x:c>
      <x:c r="G983" s="73" t="n">
        <x:v>33</x:v>
      </x:c>
      <x:c r="H983" s="73" t="n">
        <x:v>7</x:v>
      </x:c>
      <x:c r="I983" s="73"/>
      <x:c r="J983" s="73" t="n">
        <x:v>0</x:v>
      </x:c>
      <x:c r="K983" s="49" t="str">
        <x:v>Un-Aided</x:v>
      </x:c>
      <x:c r="L983" s="49" t="str">
        <x:v>MS Seats : 33+ EWS : 7</x:v>
      </x:c>
      <x:c r="M983" s="49" t="str">
        <x:v>https://dse2025.mahacet.org.in/dse25/admin/allotment/cap2/4679_4.pdf</x:v>
      </x:c>
    </x:row>
    <x:row r="984">
      <x:c r="A984" s="49" t="str">
        <x:v>2025-26</x:v>
      </x:c>
      <x:c r="B984" s="63" t="n">
        <x:v>4679</x:v>
      </x:c>
      <x:c r="C984" s="49" t="str">
        <x:v>Karanjekar College of Engineering &amp; Management, Sakoli</x:v>
      </x:c>
      <x:c r="D984" s="72" t="n">
        <x:v>467924210</x:v>
      </x:c>
      <x:c r="E984" s="49" t="str">
        <x:v>Computer Science and Engineering</x:v>
      </x:c>
      <x:c r="F984" s="73" t="n">
        <x:v>30</x:v>
      </x:c>
      <x:c r="G984" s="73" t="n">
        <x:v>16</x:v>
      </x:c>
      <x:c r="H984" s="73" t="n">
        <x:v>14</x:v>
      </x:c>
      <x:c r="I984" s="73"/>
      <x:c r="J984" s="73" t="n">
        <x:v>0</x:v>
      </x:c>
      <x:c r="K984" s="49" t="str">
        <x:v>Un-Aided</x:v>
      </x:c>
      <x:c r="L984" s="49" t="str">
        <x:v>MS Seats : 16+ EWS : 14</x:v>
      </x:c>
      <x:c r="M984" s="49" t="str">
        <x:v>https://dse2025.mahacet.org.in/dse25/admin/allotment/cap2/4679_4.pdf</x:v>
      </x:c>
    </x:row>
    <x:row r="985">
      <x:c r="A985" s="49" t="str">
        <x:v>2025-26</x:v>
      </x:c>
      <x:c r="B985" s="63" t="n">
        <x:v>4679</x:v>
      </x:c>
      <x:c r="C985" s="49" t="str">
        <x:v>Karanjekar College of Engineering &amp; Management, Sakoli</x:v>
      </x:c>
      <x:c r="D985" s="72" t="n">
        <x:v>467929310</x:v>
      </x:c>
      <x:c r="E985" s="49" t="str">
        <x:v>Electrical Engineering</x:v>
      </x:c>
      <x:c r="F985" s="73" t="n">
        <x:v>40</x:v>
      </x:c>
      <x:c r="G985" s="73" t="n">
        <x:v>33</x:v>
      </x:c>
      <x:c r="H985" s="73" t="n">
        <x:v>7</x:v>
      </x:c>
      <x:c r="I985" s="73"/>
      <x:c r="J985" s="73" t="n">
        <x:v>0</x:v>
      </x:c>
      <x:c r="K985" s="49" t="str">
        <x:v>Un-Aided</x:v>
      </x:c>
      <x:c r="L985" s="49" t="str">
        <x:v>MS Seats : 33+ EWS : 7</x:v>
      </x:c>
      <x:c r="M985" s="49" t="str">
        <x:v>https://dse2025.mahacet.org.in/dse25/admin/allotment/cap2/4679_4.pdf</x:v>
      </x:c>
    </x:row>
    <x:row r="986">
      <x:c r="A986" s="49" t="str">
        <x:v>2025-26</x:v>
      </x:c>
      <x:c r="B986" s="63" t="n">
        <x:v>4679</x:v>
      </x:c>
      <x:c r="C986" s="49" t="str">
        <x:v>Karanjekar College of Engineering &amp; Management, Sakoli</x:v>
      </x:c>
      <x:c r="D986" s="72" t="n">
        <x:v>467993610</x:v>
      </x:c>
      <x:c r="E986" s="49" t="str">
        <x:v>Fire Engineering</x:v>
      </x:c>
      <x:c r="F986" s="73" t="n">
        <x:v>74</x:v>
      </x:c>
      <x:c r="G986" s="73" t="n">
        <x:v>67</x:v>
      </x:c>
      <x:c r="H986" s="73" t="n">
        <x:v>7</x:v>
      </x:c>
      <x:c r="I986" s="73"/>
      <x:c r="J986" s="73" t="n">
        <x:v>0</x:v>
      </x:c>
      <x:c r="K986" s="49" t="str">
        <x:v>Un-Aided</x:v>
      </x:c>
      <x:c r="L986" s="49" t="str">
        <x:v>MS Seats : 67+ EWS : 7</x:v>
      </x:c>
      <x:c r="M986" s="49" t="str">
        <x:v>https://dse2025.mahacet.org.in/dse25/admin/allotment/cap2/4679_4.pdf</x:v>
      </x:c>
    </x:row>
    <x:row r="987">
      <x:c r="A987" s="49" t="str">
        <x:v>2025-26</x:v>
      </x:c>
      <x:c r="B987" s="63" t="n">
        <x:v>4679</x:v>
      </x:c>
      <x:c r="C987" s="49" t="str">
        <x:v>Karanjekar College of Engineering &amp; Management, Sakoli</x:v>
      </x:c>
      <x:c r="D987" s="72" t="n">
        <x:v>467999710</x:v>
      </x:c>
      <x:c r="E987" s="49" t="str">
        <x:v>Artificial Intelligence</x:v>
      </x:c>
      <x:c r="F987" s="73" t="n">
        <x:v>19</x:v>
      </x:c>
      <x:c r="G987" s="73" t="n">
        <x:v>13</x:v>
      </x:c>
      <x:c r="H987" s="73" t="n">
        <x:v>6</x:v>
      </x:c>
      <x:c r="I987" s="73"/>
      <x:c r="J987" s="73" t="n">
        <x:v>0</x:v>
      </x:c>
      <x:c r="K987" s="49" t="str">
        <x:v>Un-Aided</x:v>
      </x:c>
      <x:c r="L987" s="49" t="str">
        <x:v>MS Seats : 13+ EWS : 6</x:v>
      </x:c>
      <x:c r="M987" s="49" t="str">
        <x:v>https://dse2025.mahacet.org.in/dse25/admin/allotment/cap2/4679_4.pdf</x:v>
      </x:c>
    </x:row>
    <x:row r="988">
      <x:c r="A988" s="49" t="str">
        <x:v>2025-26</x:v>
      </x:c>
      <x:c r="B988" s="63" t="n">
        <x:v>4703</x:v>
      </x:c>
      <x:c r="C988" s="49" t="str">
        <x:v>Somayya Institute of Technology, Chandrapur</x:v>
      </x:c>
      <x:c r="D988" s="72" t="n">
        <x:v>470324210</x:v>
      </x:c>
      <x:c r="E988" s="49" t="str">
        <x:v>Computer Science and Engineering</x:v>
      </x:c>
      <x:c r="F988" s="73" t="n">
        <x:v>23</x:v>
      </x:c>
      <x:c r="G988" s="73" t="n">
        <x:v>16</x:v>
      </x:c>
      <x:c r="H988" s="73" t="n">
        <x:v>7</x:v>
      </x:c>
      <x:c r="I988" s="73"/>
      <x:c r="J988" s="73" t="n">
        <x:v>0</x:v>
      </x:c>
      <x:c r="K988" s="49" t="str">
        <x:v>Un-Aided</x:v>
      </x:c>
      <x:c r="L988" s="49" t="str">
        <x:v>MS Seats : 16+ EWS : 7</x:v>
      </x:c>
      <x:c r="M988" s="49" t="str">
        <x:v>https://dse2025.mahacet.org.in/dse25/admin/allotment/cap2/4703_4.pdf</x:v>
      </x:c>
    </x:row>
    <x:row r="989">
      <x:c r="A989" s="49" t="str">
        <x:v>2025-26</x:v>
      </x:c>
      <x:c r="B989" s="63" t="n">
        <x:v>4703</x:v>
      </x:c>
      <x:c r="C989" s="49" t="str">
        <x:v>Somayya Institute of Technology, Chandrapur</x:v>
      </x:c>
      <x:c r="D989" s="72" t="n">
        <x:v>470329310</x:v>
      </x:c>
      <x:c r="E989" s="49" t="str">
        <x:v>Electrical Engineering</x:v>
      </x:c>
      <x:c r="F989" s="73" t="n">
        <x:v>61</x:v>
      </x:c>
      <x:c r="G989" s="73" t="n">
        <x:v>54</x:v>
      </x:c>
      <x:c r="H989" s="73" t="n">
        <x:v>7</x:v>
      </x:c>
      <x:c r="I989" s="73"/>
      <x:c r="J989" s="73" t="n">
        <x:v>0</x:v>
      </x:c>
      <x:c r="K989" s="49" t="str">
        <x:v>Un-Aided</x:v>
      </x:c>
      <x:c r="L989" s="49" t="str">
        <x:v>MS Seats : 54+ EWS : 7</x:v>
      </x:c>
      <x:c r="M989" s="49" t="str">
        <x:v>https://dse2025.mahacet.org.in/dse25/admin/allotment/cap2/4703_4.pdf</x:v>
      </x:c>
    </x:row>
    <x:row r="990">
      <x:c r="A990" s="49" t="str">
        <x:v>2025-26</x:v>
      </x:c>
      <x:c r="B990" s="63" t="n">
        <x:v>4703</x:v>
      </x:c>
      <x:c r="C990" s="49" t="str">
        <x:v>Somayya Institute of Technology, Chandrapur</x:v>
      </x:c>
      <x:c r="D990" s="72" t="n">
        <x:v>470370110</x:v>
      </x:c>
      <x:c r="E990" s="49" t="str">
        <x:v>Mining Engineering</x:v>
      </x:c>
      <x:c r="F990" s="73" t="n">
        <x:v>23</x:v>
      </x:c>
      <x:c r="G990" s="73" t="n">
        <x:v>16</x:v>
      </x:c>
      <x:c r="H990" s="73" t="n">
        <x:v>7</x:v>
      </x:c>
      <x:c r="I990" s="73"/>
      <x:c r="J990" s="73" t="n">
        <x:v>0</x:v>
      </x:c>
      <x:c r="K990" s="49" t="str">
        <x:v>Un-Aided</x:v>
      </x:c>
      <x:c r="L990" s="49" t="str">
        <x:v>MS Seats : 16+ EWS : 7</x:v>
      </x:c>
      <x:c r="M990" s="49" t="str">
        <x:v>https://dse2025.mahacet.org.in/dse25/admin/allotment/cap2/4703_4.pdf</x:v>
      </x:c>
    </x:row>
    <x:row r="991">
      <x:c r="A991" s="49" t="str">
        <x:v>2025-26</x:v>
      </x:c>
      <x:c r="B991" s="63" t="n">
        <x:v>4703</x:v>
      </x:c>
      <x:c r="C991" s="49" t="str">
        <x:v>Somayya Institute of Technology, Chandrapur</x:v>
      </x:c>
      <x:c r="D991" s="72" t="n">
        <x:v>470392110</x:v>
      </x:c>
      <x:c r="E991" s="49" t="str">
        <x:v>Artificial Intelligence and Machine Learning</x:v>
      </x:c>
      <x:c r="F991" s="73" t="n">
        <x:v>32</x:v>
      </x:c>
      <x:c r="G991" s="73" t="n">
        <x:v>26</x:v>
      </x:c>
      <x:c r="H991" s="73" t="n">
        <x:v>6</x:v>
      </x:c>
      <x:c r="I991" s="73"/>
      <x:c r="J991" s="73" t="n">
        <x:v>0</x:v>
      </x:c>
      <x:c r="K991" s="49" t="str">
        <x:v>Un-Aided</x:v>
      </x:c>
      <x:c r="L991" s="49" t="str">
        <x:v>MS Seats : 26+ EWS : 6</x:v>
      </x:c>
      <x:c r="M991" s="49" t="str">
        <x:v>https://dse2025.mahacet.org.in/dse25/admin/allotment/cap2/4703_4.pdf</x:v>
      </x:c>
    </x:row>
    <x:row r="992">
      <x:c r="A992" s="49" t="str">
        <x:v>2025-26</x:v>
      </x:c>
      <x:c r="B992" s="63" t="n">
        <x:v>5003</x:v>
      </x:c>
      <x:c r="C992" s="49" t="str">
        <x:v>University Institute of Chemical Technology, North Maharashtra University, Jalgaon</x:v>
      </x:c>
      <x:c r="D992" s="72" t="n">
        <x:v>500350310</x:v>
      </x:c>
      <x:c r="E992" s="49" t="str">
        <x:v>Food Technology</x:v>
      </x:c>
      <x:c r="F992" s="73" t="n">
        <x:v>5</x:v>
      </x:c>
      <x:c r="G992" s="73" t="n">
        <x:v>3</x:v>
      </x:c>
      <x:c r="H992" s="73" t="n">
        <x:v>2</x:v>
      </x:c>
      <x:c r="I992" s="73"/>
      <x:c r="J992" s="73" t="n">
        <x:v>0</x:v>
      </x:c>
      <x:c r="K992" s="49" t="str">
        <x:v>University Department</x:v>
      </x:c>
      <x:c r="L992" s="49" t="str">
        <x:v>MS Seats : 3+ EWS : 2</x:v>
      </x:c>
      <x:c r="M992" s="49" t="str">
        <x:v>https://dse2025.mahacet.org.in/dse25/admin/allotment/cap2/5003_4.pdf</x:v>
      </x:c>
    </x:row>
    <x:row r="993">
      <x:c r="A993" s="49" t="str">
        <x:v>2025-26</x:v>
      </x:c>
      <x:c r="B993" s="63" t="n">
        <x:v>5003</x:v>
      </x:c>
      <x:c r="C993" s="49" t="str">
        <x:v>University Institute of Chemical Technology, North Maharashtra University, Jalgaon</x:v>
      </x:c>
      <x:c r="D993" s="72" t="n">
        <x:v>500350710</x:v>
      </x:c>
      <x:c r="E993" s="49" t="str">
        <x:v>Chemical Engineering</x:v>
      </x:c>
      <x:c r="F993" s="73" t="n">
        <x:v>15</x:v>
      </x:c>
      <x:c r="G993" s="73" t="n">
        <x:v>9</x:v>
      </x:c>
      <x:c r="H993" s="73" t="n">
        <x:v>6</x:v>
      </x:c>
      <x:c r="I993" s="73"/>
      <x:c r="J993" s="73" t="n">
        <x:v>0</x:v>
      </x:c>
      <x:c r="K993" s="49" t="str">
        <x:v>University Department</x:v>
      </x:c>
      <x:c r="L993" s="49" t="str">
        <x:v>MS Seats : 9+ EWS : 6</x:v>
      </x:c>
      <x:c r="M993" s="49" t="str">
        <x:v>https://dse2025.mahacet.org.in/dse25/admin/allotment/cap2/5003_4.pdf</x:v>
      </x:c>
    </x:row>
    <x:row r="994">
      <x:c r="A994" s="49" t="str">
        <x:v>2025-26</x:v>
      </x:c>
      <x:c r="B994" s="63" t="n">
        <x:v>5003</x:v>
      </x:c>
      <x:c r="C994" s="49" t="str">
        <x:v>University Institute of Chemical Technology, North Maharashtra University, Jalgaon</x:v>
      </x:c>
      <x:c r="D994" s="72" t="n">
        <x:v>500350810</x:v>
      </x:c>
      <x:c r="E994" s="49" t="str">
        <x:v>Plastic Technology</x:v>
      </x:c>
      <x:c r="F994" s="73" t="n">
        <x:v>8</x:v>
      </x:c>
      <x:c r="G994" s="73" t="n">
        <x:v>6</x:v>
      </x:c>
      <x:c r="H994" s="73" t="n">
        <x:v>2</x:v>
      </x:c>
      <x:c r="I994" s="73"/>
      <x:c r="J994" s="73" t="n">
        <x:v>0</x:v>
      </x:c>
      <x:c r="K994" s="49" t="str">
        <x:v>University Department</x:v>
      </x:c>
      <x:c r="L994" s="49" t="str">
        <x:v>MS Seats : 6+ EWS : 2</x:v>
      </x:c>
      <x:c r="M994" s="49" t="str">
        <x:v>https://dse2025.mahacet.org.in/dse25/admin/allotment/cap2/5003_4.pdf</x:v>
      </x:c>
    </x:row>
    <x:row r="995">
      <x:c r="A995" s="49" t="str">
        <x:v>2025-26</x:v>
      </x:c>
      <x:c r="B995" s="63" t="n">
        <x:v>5003</x:v>
      </x:c>
      <x:c r="C995" s="49" t="str">
        <x:v>University Institute of Chemical Technology, North Maharashtra University, Jalgaon</x:v>
      </x:c>
      <x:c r="D995" s="72" t="n">
        <x:v>500351810</x:v>
      </x:c>
      <x:c r="E995" s="49" t="str">
        <x:v>Oil Fats and Waxes Technology</x:v>
      </x:c>
      <x:c r="F995" s="73" t="n">
        <x:v>8</x:v>
      </x:c>
      <x:c r="G995" s="73" t="n">
        <x:v>6</x:v>
      </x:c>
      <x:c r="H995" s="73" t="n">
        <x:v>2</x:v>
      </x:c>
      <x:c r="I995" s="73"/>
      <x:c r="J995" s="73" t="n">
        <x:v>0</x:v>
      </x:c>
      <x:c r="K995" s="49" t="str">
        <x:v>University Department</x:v>
      </x:c>
      <x:c r="L995" s="49" t="str">
        <x:v>MS Seats : 6+ EWS : 2</x:v>
      </x:c>
      <x:c r="M995" s="49" t="str">
        <x:v>https://dse2025.mahacet.org.in/dse25/admin/allotment/cap2/5003_4.pdf</x:v>
      </x:c>
    </x:row>
    <x:row r="996">
      <x:c r="A996" s="49" t="str">
        <x:v>2025-26</x:v>
      </x:c>
      <x:c r="B996" s="63" t="n">
        <x:v>5003</x:v>
      </x:c>
      <x:c r="C996" s="49" t="str">
        <x:v>University Institute of Chemical Technology, North Maharashtra University, Jalgaon</x:v>
      </x:c>
      <x:c r="D996" s="72" t="n">
        <x:v>500352310</x:v>
      </x:c>
      <x:c r="E996" s="49" t="str">
        <x:v>Paints Technology</x:v>
      </x:c>
      <x:c r="F996" s="73" t="n">
        <x:v>6</x:v>
      </x:c>
      <x:c r="G996" s="73" t="n">
        <x:v>4</x:v>
      </x:c>
      <x:c r="H996" s="73" t="n">
        <x:v>2</x:v>
      </x:c>
      <x:c r="I996" s="73"/>
      <x:c r="J996" s="73" t="n">
        <x:v>0</x:v>
      </x:c>
      <x:c r="K996" s="49" t="str">
        <x:v>University Department</x:v>
      </x:c>
      <x:c r="L996" s="49" t="str">
        <x:v>MS Seats : 4+ EWS : 2</x:v>
      </x:c>
      <x:c r="M996" s="49" t="str">
        <x:v>https://dse2025.mahacet.org.in/dse25/admin/allotment/cap2/5003_4.pdf</x:v>
      </x:c>
    </x:row>
    <x:row r="997">
      <x:c r="A997" s="49" t="str">
        <x:v>2025-26</x:v>
      </x:c>
      <x:c r="B997" s="63" t="n">
        <x:v>5004</x:v>
      </x:c>
      <x:c r="C997" s="49" t="str">
        <x:v>Government College of Engineering, Jalgaon</x:v>
      </x:c>
      <x:c r="D997" s="72" t="n">
        <x:v>500419110</x:v>
      </x:c>
      <x:c r="E997" s="49" t="str">
        <x:v>Civil Engineering</x:v>
      </x:c>
      <x:c r="F997" s="73" t="n">
        <x:v>20</x:v>
      </x:c>
      <x:c r="G997" s="73" t="n">
        <x:v>15</x:v>
      </x:c>
      <x:c r="H997" s="73" t="n">
        <x:v>5</x:v>
      </x:c>
      <x:c r="I997" s="73"/>
      <x:c r="J997" s="73" t="n">
        <x:v>0</x:v>
      </x:c>
      <x:c r="K997" s="49" t="str">
        <x:v>Government Autonomous</x:v>
      </x:c>
      <x:c r="L997" s="49" t="str">
        <x:v>MS Seats : 15+ EWS : 5</x:v>
      </x:c>
      <x:c r="M997" s="49" t="str">
        <x:v>https://dse2025.mahacet.org.in/dse25/admin/allotment/cap2/5004_4.pdf</x:v>
      </x:c>
    </x:row>
    <x:row r="998">
      <x:c r="A998" s="49" t="str">
        <x:v>2025-26</x:v>
      </x:c>
      <x:c r="B998" s="63" t="n">
        <x:v>5004</x:v>
      </x:c>
      <x:c r="C998" s="49" t="str">
        <x:v>Government College of Engineering, Jalgaon</x:v>
      </x:c>
      <x:c r="D998" s="72" t="n">
        <x:v>500424510</x:v>
      </x:c>
      <x:c r="E998" s="49" t="str">
        <x:v>Computer Engineering</x:v>
      </x:c>
      <x:c r="F998" s="73" t="n">
        <x:v>11</x:v>
      </x:c>
      <x:c r="G998" s="73" t="n">
        <x:v>8</x:v>
      </x:c>
      <x:c r="H998" s="73" t="n">
        <x:v>3</x:v>
      </x:c>
      <x:c r="I998" s="73"/>
      <x:c r="J998" s="73" t="n">
        <x:v>0</x:v>
      </x:c>
      <x:c r="K998" s="49" t="str">
        <x:v>Government Autonomous</x:v>
      </x:c>
      <x:c r="L998" s="49" t="str">
        <x:v>MS Seats : 8+ EWS : 3</x:v>
      </x:c>
      <x:c r="M998" s="49" t="str">
        <x:v>https://dse2025.mahacet.org.in/dse25/admin/allotment/cap2/5004_4.pdf</x:v>
      </x:c>
    </x:row>
    <x:row r="999">
      <x:c r="A999" s="49" t="str">
        <x:v>2025-26</x:v>
      </x:c>
      <x:c r="B999" s="63" t="n">
        <x:v>5004</x:v>
      </x:c>
      <x:c r="C999" s="49" t="str">
        <x:v>Government College of Engineering, Jalgaon</x:v>
      </x:c>
      <x:c r="D999" s="72" t="n">
        <x:v>500429310</x:v>
      </x:c>
      <x:c r="E999" s="49" t="str">
        <x:v>Electrical Engineering</x:v>
      </x:c>
      <x:c r="F999" s="73" t="n">
        <x:v>12</x:v>
      </x:c>
      <x:c r="G999" s="73" t="n">
        <x:v>9</x:v>
      </x:c>
      <x:c r="H999" s="73" t="n">
        <x:v>3</x:v>
      </x:c>
      <x:c r="I999" s="73"/>
      <x:c r="J999" s="73" t="n">
        <x:v>0</x:v>
      </x:c>
      <x:c r="K999" s="49" t="str">
        <x:v>Government Autonomous</x:v>
      </x:c>
      <x:c r="L999" s="49" t="str">
        <x:v>MS Seats : 9+ EWS : 3</x:v>
      </x:c>
      <x:c r="M999" s="49" t="str">
        <x:v>https://dse2025.mahacet.org.in/dse25/admin/allotment/cap2/5004_4.pdf</x:v>
      </x:c>
    </x:row>
    <x:row r="1000">
      <x:c r="A1000" s="49" t="str">
        <x:v>2025-26</x:v>
      </x:c>
      <x:c r="B1000" s="63" t="n">
        <x:v>5004</x:v>
      </x:c>
      <x:c r="C1000" s="49" t="str">
        <x:v>Government College of Engineering, Jalgaon</x:v>
      </x:c>
      <x:c r="D1000" s="72" t="n">
        <x:v>500437210</x:v>
      </x:c>
      <x:c r="E1000" s="49" t="str">
        <x:v>Electronics and Telecommunication Engg</x:v>
      </x:c>
      <x:c r="F1000" s="73" t="n">
        <x:v>11</x:v>
      </x:c>
      <x:c r="G1000" s="73" t="n">
        <x:v>8</x:v>
      </x:c>
      <x:c r="H1000" s="73" t="n">
        <x:v>3</x:v>
      </x:c>
      <x:c r="I1000" s="73"/>
      <x:c r="J1000" s="73" t="n">
        <x:v>0</x:v>
      </x:c>
      <x:c r="K1000" s="49" t="str">
        <x:v>Government Autonomous</x:v>
      </x:c>
      <x:c r="L1000" s="49" t="str">
        <x:v>MS Seats : 8+ EWS : 3</x:v>
      </x:c>
      <x:c r="M1000" s="49" t="str">
        <x:v>https://dse2025.mahacet.org.in/dse25/admin/allotment/cap2/5004_4.pdf</x:v>
      </x:c>
    </x:row>
    <x:row r="1001">
      <x:c r="A1001" s="49" t="str">
        <x:v>2025-26</x:v>
      </x:c>
      <x:c r="B1001" s="63" t="n">
        <x:v>5004</x:v>
      </x:c>
      <x:c r="C1001" s="49" t="str">
        <x:v>Government College of Engineering, Jalgaon</x:v>
      </x:c>
      <x:c r="D1001" s="72" t="n">
        <x:v>500446610</x:v>
      </x:c>
      <x:c r="E1001" s="49" t="str">
        <x:v>Instrumentation Engineering</x:v>
      </x:c>
      <x:c r="F1001" s="73" t="n">
        <x:v>37</x:v>
      </x:c>
      <x:c r="G1001" s="73" t="n">
        <x:v>32</x:v>
      </x:c>
      <x:c r="H1001" s="73" t="n">
        <x:v>5</x:v>
      </x:c>
      <x:c r="I1001" s="73"/>
      <x:c r="J1001" s="73" t="n">
        <x:v>0</x:v>
      </x:c>
      <x:c r="K1001" s="49" t="str">
        <x:v>Government Autonomous</x:v>
      </x:c>
      <x:c r="L1001" s="49" t="str">
        <x:v>MS Seats : 32+ EWS : 5</x:v>
      </x:c>
      <x:c r="M1001" s="49" t="str">
        <x:v>https://dse2025.mahacet.org.in/dse25/admin/allotment/cap2/5004_4.pdf</x:v>
      </x:c>
    </x:row>
    <x:row r="1002">
      <x:c r="A1002" s="49" t="str">
        <x:v>2025-26</x:v>
      </x:c>
      <x:c r="B1002" s="63" t="n">
        <x:v>5004</x:v>
      </x:c>
      <x:c r="C1002" s="49" t="str">
        <x:v>Government College of Engineering, Jalgaon</x:v>
      </x:c>
      <x:c r="D1002" s="72" t="n">
        <x:v>500461210</x:v>
      </x:c>
      <x:c r="E1002" s="49" t="str">
        <x:v>Mechanical Engineering</x:v>
      </x:c>
      <x:c r="F1002" s="73" t="n">
        <x:v>21</x:v>
      </x:c>
      <x:c r="G1002" s="73" t="n">
        <x:v>17</x:v>
      </x:c>
      <x:c r="H1002" s="73" t="n">
        <x:v>4</x:v>
      </x:c>
      <x:c r="I1002" s="73"/>
      <x:c r="J1002" s="73" t="n">
        <x:v>0</x:v>
      </x:c>
      <x:c r="K1002" s="49" t="str">
        <x:v>Government Autonomous</x:v>
      </x:c>
      <x:c r="L1002" s="49" t="str">
        <x:v>MS Seats : 17+ EWS : 4</x:v>
      </x:c>
      <x:c r="M1002" s="49" t="str">
        <x:v>https://dse2025.mahacet.org.in/dse25/admin/allotment/cap2/5004_4.pdf</x:v>
      </x:c>
    </x:row>
    <x:row r="1003">
      <x:c r="A1003" s="49" t="str">
        <x:v>2025-26</x:v>
      </x:c>
      <x:c r="B1003" s="63" t="n">
        <x:v>5103</x:v>
      </x:c>
      <x:c r="C1003" s="49" t="str">
        <x:v>Shri Shivaji Vidya Prasarak Sanstha's Late Bapusaheb Shivaji Rao Deore College of Engineering,Dhule</x:v>
      </x:c>
      <x:c r="D1003" s="72" t="n">
        <x:v>510319110</x:v>
      </x:c>
      <x:c r="E1003" s="49" t="str">
        <x:v>Civil Engineering</x:v>
      </x:c>
      <x:c r="F1003" s="73" t="n">
        <x:v>12</x:v>
      </x:c>
      <x:c r="G1003" s="73" t="n">
        <x:v>8</x:v>
      </x:c>
      <x:c r="H1003" s="73" t="n">
        <x:v>4</x:v>
      </x:c>
      <x:c r="I1003" s="73"/>
      <x:c r="J1003" s="73" t="n">
        <x:v>0</x:v>
      </x:c>
      <x:c r="K1003" s="49" t="str">
        <x:v>Un-Aided</x:v>
      </x:c>
      <x:c r="L1003" s="49" t="str">
        <x:v>MS Seats : 8+ EWS : 4</x:v>
      </x:c>
      <x:c r="M1003" s="49" t="str">
        <x:v>https://dse2025.mahacet.org.in/dse25/admin/allotment/cap2/5103_4.pdf</x:v>
      </x:c>
    </x:row>
    <x:row r="1004">
      <x:c r="A1004" s="49" t="str">
        <x:v>2025-26</x:v>
      </x:c>
      <x:c r="B1004" s="63" t="n">
        <x:v>5103</x:v>
      </x:c>
      <x:c r="C1004" s="49" t="str">
        <x:v>Shri Shivaji Vidya Prasarak Sanstha's Late Bapusaheb Shivaji Rao Deore College of Engineering,Dhule</x:v>
      </x:c>
      <x:c r="D1004" s="72" t="n">
        <x:v>510324510</x:v>
      </x:c>
      <x:c r="E1004" s="49" t="str">
        <x:v>Computer Engineering</x:v>
      </x:c>
      <x:c r="F1004" s="73" t="n">
        <x:v>38</x:v>
      </x:c>
      <x:c r="G1004" s="73" t="n">
        <x:v>31</x:v>
      </x:c>
      <x:c r="H1004" s="73" t="n">
        <x:v>7</x:v>
      </x:c>
      <x:c r="I1004" s="73"/>
      <x:c r="J1004" s="73" t="n">
        <x:v>0</x:v>
      </x:c>
      <x:c r="K1004" s="49" t="str">
        <x:v>Un-Aided</x:v>
      </x:c>
      <x:c r="L1004" s="49" t="str">
        <x:v>MS Seats : 31+ EWS : 7</x:v>
      </x:c>
      <x:c r="M1004" s="49" t="str">
        <x:v>https://dse2025.mahacet.org.in/dse25/admin/allotment/cap2/5103_4.pdf</x:v>
      </x:c>
    </x:row>
    <x:row r="1005">
      <x:c r="A1005" s="49" t="str">
        <x:v>2025-26</x:v>
      </x:c>
      <x:c r="B1005" s="63" t="n">
        <x:v>5103</x:v>
      </x:c>
      <x:c r="C1005" s="49" t="str">
        <x:v>Shri Shivaji Vidya Prasarak Sanstha's Late Bapusaheb Shivaji Rao Deore College of Engineering,Dhule</x:v>
      </x:c>
      <x:c r="D1005" s="72" t="n">
        <x:v>510337210</x:v>
      </x:c>
      <x:c r="E1005" s="49" t="str">
        <x:v>Electronics and Telecommunication Engg</x:v>
      </x:c>
      <x:c r="F1005" s="73" t="n">
        <x:v>17</x:v>
      </x:c>
      <x:c r="G1005" s="73" t="n">
        <x:v>11</x:v>
      </x:c>
      <x:c r="H1005" s="73" t="n">
        <x:v>6</x:v>
      </x:c>
      <x:c r="I1005" s="73"/>
      <x:c r="J1005" s="73" t="n">
        <x:v>0</x:v>
      </x:c>
      <x:c r="K1005" s="49" t="str">
        <x:v>Un-Aided</x:v>
      </x:c>
      <x:c r="L1005" s="49" t="str">
        <x:v>MS Seats : 11+ EWS : 6</x:v>
      </x:c>
      <x:c r="M1005" s="49" t="str">
        <x:v>https://dse2025.mahacet.org.in/dse25/admin/allotment/cap2/5103_4.pdf</x:v>
      </x:c>
    </x:row>
    <x:row r="1006">
      <x:c r="A1006" s="49" t="str">
        <x:v>2025-26</x:v>
      </x:c>
      <x:c r="B1006" s="63" t="n">
        <x:v>5103</x:v>
      </x:c>
      <x:c r="C1006" s="49" t="str">
        <x:v>Shri Shivaji Vidya Prasarak Sanstha's Late Bapusaheb Shivaji Rao Deore College of Engineering,Dhule</x:v>
      </x:c>
      <x:c r="D1006" s="72" t="n">
        <x:v>510337610</x:v>
      </x:c>
      <x:c r="E1006" s="49" t="str">
        <x:v>Electronics Engineering</x:v>
      </x:c>
      <x:c r="F1006" s="73" t="n">
        <x:v>17</x:v>
      </x:c>
      <x:c r="G1006" s="73" t="n">
        <x:v>10</x:v>
      </x:c>
      <x:c r="H1006" s="73" t="n">
        <x:v>7</x:v>
      </x:c>
      <x:c r="I1006" s="73"/>
      <x:c r="J1006" s="73" t="n">
        <x:v>0</x:v>
      </x:c>
      <x:c r="K1006" s="49" t="str">
        <x:v>Un-Aided</x:v>
      </x:c>
      <x:c r="L1006" s="49" t="str">
        <x:v>MS Seats : 10+ EWS : 7</x:v>
      </x:c>
      <x:c r="M1006" s="49" t="str">
        <x:v>https://dse2025.mahacet.org.in/dse25/admin/allotment/cap2/5103_4.pdf</x:v>
      </x:c>
    </x:row>
    <x:row r="1007">
      <x:c r="A1007" s="49" t="str">
        <x:v>2025-26</x:v>
      </x:c>
      <x:c r="B1007" s="63" t="n">
        <x:v>5103</x:v>
      </x:c>
      <x:c r="C1007" s="49" t="str">
        <x:v>Shri Shivaji Vidya Prasarak Sanstha's Late Bapusaheb Shivaji Rao Deore College of Engineering,Dhule</x:v>
      </x:c>
      <x:c r="D1007" s="72" t="n">
        <x:v>510361210</x:v>
      </x:c>
      <x:c r="E1007" s="49" t="str">
        <x:v>Mechanical Engineering</x:v>
      </x:c>
      <x:c r="F1007" s="73" t="n">
        <x:v>13</x:v>
      </x:c>
      <x:c r="G1007" s="73" t="n">
        <x:v>7</x:v>
      </x:c>
      <x:c r="H1007" s="73" t="n">
        <x:v>6</x:v>
      </x:c>
      <x:c r="I1007" s="73"/>
      <x:c r="J1007" s="73" t="n">
        <x:v>0</x:v>
      </x:c>
      <x:c r="K1007" s="49" t="str">
        <x:v>Un-Aided</x:v>
      </x:c>
      <x:c r="L1007" s="49" t="str">
        <x:v>MS Seats : 7+ EWS : 6</x:v>
      </x:c>
      <x:c r="M1007" s="49" t="str">
        <x:v>https://dse2025.mahacet.org.in/dse25/admin/allotment/cap2/5103_4.pdf</x:v>
      </x:c>
    </x:row>
    <x:row r="1008">
      <x:c r="A1008" s="49" t="str">
        <x:v>2025-26</x:v>
      </x:c>
      <x:c r="B1008" s="63" t="n">
        <x:v>5103</x:v>
      </x:c>
      <x:c r="C1008" s="49" t="str">
        <x:v>Shri Shivaji Vidya Prasarak Sanstha's Late Bapusaheb Shivaji Rao Deore College of Engineering,Dhule</x:v>
      </x:c>
      <x:c r="D1008" s="72" t="n">
        <x:v>510384410</x:v>
      </x:c>
      <x:c r="E1008" s="49" t="str">
        <x:v>Electronics and Computer Engineering</x:v>
      </x:c>
      <x:c r="F1008" s="73" t="n">
        <x:v>10</x:v>
      </x:c>
      <x:c r="G1008" s="73" t="n">
        <x:v>9</x:v>
      </x:c>
      <x:c r="H1008" s="73" t="n">
        <x:v>1</x:v>
      </x:c>
      <x:c r="I1008" s="73"/>
      <x:c r="J1008" s="73" t="n">
        <x:v>0</x:v>
      </x:c>
      <x:c r="K1008" s="49" t="str">
        <x:v>Un-Aided</x:v>
      </x:c>
      <x:c r="L1008" s="49" t="str">
        <x:v>MS Seats : 9+ EWS : 1</x:v>
      </x:c>
      <x:c r="M1008" s="49" t="str">
        <x:v>https://dse2025.mahacet.org.in/dse25/admin/allotment/cap2/5103_4.pdf</x:v>
      </x:c>
    </x:row>
    <x:row r="1009">
      <x:c r="A1009" s="49" t="str">
        <x:v>2025-26</x:v>
      </x:c>
      <x:c r="B1009" s="63" t="n">
        <x:v>5104</x:v>
      </x:c>
      <x:c r="C1009" s="49" t="str">
        <x:v>Shramsadhana Bombay Trust, College of Engineering &amp; Technology, Jalgaon</x:v>
      </x:c>
      <x:c r="D1009" s="72" t="n">
        <x:v>510419110</x:v>
      </x:c>
      <x:c r="E1009" s="49" t="str">
        <x:v>Civil Engineering</x:v>
      </x:c>
      <x:c r="F1009" s="73" t="n">
        <x:v>24</x:v>
      </x:c>
      <x:c r="G1009" s="73" t="n">
        <x:v>20</x:v>
      </x:c>
      <x:c r="H1009" s="73" t="n">
        <x:v>4</x:v>
      </x:c>
      <x:c r="I1009" s="73"/>
      <x:c r="J1009" s="73" t="n">
        <x:v>0</x:v>
      </x:c>
      <x:c r="K1009" s="49" t="str">
        <x:v>Un-Aided</x:v>
      </x:c>
      <x:c r="L1009" s="49" t="str">
        <x:v>MS Seats : 20+ EWS : 4</x:v>
      </x:c>
      <x:c r="M1009" s="49" t="str">
        <x:v>https://dse2025.mahacet.org.in/dse25/admin/allotment/cap2/5104_4.pdf</x:v>
      </x:c>
    </x:row>
    <x:row r="1010">
      <x:c r="A1010" s="49" t="str">
        <x:v>2025-26</x:v>
      </x:c>
      <x:c r="B1010" s="63" t="n">
        <x:v>5104</x:v>
      </x:c>
      <x:c r="C1010" s="49" t="str">
        <x:v>Shramsadhana Bombay Trust, College of Engineering &amp; Technology, Jalgaon</x:v>
      </x:c>
      <x:c r="D1010" s="72" t="n">
        <x:v>510424510</x:v>
      </x:c>
      <x:c r="E1010" s="49" t="str">
        <x:v>Computer Engineering</x:v>
      </x:c>
      <x:c r="F1010" s="73" t="n">
        <x:v>23</x:v>
      </x:c>
      <x:c r="G1010" s="73" t="n">
        <x:v>21</x:v>
      </x:c>
      <x:c r="H1010" s="73" t="n">
        <x:v>2</x:v>
      </x:c>
      <x:c r="I1010" s="73"/>
      <x:c r="J1010" s="73" t="n">
        <x:v>0</x:v>
      </x:c>
      <x:c r="K1010" s="49" t="str">
        <x:v>Un-Aided</x:v>
      </x:c>
      <x:c r="L1010" s="49" t="str">
        <x:v>MS Seats : 21+ EWS : 2</x:v>
      </x:c>
      <x:c r="M1010" s="49" t="str">
        <x:v>https://dse2025.mahacet.org.in/dse25/admin/allotment/cap2/5104_4.pdf</x:v>
      </x:c>
    </x:row>
    <x:row r="1011">
      <x:c r="A1011" s="49" t="str">
        <x:v>2025-26</x:v>
      </x:c>
      <x:c r="B1011" s="63" t="n">
        <x:v>5104</x:v>
      </x:c>
      <x:c r="C1011" s="49" t="str">
        <x:v>Shramsadhana Bombay Trust, College of Engineering &amp; Technology, Jalgaon</x:v>
      </x:c>
      <x:c r="D1011" s="72" t="n">
        <x:v>510429310</x:v>
      </x:c>
      <x:c r="E1011" s="49" t="str">
        <x:v>Electrical Engineering</x:v>
      </x:c>
      <x:c r="F1011" s="73" t="n">
        <x:v>8</x:v>
      </x:c>
      <x:c r="G1011" s="73" t="n">
        <x:v>7</x:v>
      </x:c>
      <x:c r="H1011" s="73" t="n">
        <x:v>1</x:v>
      </x:c>
      <x:c r="I1011" s="73"/>
      <x:c r="J1011" s="73" t="n">
        <x:v>0</x:v>
      </x:c>
      <x:c r="K1011" s="49" t="str">
        <x:v>Un-Aided</x:v>
      </x:c>
      <x:c r="L1011" s="49" t="str">
        <x:v>MS Seats : 7+ EWS : 1</x:v>
      </x:c>
      <x:c r="M1011" s="49" t="str">
        <x:v>https://dse2025.mahacet.org.in/dse25/admin/allotment/cap2/5104_4.pdf</x:v>
      </x:c>
    </x:row>
    <x:row r="1012">
      <x:c r="A1012" s="49" t="str">
        <x:v>2025-26</x:v>
      </x:c>
      <x:c r="B1012" s="63" t="n">
        <x:v>5104</x:v>
      </x:c>
      <x:c r="C1012" s="49" t="str">
        <x:v>Shramsadhana Bombay Trust, College of Engineering &amp; Technology, Jalgaon</x:v>
      </x:c>
      <x:c r="D1012" s="72" t="n">
        <x:v>510437210</x:v>
      </x:c>
      <x:c r="E1012" s="49" t="str">
        <x:v>Electronics and Telecommunication Engg</x:v>
      </x:c>
      <x:c r="F1012" s="73" t="n">
        <x:v>4</x:v>
      </x:c>
      <x:c r="G1012" s="73" t="n">
        <x:v>3</x:v>
      </x:c>
      <x:c r="H1012" s="73" t="n">
        <x:v>1</x:v>
      </x:c>
      <x:c r="I1012" s="73"/>
      <x:c r="J1012" s="73" t="n">
        <x:v>0</x:v>
      </x:c>
      <x:c r="K1012" s="49" t="str">
        <x:v>Un-Aided</x:v>
      </x:c>
      <x:c r="L1012" s="49" t="str">
        <x:v>MS Seats : 3+ EWS : 1</x:v>
      </x:c>
      <x:c r="M1012" s="49" t="str">
        <x:v>https://dse2025.mahacet.org.in/dse25/admin/allotment/cap2/5104_4.pdf</x:v>
      </x:c>
    </x:row>
    <x:row r="1013">
      <x:c r="A1013" s="49" t="str">
        <x:v>2025-26</x:v>
      </x:c>
      <x:c r="B1013" s="63" t="n">
        <x:v>5104</x:v>
      </x:c>
      <x:c r="C1013" s="49" t="str">
        <x:v>Shramsadhana Bombay Trust, College of Engineering &amp; Technology, Jalgaon</x:v>
      </x:c>
      <x:c r="D1013" s="72" t="n">
        <x:v>510450710</x:v>
      </x:c>
      <x:c r="E1013" s="49" t="str">
        <x:v>Chemical Engineering</x:v>
      </x:c>
      <x:c r="F1013" s="73" t="n">
        <x:v>14</x:v>
      </x:c>
      <x:c r="G1013" s="73" t="n">
        <x:v>11</x:v>
      </x:c>
      <x:c r="H1013" s="73" t="n">
        <x:v>3</x:v>
      </x:c>
      <x:c r="I1013" s="73"/>
      <x:c r="J1013" s="73" t="n">
        <x:v>0</x:v>
      </x:c>
      <x:c r="K1013" s="49" t="str">
        <x:v>Un-Aided</x:v>
      </x:c>
      <x:c r="L1013" s="49" t="str">
        <x:v>MS Seats : 11+ EWS : 3</x:v>
      </x:c>
      <x:c r="M1013" s="49" t="str">
        <x:v>https://dse2025.mahacet.org.in/dse25/admin/allotment/cap2/5104_4.pdf</x:v>
      </x:c>
    </x:row>
    <x:row r="1014">
      <x:c r="A1014" s="49" t="str">
        <x:v>2025-26</x:v>
      </x:c>
      <x:c r="B1014" s="63" t="n">
        <x:v>5104</x:v>
      </x:c>
      <x:c r="C1014" s="49" t="str">
        <x:v>Shramsadhana Bombay Trust, College of Engineering &amp; Technology, Jalgaon</x:v>
      </x:c>
      <x:c r="D1014" s="72" t="n">
        <x:v>510461210</x:v>
      </x:c>
      <x:c r="E1014" s="49" t="str">
        <x:v>Mechanical Engineering</x:v>
      </x:c>
      <x:c r="F1014" s="73" t="n">
        <x:v>4</x:v>
      </x:c>
      <x:c r="G1014" s="73" t="n">
        <x:v>3</x:v>
      </x:c>
      <x:c r="H1014" s="73" t="n">
        <x:v>1</x:v>
      </x:c>
      <x:c r="I1014" s="73"/>
      <x:c r="J1014" s="73" t="n">
        <x:v>0</x:v>
      </x:c>
      <x:c r="K1014" s="49" t="str">
        <x:v>Un-Aided</x:v>
      </x:c>
      <x:c r="L1014" s="49" t="str">
        <x:v>MS Seats : 3+ EWS : 1</x:v>
      </x:c>
      <x:c r="M1014" s="49" t="str">
        <x:v>https://dse2025.mahacet.org.in/dse25/admin/allotment/cap2/5104_4.pdf</x:v>
      </x:c>
    </x:row>
    <x:row r="1015">
      <x:c r="A1015" s="49" t="str">
        <x:v>2025-26</x:v>
      </x:c>
      <x:c r="B1015" s="63" t="n">
        <x:v>5106</x:v>
      </x:c>
      <x:c r="C1015" s="49" t="str">
        <x:v>Khandesh College Education Society's College Of Engineering And Management, Jalgaon</x:v>
      </x:c>
      <x:c r="D1015" s="72" t="n">
        <x:v>510624510</x:v>
      </x:c>
      <x:c r="E1015" s="49" t="str">
        <x:v>Computer Engineering</x:v>
      </x:c>
      <x:c r="F1015" s="73" t="n">
        <x:v>26</x:v>
      </x:c>
      <x:c r="G1015" s="73" t="n">
        <x:v>21</x:v>
      </x:c>
      <x:c r="H1015" s="73" t="n">
        <x:v>5</x:v>
      </x:c>
      <x:c r="I1015" s="73"/>
      <x:c r="J1015" s="73" t="n">
        <x:v>0</x:v>
      </x:c>
      <x:c r="K1015" s="49" t="str">
        <x:v>Un-Aided</x:v>
      </x:c>
      <x:c r="L1015" s="49" t="str">
        <x:v>MS Seats : 21+ EWS : 5</x:v>
      </x:c>
      <x:c r="M1015" s="49" t="str">
        <x:v>https://dse2025.mahacet.org.in/dse25/admin/allotment/cap2/5106_4.pdf</x:v>
      </x:c>
    </x:row>
    <x:row r="1016">
      <x:c r="A1016" s="49" t="str">
        <x:v>2025-26</x:v>
      </x:c>
      <x:c r="B1016" s="63" t="n">
        <x:v>5106</x:v>
      </x:c>
      <x:c r="C1016" s="49" t="str">
        <x:v>Khandesh College Education Society's College Of Engineering And Management, Jalgaon</x:v>
      </x:c>
      <x:c r="D1016" s="72" t="n">
        <x:v>510629310</x:v>
      </x:c>
      <x:c r="E1016" s="49" t="str">
        <x:v>Electrical Engineering</x:v>
      </x:c>
      <x:c r="F1016" s="73" t="n">
        <x:v>38</x:v>
      </x:c>
      <x:c r="G1016" s="73" t="n">
        <x:v>31</x:v>
      </x:c>
      <x:c r="H1016" s="73" t="n">
        <x:v>7</x:v>
      </x:c>
      <x:c r="I1016" s="73"/>
      <x:c r="J1016" s="73" t="n">
        <x:v>0</x:v>
      </x:c>
      <x:c r="K1016" s="49" t="str">
        <x:v>Un-Aided</x:v>
      </x:c>
      <x:c r="L1016" s="49" t="str">
        <x:v>MS Seats : 31+ EWS : 7</x:v>
      </x:c>
      <x:c r="M1016" s="49" t="str">
        <x:v>https://dse2025.mahacet.org.in/dse25/admin/allotment/cap2/5106_4.pdf</x:v>
      </x:c>
    </x:row>
    <x:row r="1017">
      <x:c r="A1017" s="49" t="str">
        <x:v>2025-26</x:v>
      </x:c>
      <x:c r="B1017" s="63" t="n">
        <x:v>5106</x:v>
      </x:c>
      <x:c r="C1017" s="49" t="str">
        <x:v>Khandesh College Education Society's College Of Engineering And Management, Jalgaon</x:v>
      </x:c>
      <x:c r="D1017" s="72" t="n">
        <x:v>510661210</x:v>
      </x:c>
      <x:c r="E1017" s="49" t="str">
        <x:v>Mechanical Engineering</x:v>
      </x:c>
      <x:c r="F1017" s="73" t="n">
        <x:v>59</x:v>
      </x:c>
      <x:c r="G1017" s="73" t="n">
        <x:v>52</x:v>
      </x:c>
      <x:c r="H1017" s="73" t="n">
        <x:v>7</x:v>
      </x:c>
      <x:c r="I1017" s="73"/>
      <x:c r="J1017" s="73" t="n">
        <x:v>0</x:v>
      </x:c>
      <x:c r="K1017" s="49" t="str">
        <x:v>Un-Aided</x:v>
      </x:c>
      <x:c r="L1017" s="49" t="str">
        <x:v>MS Seats : 52+ EWS : 7</x:v>
      </x:c>
      <x:c r="M1017" s="49" t="str">
        <x:v>https://dse2025.mahacet.org.in/dse25/admin/allotment/cap2/5106_4.pdf</x:v>
      </x:c>
    </x:row>
    <x:row r="1018">
      <x:c r="A1018" s="49" t="str">
        <x:v>2025-26</x:v>
      </x:c>
      <x:c r="B1018" s="63" t="n">
        <x:v>5106</x:v>
      </x:c>
      <x:c r="C1018" s="49" t="str">
        <x:v>Khandesh College Education Society's College Of Engineering And Management, Jalgaon</x:v>
      </x:c>
      <x:c r="D1018" s="72" t="n">
        <x:v>510684410</x:v>
      </x:c>
      <x:c r="E1018" s="49" t="str">
        <x:v>Electronics and Computer Engineering</x:v>
      </x:c>
      <x:c r="F1018" s="73" t="n">
        <x:v>22</x:v>
      </x:c>
      <x:c r="G1018" s="73" t="n">
        <x:v>16</x:v>
      </x:c>
      <x:c r="H1018" s="73" t="n">
        <x:v>6</x:v>
      </x:c>
      <x:c r="I1018" s="73"/>
      <x:c r="J1018" s="73" t="n">
        <x:v>0</x:v>
      </x:c>
      <x:c r="K1018" s="49" t="str">
        <x:v>Un-Aided</x:v>
      </x:c>
      <x:c r="L1018" s="49" t="str">
        <x:v>MS Seats : 16+ EWS : 6</x:v>
      </x:c>
      <x:c r="M1018" s="49" t="str">
        <x:v>https://dse2025.mahacet.org.in/dse25/admin/allotment/cap2/5106_4.pdf</x:v>
      </x:c>
    </x:row>
    <x:row r="1019">
      <x:c r="A1019" s="49" t="str">
        <x:v>2025-26</x:v>
      </x:c>
      <x:c r="B1019" s="63" t="n">
        <x:v>5106</x:v>
      </x:c>
      <x:c r="C1019" s="49" t="str">
        <x:v>Khandesh College Education Society's College Of Engineering And Management, Jalgaon</x:v>
      </x:c>
      <x:c r="D1019" s="72" t="n">
        <x:v>510691210</x:v>
      </x:c>
      <x:c r="E1019" s="49" t="str">
        <x:v>Computer Science and Engineering(Data Science)</x:v>
      </x:c>
      <x:c r="F1019" s="73" t="n">
        <x:v>16</x:v>
      </x:c>
      <x:c r="G1019" s="73" t="n">
        <x:v>9</x:v>
      </x:c>
      <x:c r="H1019" s="73" t="n">
        <x:v>7</x:v>
      </x:c>
      <x:c r="I1019" s="73"/>
      <x:c r="J1019" s="73" t="n">
        <x:v>0</x:v>
      </x:c>
      <x:c r="K1019" s="49" t="str">
        <x:v>Un-Aided</x:v>
      </x:c>
      <x:c r="L1019" s="49" t="str">
        <x:v>MS Seats : 9+ EWS : 7</x:v>
      </x:c>
      <x:c r="M1019" s="49" t="str">
        <x:v>https://dse2025.mahacet.org.in/dse25/admin/allotment/cap2/5106_4.pdf</x:v>
      </x:c>
    </x:row>
    <x:row r="1020">
      <x:c r="A1020" s="49" t="str">
        <x:v>2025-26</x:v>
      </x:c>
      <x:c r="B1020" s="63" t="n">
        <x:v>5108</x:v>
      </x:c>
      <x:c r="C1020" s="49" t="str">
        <x:v>Maratha Vidya Prasarak Samaj's Karmaveer Adv. Baburao Ganpatrao Thakare College Of Engineering, Nashik</x:v>
      </x:c>
      <x:c r="D1020" s="72" t="n">
        <x:v>510819110</x:v>
      </x:c>
      <x:c r="E1020" s="49" t="str">
        <x:v>Civil Engineering</x:v>
      </x:c>
      <x:c r="F1020" s="73" t="n">
        <x:v>15</x:v>
      </x:c>
      <x:c r="G1020" s="73" t="n">
        <x:v>10</x:v>
      </x:c>
      <x:c r="H1020" s="73" t="n">
        <x:v>5</x:v>
      </x:c>
      <x:c r="I1020" s="73"/>
      <x:c r="J1020" s="73" t="n">
        <x:v>0</x:v>
      </x:c>
      <x:c r="K1020" s="49" t="str">
        <x:v>Un-Aided Autonomous</x:v>
      </x:c>
      <x:c r="L1020" s="49" t="str">
        <x:v>MS Seats : 10+ EWS : 5</x:v>
      </x:c>
      <x:c r="M1020" s="49" t="str">
        <x:v>https://dse2025.mahacet.org.in/dse25/admin/allotment/cap2/5108_4.pdf</x:v>
      </x:c>
    </x:row>
    <x:row r="1021">
      <x:c r="A1021" s="49" t="str">
        <x:v>2025-26</x:v>
      </x:c>
      <x:c r="B1021" s="63" t="n">
        <x:v>5108</x:v>
      </x:c>
      <x:c r="C1021" s="49" t="str">
        <x:v>Maratha Vidya Prasarak Samaj's Karmaveer Adv. Baburao Ganpatrao Thakare College Of Engineering, Nashik</x:v>
      </x:c>
      <x:c r="D1021" s="72" t="n">
        <x:v>510824510</x:v>
      </x:c>
      <x:c r="E1021" s="49" t="str">
        <x:v>Computer Engineering</x:v>
      </x:c>
      <x:c r="F1021" s="73" t="n">
        <x:v>24</x:v>
      </x:c>
      <x:c r="G1021" s="73" t="n">
        <x:v>22</x:v>
      </x:c>
      <x:c r="H1021" s="73" t="n">
        <x:v>2</x:v>
      </x:c>
      <x:c r="I1021" s="73"/>
      <x:c r="J1021" s="73" t="n">
        <x:v>0</x:v>
      </x:c>
      <x:c r="K1021" s="49" t="str">
        <x:v>Un-Aided Autonomous</x:v>
      </x:c>
      <x:c r="L1021" s="49" t="str">
        <x:v>MS Seats : 22+ EWS : 2</x:v>
      </x:c>
      <x:c r="M1021" s="49" t="str">
        <x:v>https://dse2025.mahacet.org.in/dse25/admin/allotment/cap2/5108_4.pdf</x:v>
      </x:c>
    </x:row>
    <x:row r="1022">
      <x:c r="A1022" s="49" t="str">
        <x:v>2025-26</x:v>
      </x:c>
      <x:c r="B1022" s="63" t="n">
        <x:v>5108</x:v>
      </x:c>
      <x:c r="C1022" s="49" t="str">
        <x:v>Maratha Vidya Prasarak Samaj's Karmaveer Adv. Baburao Ganpatrao Thakare College Of Engineering, Nashik</x:v>
      </x:c>
      <x:c r="D1022" s="72" t="n">
        <x:v>510824610</x:v>
      </x:c>
      <x:c r="E1022" s="49" t="str">
        <x:v>Information Technology</x:v>
      </x:c>
      <x:c r="F1022" s="73" t="n">
        <x:v>15</x:v>
      </x:c>
      <x:c r="G1022" s="73" t="n">
        <x:v>13</x:v>
      </x:c>
      <x:c r="H1022" s="73" t="n">
        <x:v>2</x:v>
      </x:c>
      <x:c r="I1022" s="73"/>
      <x:c r="J1022" s="73" t="n">
        <x:v>0</x:v>
      </x:c>
      <x:c r="K1022" s="49" t="str">
        <x:v>Un-Aided Autonomous</x:v>
      </x:c>
      <x:c r="L1022" s="49" t="str">
        <x:v>MS Seats : 13+ EWS : 2</x:v>
      </x:c>
      <x:c r="M1022" s="49" t="str">
        <x:v>https://dse2025.mahacet.org.in/dse25/admin/allotment/cap2/5108_4.pdf</x:v>
      </x:c>
    </x:row>
    <x:row r="1023">
      <x:c r="A1023" s="49" t="str">
        <x:v>2025-26</x:v>
      </x:c>
      <x:c r="B1023" s="63" t="n">
        <x:v>5108</x:v>
      </x:c>
      <x:c r="C1023" s="49" t="str">
        <x:v>Maratha Vidya Prasarak Samaj's Karmaveer Adv. Baburao Ganpatrao Thakare College Of Engineering, Nashik</x:v>
      </x:c>
      <x:c r="D1023" s="72" t="n">
        <x:v>510826310</x:v>
      </x:c>
      <x:c r="E1023" s="49" t="str">
        <x:v>Artificial Intelligence (AI) and Data Science</x:v>
      </x:c>
      <x:c r="F1023" s="73" t="n">
        <x:v>17</x:v>
      </x:c>
      <x:c r="G1023" s="73" t="n">
        <x:v>14</x:v>
      </x:c>
      <x:c r="H1023" s="73" t="n">
        <x:v>3</x:v>
      </x:c>
      <x:c r="I1023" s="73"/>
      <x:c r="J1023" s="73" t="n">
        <x:v>0</x:v>
      </x:c>
      <x:c r="K1023" s="49" t="str">
        <x:v>Un-Aided Autonomous</x:v>
      </x:c>
      <x:c r="L1023" s="49" t="str">
        <x:v>MS Seats : 14+ EWS : 3</x:v>
      </x:c>
      <x:c r="M1023" s="49" t="str">
        <x:v>https://dse2025.mahacet.org.in/dse25/admin/allotment/cap2/5108_4.pdf</x:v>
      </x:c>
    </x:row>
    <x:row r="1024">
      <x:c r="A1024" s="49" t="str">
        <x:v>2025-26</x:v>
      </x:c>
      <x:c r="B1024" s="63" t="n">
        <x:v>5108</x:v>
      </x:c>
      <x:c r="C1024" s="49" t="str">
        <x:v>Maratha Vidya Prasarak Samaj's Karmaveer Adv. Baburao Ganpatrao Thakare College Of Engineering, Nashik</x:v>
      </x:c>
      <x:c r="D1024" s="72" t="n">
        <x:v>510829310</x:v>
      </x:c>
      <x:c r="E1024" s="49" t="str">
        <x:v>Electrical Engineering</x:v>
      </x:c>
      <x:c r="F1024" s="73" t="n">
        <x:v>17</x:v>
      </x:c>
      <x:c r="G1024" s="73" t="n">
        <x:v>12</x:v>
      </x:c>
      <x:c r="H1024" s="73" t="n">
        <x:v>5</x:v>
      </x:c>
      <x:c r="I1024" s="73"/>
      <x:c r="J1024" s="73" t="n">
        <x:v>0</x:v>
      </x:c>
      <x:c r="K1024" s="49" t="str">
        <x:v>Un-Aided Autonomous</x:v>
      </x:c>
      <x:c r="L1024" s="49" t="str">
        <x:v>MS Seats : 12+ EWS : 5</x:v>
      </x:c>
      <x:c r="M1024" s="49" t="str">
        <x:v>https://dse2025.mahacet.org.in/dse25/admin/allotment/cap2/5108_4.pdf</x:v>
      </x:c>
    </x:row>
    <x:row r="1025">
      <x:c r="A1025" s="49" t="str">
        <x:v>2025-26</x:v>
      </x:c>
      <x:c r="B1025" s="63" t="n">
        <x:v>5108</x:v>
      </x:c>
      <x:c r="C1025" s="49" t="str">
        <x:v>Maratha Vidya Prasarak Samaj's Karmaveer Adv. Baburao Ganpatrao Thakare College Of Engineering, Nashik</x:v>
      </x:c>
      <x:c r="D1025" s="72" t="n">
        <x:v>510837210</x:v>
      </x:c>
      <x:c r="E1025" s="49" t="str">
        <x:v>Electronics and Telecommunication Engg</x:v>
      </x:c>
      <x:c r="F1025" s="73" t="n">
        <x:v>13</x:v>
      </x:c>
      <x:c r="G1025" s="73" t="n">
        <x:v>12</x:v>
      </x:c>
      <x:c r="H1025" s="73" t="n">
        <x:v>1</x:v>
      </x:c>
      <x:c r="I1025" s="73"/>
      <x:c r="J1025" s="73" t="n">
        <x:v>0</x:v>
      </x:c>
      <x:c r="K1025" s="49" t="str">
        <x:v>Un-Aided Autonomous</x:v>
      </x:c>
      <x:c r="L1025" s="49" t="str">
        <x:v>MS Seats : 12+ EWS : 1</x:v>
      </x:c>
      <x:c r="M1025" s="49" t="str">
        <x:v>https://dse2025.mahacet.org.in/dse25/admin/allotment/cap2/5108_4.pdf</x:v>
      </x:c>
    </x:row>
    <x:row r="1026">
      <x:c r="A1026" s="49" t="str">
        <x:v>2025-26</x:v>
      </x:c>
      <x:c r="B1026" s="63" t="n">
        <x:v>5108</x:v>
      </x:c>
      <x:c r="C1026" s="49" t="str">
        <x:v>Maratha Vidya Prasarak Samaj's Karmaveer Adv. Baburao Ganpatrao Thakare College Of Engineering, Nashik</x:v>
      </x:c>
      <x:c r="D1026" s="72" t="n">
        <x:v>510846410</x:v>
      </x:c>
      <x:c r="E1026" s="49" t="str">
        <x:v>Instrumentation and Control Engineering</x:v>
      </x:c>
      <x:c r="F1026" s="73" t="n">
        <x:v>13</x:v>
      </x:c>
      <x:c r="G1026" s="73" t="n">
        <x:v>7</x:v>
      </x:c>
      <x:c r="H1026" s="73" t="n">
        <x:v>6</x:v>
      </x:c>
      <x:c r="I1026" s="73"/>
      <x:c r="J1026" s="73" t="n">
        <x:v>0</x:v>
      </x:c>
      <x:c r="K1026" s="49" t="str">
        <x:v>Un-Aided Autonomous</x:v>
      </x:c>
      <x:c r="L1026" s="49" t="str">
        <x:v>MS Seats : 7+ EWS : 6</x:v>
      </x:c>
      <x:c r="M1026" s="49" t="str">
        <x:v>https://dse2025.mahacet.org.in/dse25/admin/allotment/cap2/5108_4.pdf</x:v>
      </x:c>
    </x:row>
    <x:row r="1027">
      <x:c r="A1027" s="49" t="str">
        <x:v>2025-26</x:v>
      </x:c>
      <x:c r="B1027" s="63" t="n">
        <x:v>5108</x:v>
      </x:c>
      <x:c r="C1027" s="49" t="str">
        <x:v>Maratha Vidya Prasarak Samaj's Karmaveer Adv. Baburao Ganpatrao Thakare College Of Engineering, Nashik</x:v>
      </x:c>
      <x:c r="D1027" s="72" t="n">
        <x:v>510861210</x:v>
      </x:c>
      <x:c r="E1027" s="49" t="str">
        <x:v>Mechanical Engineering</x:v>
      </x:c>
      <x:c r="F1027" s="73" t="n">
        <x:v>41</x:v>
      </x:c>
      <x:c r="G1027" s="73" t="n">
        <x:v>29</x:v>
      </x:c>
      <x:c r="H1027" s="73" t="n">
        <x:v>12</x:v>
      </x:c>
      <x:c r="I1027" s="73"/>
      <x:c r="J1027" s="73" t="n">
        <x:v>0</x:v>
      </x:c>
      <x:c r="K1027" s="49" t="str">
        <x:v>Un-Aided Autonomous</x:v>
      </x:c>
      <x:c r="L1027" s="49" t="str">
        <x:v>MS Seats : 29+ EWS : 12</x:v>
      </x:c>
      <x:c r="M1027" s="49" t="str">
        <x:v>https://dse2025.mahacet.org.in/dse25/admin/allotment/cap2/5108_4.pdf</x:v>
      </x:c>
    </x:row>
    <x:row r="1028">
      <x:c r="A1028" s="49" t="str">
        <x:v>2025-26</x:v>
      </x:c>
      <x:c r="B1028" s="63" t="n">
        <x:v>5109</x:v>
      </x:c>
      <x:c r="C1028" s="49" t="str">
        <x:v>Sandip Foundation, Sandip Institute of Technology and Research Centre, Mahiravani, Nashik</x:v>
      </x:c>
      <x:c r="D1028" s="72" t="n">
        <x:v>510919110</x:v>
      </x:c>
      <x:c r="E1028" s="49" t="str">
        <x:v>Civil Engineering</x:v>
      </x:c>
      <x:c r="F1028" s="73" t="n">
        <x:v>18</x:v>
      </x:c>
      <x:c r="G1028" s="73" t="n">
        <x:v>11</x:v>
      </x:c>
      <x:c r="H1028" s="73" t="n">
        <x:v>7</x:v>
      </x:c>
      <x:c r="I1028" s="73"/>
      <x:c r="J1028" s="73" t="n">
        <x:v>0</x:v>
      </x:c>
      <x:c r="K1028" s="49" t="str">
        <x:v>Un-Aided Autonomous</x:v>
      </x:c>
      <x:c r="L1028" s="49" t="str">
        <x:v>MS Seats : 11+ EWS : 7</x:v>
      </x:c>
      <x:c r="M1028" s="49" t="str">
        <x:v>https://dse2025.mahacet.org.in/dse25/admin/allotment/cap2/5109_4.pdf</x:v>
      </x:c>
    </x:row>
    <x:row r="1029">
      <x:c r="A1029" s="49" t="str">
        <x:v>2025-26</x:v>
      </x:c>
      <x:c r="B1029" s="63" t="n">
        <x:v>5109</x:v>
      </x:c>
      <x:c r="C1029" s="49" t="str">
        <x:v>Sandip Foundation, Sandip Institute of Technology and Research Centre, Mahiravani, Nashik</x:v>
      </x:c>
      <x:c r="D1029" s="72" t="n">
        <x:v>510924510</x:v>
      </x:c>
      <x:c r="E1029" s="49" t="str">
        <x:v>Computer Engineering</x:v>
      </x:c>
      <x:c r="F1029" s="73" t="n">
        <x:v>29</x:v>
      </x:c>
      <x:c r="G1029" s="73" t="n">
        <x:v>23</x:v>
      </x:c>
      <x:c r="H1029" s="73" t="n">
        <x:v>6</x:v>
      </x:c>
      <x:c r="I1029" s="73"/>
      <x:c r="J1029" s="73" t="n">
        <x:v>0</x:v>
      </x:c>
      <x:c r="K1029" s="49" t="str">
        <x:v>Un-Aided Autonomous</x:v>
      </x:c>
      <x:c r="L1029" s="49" t="str">
        <x:v>MS Seats : 23+ EWS : 6</x:v>
      </x:c>
      <x:c r="M1029" s="49" t="str">
        <x:v>https://dse2025.mahacet.org.in/dse25/admin/allotment/cap2/5109_4.pdf</x:v>
      </x:c>
    </x:row>
    <x:row r="1030">
      <x:c r="A1030" s="49" t="str">
        <x:v>2025-26</x:v>
      </x:c>
      <x:c r="B1030" s="63" t="n">
        <x:v>5109</x:v>
      </x:c>
      <x:c r="C1030" s="49" t="str">
        <x:v>Sandip Foundation, Sandip Institute of Technology and Research Centre, Mahiravani, Nashik</x:v>
      </x:c>
      <x:c r="D1030" s="72" t="n">
        <x:v>510924610</x:v>
      </x:c>
      <x:c r="E1030" s="49" t="str">
        <x:v>Information Technology</x:v>
      </x:c>
      <x:c r="F1030" s="73" t="n">
        <x:v>11</x:v>
      </x:c>
      <x:c r="G1030" s="73" t="n">
        <x:v>8</x:v>
      </x:c>
      <x:c r="H1030" s="73" t="n">
        <x:v>3</x:v>
      </x:c>
      <x:c r="I1030" s="73"/>
      <x:c r="J1030" s="73" t="n">
        <x:v>0</x:v>
      </x:c>
      <x:c r="K1030" s="49" t="str">
        <x:v>Un-Aided Autonomous</x:v>
      </x:c>
      <x:c r="L1030" s="49" t="str">
        <x:v>MS Seats : 8+ EWS : 3</x:v>
      </x:c>
      <x:c r="M1030" s="49" t="str">
        <x:v>https://dse2025.mahacet.org.in/dse25/admin/allotment/cap2/5109_4.pdf</x:v>
      </x:c>
    </x:row>
    <x:row r="1031">
      <x:c r="A1031" s="49" t="str">
        <x:v>2025-26</x:v>
      </x:c>
      <x:c r="B1031" s="63" t="n">
        <x:v>5109</x:v>
      </x:c>
      <x:c r="C1031" s="49" t="str">
        <x:v>Sandip Foundation, Sandip Institute of Technology and Research Centre, Mahiravani, Nashik</x:v>
      </x:c>
      <x:c r="D1031" s="72" t="n">
        <x:v>510929310</x:v>
      </x:c>
      <x:c r="E1031" s="49" t="str">
        <x:v>Electrical Engineering</x:v>
      </x:c>
      <x:c r="F1031" s="73" t="n">
        <x:v>18</x:v>
      </x:c>
      <x:c r="G1031" s="73" t="n">
        <x:v>11</x:v>
      </x:c>
      <x:c r="H1031" s="73" t="n">
        <x:v>7</x:v>
      </x:c>
      <x:c r="I1031" s="73"/>
      <x:c r="J1031" s="73" t="n">
        <x:v>0</x:v>
      </x:c>
      <x:c r="K1031" s="49" t="str">
        <x:v>Un-Aided Autonomous</x:v>
      </x:c>
      <x:c r="L1031" s="49" t="str">
        <x:v>MS Seats : 11+ EWS : 7</x:v>
      </x:c>
      <x:c r="M1031" s="49" t="str">
        <x:v>https://dse2025.mahacet.org.in/dse25/admin/allotment/cap2/5109_4.pdf</x:v>
      </x:c>
    </x:row>
    <x:row r="1032">
      <x:c r="A1032" s="49" t="str">
        <x:v>2025-26</x:v>
      </x:c>
      <x:c r="B1032" s="63" t="n">
        <x:v>5109</x:v>
      </x:c>
      <x:c r="C1032" s="49" t="str">
        <x:v>Sandip Foundation, Sandip Institute of Technology and Research Centre, Mahiravani, Nashik</x:v>
      </x:c>
      <x:c r="D1032" s="72" t="n">
        <x:v>510937210</x:v>
      </x:c>
      <x:c r="E1032" s="49" t="str">
        <x:v>Electronics and Telecommunication Engg</x:v>
      </x:c>
      <x:c r="F1032" s="73" t="n">
        <x:v>13</x:v>
      </x:c>
      <x:c r="G1032" s="73" t="n">
        <x:v>8</x:v>
      </x:c>
      <x:c r="H1032" s="73" t="n">
        <x:v>5</x:v>
      </x:c>
      <x:c r="I1032" s="73"/>
      <x:c r="J1032" s="73" t="n">
        <x:v>0</x:v>
      </x:c>
      <x:c r="K1032" s="49" t="str">
        <x:v>Un-Aided Autonomous</x:v>
      </x:c>
      <x:c r="L1032" s="49" t="str">
        <x:v>MS Seats : 8+ EWS : 5</x:v>
      </x:c>
      <x:c r="M1032" s="49" t="str">
        <x:v>https://dse2025.mahacet.org.in/dse25/admin/allotment/cap2/5109_4.pdf</x:v>
      </x:c>
    </x:row>
    <x:row r="1033">
      <x:c r="A1033" s="49" t="str">
        <x:v>2025-26</x:v>
      </x:c>
      <x:c r="B1033" s="63" t="n">
        <x:v>5109</x:v>
      </x:c>
      <x:c r="C1033" s="49" t="str">
        <x:v>Sandip Foundation, Sandip Institute of Technology and Research Centre, Mahiravani, Nashik</x:v>
      </x:c>
      <x:c r="D1033" s="72" t="n">
        <x:v>510956610</x:v>
      </x:c>
      <x:c r="E1033" s="49" t="str">
        <x:v>Computer Science</x:v>
      </x:c>
      <x:c r="F1033" s="73" t="n">
        <x:v>12</x:v>
      </x:c>
      <x:c r="G1033" s="73" t="n">
        <x:v>9</x:v>
      </x:c>
      <x:c r="H1033" s="73" t="n">
        <x:v>3</x:v>
      </x:c>
      <x:c r="I1033" s="73"/>
      <x:c r="J1033" s="73" t="n">
        <x:v>0</x:v>
      </x:c>
      <x:c r="K1033" s="49" t="str">
        <x:v>Un-Aided Autonomous</x:v>
      </x:c>
      <x:c r="L1033" s="49" t="str">
        <x:v>MS Seats : 9+ EWS : 3</x:v>
      </x:c>
      <x:c r="M1033" s="49" t="str">
        <x:v>https://dse2025.mahacet.org.in/dse25/admin/allotment/cap2/5109_4.pdf</x:v>
      </x:c>
    </x:row>
    <x:row r="1034">
      <x:c r="A1034" s="49" t="str">
        <x:v>2025-26</x:v>
      </x:c>
      <x:c r="B1034" s="63" t="n">
        <x:v>5109</x:v>
      </x:c>
      <x:c r="C1034" s="49" t="str">
        <x:v>Sandip Foundation, Sandip Institute of Technology and Research Centre, Mahiravani, Nashik</x:v>
      </x:c>
      <x:c r="D1034" s="72" t="n">
        <x:v>510961210</x:v>
      </x:c>
      <x:c r="E1034" s="49" t="str">
        <x:v>Mechanical Engineering</x:v>
      </x:c>
      <x:c r="F1034" s="73" t="n">
        <x:v>14</x:v>
      </x:c>
      <x:c r="G1034" s="73" t="n">
        <x:v>7</x:v>
      </x:c>
      <x:c r="H1034" s="73" t="n">
        <x:v>7</x:v>
      </x:c>
      <x:c r="I1034" s="73"/>
      <x:c r="J1034" s="73" t="n">
        <x:v>0</x:v>
      </x:c>
      <x:c r="K1034" s="49" t="str">
        <x:v>Un-Aided Autonomous</x:v>
      </x:c>
      <x:c r="L1034" s="49" t="str">
        <x:v>MS Seats : 7+ EWS : 7</x:v>
      </x:c>
      <x:c r="M1034" s="49" t="str">
        <x:v>https://dse2025.mahacet.org.in/dse25/admin/allotment/cap2/5109_4.pdf</x:v>
      </x:c>
    </x:row>
    <x:row r="1035">
      <x:c r="A1035" s="49" t="str">
        <x:v>2025-26</x:v>
      </x:c>
      <x:c r="B1035" s="63" t="n">
        <x:v>5109</x:v>
      </x:c>
      <x:c r="C1035" s="49" t="str">
        <x:v>Sandip Foundation, Sandip Institute of Technology and Research Centre, Mahiravani, Nashik</x:v>
      </x:c>
      <x:c r="D1035" s="72" t="n">
        <x:v>510991610</x:v>
      </x:c>
      <x:c r="E1035" s="49" t="str">
        <x:v>Automation and Robotics</x:v>
      </x:c>
      <x:c r="F1035" s="73" t="n">
        <x:v>13</x:v>
      </x:c>
      <x:c r="G1035" s="73" t="n">
        <x:v>9</x:v>
      </x:c>
      <x:c r="H1035" s="73" t="n">
        <x:v>4</x:v>
      </x:c>
      <x:c r="I1035" s="73"/>
      <x:c r="J1035" s="73" t="n">
        <x:v>0</x:v>
      </x:c>
      <x:c r="K1035" s="49" t="str">
        <x:v>Un-Aided Autonomous</x:v>
      </x:c>
      <x:c r="L1035" s="49" t="str">
        <x:v>MS Seats : 9+ EWS : 4</x:v>
      </x:c>
      <x:c r="M1035" s="49" t="str">
        <x:v>https://dse2025.mahacet.org.in/dse25/admin/allotment/cap2/5109_4.pdf</x:v>
      </x:c>
    </x:row>
    <x:row r="1036">
      <x:c r="A1036" s="49" t="str">
        <x:v>2025-26</x:v>
      </x:c>
      <x:c r="B1036" s="63" t="n">
        <x:v>5109</x:v>
      </x:c>
      <x:c r="C1036" s="49" t="str">
        <x:v>Sandip Foundation, Sandip Institute of Technology and Research Centre, Mahiravani, Nashik</x:v>
      </x:c>
      <x:c r="D1036" s="72" t="n">
        <x:v>510992110</x:v>
      </x:c>
      <x:c r="E1036" s="49" t="str">
        <x:v>Artificial Intelligence and Machine Learning</x:v>
      </x:c>
      <x:c r="F1036" s="73" t="n">
        <x:v>11</x:v>
      </x:c>
      <x:c r="G1036" s="73" t="n">
        <x:v>9</x:v>
      </x:c>
      <x:c r="H1036" s="73" t="n">
        <x:v>2</x:v>
      </x:c>
      <x:c r="I1036" s="73"/>
      <x:c r="J1036" s="73" t="n">
        <x:v>0</x:v>
      </x:c>
      <x:c r="K1036" s="49" t="str">
        <x:v>Un-Aided Autonomous</x:v>
      </x:c>
      <x:c r="L1036" s="49" t="str">
        <x:v>MS Seats : 9+ EWS : 2</x:v>
      </x:c>
      <x:c r="M1036" s="49" t="str">
        <x:v>https://dse2025.mahacet.org.in/dse25/admin/allotment/cap2/5109_4.pdf</x:v>
      </x:c>
    </x:row>
    <x:row r="1037">
      <x:c r="A1037" s="49" t="str">
        <x:v>2025-26</x:v>
      </x:c>
      <x:c r="B1037" s="63" t="n">
        <x:v>5109</x:v>
      </x:c>
      <x:c r="C1037" s="49" t="str">
        <x:v>Sandip Foundation, Sandip Institute of Technology and Research Centre, Mahiravani, Nashik</x:v>
      </x:c>
      <x:c r="D1037" s="72" t="n">
        <x:v>510999510</x:v>
      </x:c>
      <x:c r="E1037" s="49" t="str">
        <x:v>Artificial Intelligence and Data Science</x:v>
      </x:c>
      <x:c r="F1037" s="73" t="n">
        <x:v>11</x:v>
      </x:c>
      <x:c r="G1037" s="73" t="n">
        <x:v>8</x:v>
      </x:c>
      <x:c r="H1037" s="73" t="n">
        <x:v>3</x:v>
      </x:c>
      <x:c r="I1037" s="73"/>
      <x:c r="J1037" s="73" t="n">
        <x:v>0</x:v>
      </x:c>
      <x:c r="K1037" s="49" t="str">
        <x:v>Un-Aided Autonomous</x:v>
      </x:c>
      <x:c r="L1037" s="49" t="str">
        <x:v>MS Seats : 8+ EWS : 3</x:v>
      </x:c>
      <x:c r="M1037" s="49" t="str">
        <x:v>https://dse2025.mahacet.org.in/dse25/admin/allotment/cap2/5109_4.pdf</x:v>
      </x:c>
    </x:row>
    <x:row r="1038">
      <x:c r="A1038" s="49" t="str">
        <x:v>2025-26</x:v>
      </x:c>
      <x:c r="B1038" s="63" t="n">
        <x:v>5121</x:v>
      </x:c>
      <x:c r="C1038" s="49" t="str">
        <x:v>K. K. Wagh Institute of Engineering Education and Research, Nashik</x:v>
      </x:c>
      <x:c r="D1038" s="72" t="n">
        <x:v>512119110</x:v>
      </x:c>
      <x:c r="E1038" s="49" t="str">
        <x:v>Civil Engineering</x:v>
      </x:c>
      <x:c r="F1038" s="73" t="n">
        <x:v>25</x:v>
      </x:c>
      <x:c r="G1038" s="73" t="n">
        <x:v>22</x:v>
      </x:c>
      <x:c r="H1038" s="73" t="n">
        <x:v>3</x:v>
      </x:c>
      <x:c r="I1038" s="73"/>
      <x:c r="J1038" s="73" t="n">
        <x:v>0</x:v>
      </x:c>
      <x:c r="K1038" s="49" t="str">
        <x:v>Un-Aided Autonomous</x:v>
      </x:c>
      <x:c r="L1038" s="49" t="str">
        <x:v>MS Seats : 22+ EWS : 3</x:v>
      </x:c>
      <x:c r="M1038" s="49" t="str">
        <x:v>https://dse2025.mahacet.org.in/dse25/admin/allotment/cap2/5121_4.pdf</x:v>
      </x:c>
    </x:row>
    <x:row r="1039">
      <x:c r="A1039" s="49" t="str">
        <x:v>2025-26</x:v>
      </x:c>
      <x:c r="B1039" s="63" t="n">
        <x:v>5121</x:v>
      </x:c>
      <x:c r="C1039" s="49" t="str">
        <x:v>K. K. Wagh Institute of Engineering Education and Research, Nashik</x:v>
      </x:c>
      <x:c r="D1039" s="72" t="n">
        <x:v>512121910</x:v>
      </x:c>
      <x:c r="E1039" s="49" t="str">
        <x:v>Robotics and Automation</x:v>
      </x:c>
      <x:c r="F1039" s="73" t="n">
        <x:v>9</x:v>
      </x:c>
      <x:c r="G1039" s="73" t="n">
        <x:v>7</x:v>
      </x:c>
      <x:c r="H1039" s="73" t="n">
        <x:v>2</x:v>
      </x:c>
      <x:c r="I1039" s="73"/>
      <x:c r="J1039" s="73" t="n">
        <x:v>0</x:v>
      </x:c>
      <x:c r="K1039" s="49" t="str">
        <x:v>Un-Aided Autonomous</x:v>
      </x:c>
      <x:c r="L1039" s="49" t="str">
        <x:v>MS Seats : 7+ EWS : 2</x:v>
      </x:c>
      <x:c r="M1039" s="49" t="str">
        <x:v>https://dse2025.mahacet.org.in/dse25/admin/allotment/cap2/5121_4.pdf</x:v>
      </x:c>
    </x:row>
    <x:row r="1040">
      <x:c r="A1040" s="49" t="str">
        <x:v>2025-26</x:v>
      </x:c>
      <x:c r="B1040" s="63" t="n">
        <x:v>5121</x:v>
      </x:c>
      <x:c r="C1040" s="49" t="str">
        <x:v>K. K. Wagh Institute of Engineering Education and Research, Nashik</x:v>
      </x:c>
      <x:c r="D1040" s="72" t="n">
        <x:v>512124510</x:v>
      </x:c>
      <x:c r="E1040" s="49" t="str">
        <x:v>Computer Engineering</x:v>
      </x:c>
      <x:c r="F1040" s="73" t="n">
        <x:v>16</x:v>
      </x:c>
      <x:c r="G1040" s="73" t="n">
        <x:v>13</x:v>
      </x:c>
      <x:c r="H1040" s="73" t="n">
        <x:v>3</x:v>
      </x:c>
      <x:c r="I1040" s="73"/>
      <x:c r="J1040" s="73" t="n">
        <x:v>0</x:v>
      </x:c>
      <x:c r="K1040" s="49" t="str">
        <x:v>Un-Aided Autonomous</x:v>
      </x:c>
      <x:c r="L1040" s="49" t="str">
        <x:v>MS Seats : 13+ EWS : 3</x:v>
      </x:c>
      <x:c r="M1040" s="49" t="str">
        <x:v>https://dse2025.mahacet.org.in/dse25/admin/allotment/cap2/5121_4.pdf</x:v>
      </x:c>
    </x:row>
    <x:row r="1041">
      <x:c r="A1041" s="49" t="str">
        <x:v>2025-26</x:v>
      </x:c>
      <x:c r="B1041" s="63" t="n">
        <x:v>5121</x:v>
      </x:c>
      <x:c r="C1041" s="49" t="str">
        <x:v>K. K. Wagh Institute of Engineering Education and Research, Nashik</x:v>
      </x:c>
      <x:c r="D1041" s="72" t="n">
        <x:v>512124610</x:v>
      </x:c>
      <x:c r="E1041" s="49" t="str">
        <x:v>Information Technology</x:v>
      </x:c>
      <x:c r="F1041" s="73" t="n">
        <x:v>17</x:v>
      </x:c>
      <x:c r="G1041" s="73" t="n">
        <x:v>14</x:v>
      </x:c>
      <x:c r="H1041" s="73" t="n">
        <x:v>3</x:v>
      </x:c>
      <x:c r="I1041" s="73"/>
      <x:c r="J1041" s="73" t="n">
        <x:v>0</x:v>
      </x:c>
      <x:c r="K1041" s="49" t="str">
        <x:v>Un-Aided Autonomous</x:v>
      </x:c>
      <x:c r="L1041" s="49" t="str">
        <x:v>MS Seats : 14+ EWS : 3</x:v>
      </x:c>
      <x:c r="M1041" s="49" t="str">
        <x:v>https://dse2025.mahacet.org.in/dse25/admin/allotment/cap2/5121_4.pdf</x:v>
      </x:c>
    </x:row>
    <x:row r="1042">
      <x:c r="A1042" s="49" t="str">
        <x:v>2025-26</x:v>
      </x:c>
      <x:c r="B1042" s="63" t="n">
        <x:v>5121</x:v>
      </x:c>
      <x:c r="C1042" s="49" t="str">
        <x:v>K. K. Wagh Institute of Engineering Education and Research, Nashik</x:v>
      </x:c>
      <x:c r="D1042" s="72" t="n">
        <x:v>512125710</x:v>
      </x:c>
      <x:c r="E1042" s="49" t="str">
        <x:v>Computer Science and Design</x:v>
      </x:c>
      <x:c r="F1042" s="73" t="n">
        <x:v>10</x:v>
      </x:c>
      <x:c r="G1042" s="73" t="n">
        <x:v>9</x:v>
      </x:c>
      <x:c r="H1042" s="73" t="n">
        <x:v>1</x:v>
      </x:c>
      <x:c r="I1042" s="73"/>
      <x:c r="J1042" s="73" t="n">
        <x:v>0</x:v>
      </x:c>
      <x:c r="K1042" s="49" t="str">
        <x:v>Un-Aided Autonomous</x:v>
      </x:c>
      <x:c r="L1042" s="49" t="str">
        <x:v>MS Seats : 9+ EWS : 1</x:v>
      </x:c>
      <x:c r="M1042" s="49" t="str">
        <x:v>https://dse2025.mahacet.org.in/dse25/admin/allotment/cap2/5121_4.pdf</x:v>
      </x:c>
    </x:row>
    <x:row r="1043">
      <x:c r="A1043" s="49" t="str">
        <x:v>2025-26</x:v>
      </x:c>
      <x:c r="B1043" s="63" t="n">
        <x:v>5121</x:v>
      </x:c>
      <x:c r="C1043" s="49" t="str">
        <x:v>K. K. Wagh Institute of Engineering Education and Research, Nashik</x:v>
      </x:c>
      <x:c r="D1043" s="72" t="n">
        <x:v>512129310</x:v>
      </x:c>
      <x:c r="E1043" s="49" t="str">
        <x:v>Electrical Engineering</x:v>
      </x:c>
      <x:c r="F1043" s="73" t="n">
        <x:v>20</x:v>
      </x:c>
      <x:c r="G1043" s="73" t="n">
        <x:v>18</x:v>
      </x:c>
      <x:c r="H1043" s="73" t="n">
        <x:v>2</x:v>
      </x:c>
      <x:c r="I1043" s="73"/>
      <x:c r="J1043" s="73" t="n">
        <x:v>0</x:v>
      </x:c>
      <x:c r="K1043" s="49" t="str">
        <x:v>Un-Aided Autonomous</x:v>
      </x:c>
      <x:c r="L1043" s="49" t="str">
        <x:v>MS Seats : 18+ EWS : 2</x:v>
      </x:c>
      <x:c r="M1043" s="49" t="str">
        <x:v>https://dse2025.mahacet.org.in/dse25/admin/allotment/cap2/5121_4.pdf</x:v>
      </x:c>
    </x:row>
    <x:row r="1044">
      <x:c r="A1044" s="49" t="str">
        <x:v>2025-26</x:v>
      </x:c>
      <x:c r="B1044" s="63" t="n">
        <x:v>5121</x:v>
      </x:c>
      <x:c r="C1044" s="49" t="str">
        <x:v>K. K. Wagh Institute of Engineering Education and Research, Nashik</x:v>
      </x:c>
      <x:c r="D1044" s="72" t="n">
        <x:v>512137210</x:v>
      </x:c>
      <x:c r="E1044" s="49" t="str">
        <x:v>Electronics and Telecommunication Engg</x:v>
      </x:c>
      <x:c r="F1044" s="73" t="n">
        <x:v>17</x:v>
      </x:c>
      <x:c r="G1044" s="73" t="n">
        <x:v>13</x:v>
      </x:c>
      <x:c r="H1044" s="73" t="n">
        <x:v>4</x:v>
      </x:c>
      <x:c r="I1044" s="73"/>
      <x:c r="J1044" s="73" t="n">
        <x:v>0</x:v>
      </x:c>
      <x:c r="K1044" s="49" t="str">
        <x:v>Un-Aided Autonomous</x:v>
      </x:c>
      <x:c r="L1044" s="49" t="str">
        <x:v>MS Seats : 13+ EWS : 4</x:v>
      </x:c>
      <x:c r="M1044" s="49" t="str">
        <x:v>https://dse2025.mahacet.org.in/dse25/admin/allotment/cap2/5121_4.pdf</x:v>
      </x:c>
    </x:row>
    <x:row r="1045">
      <x:c r="A1045" s="49" t="str">
        <x:v>2025-26</x:v>
      </x:c>
      <x:c r="B1045" s="63" t="n">
        <x:v>5121</x:v>
      </x:c>
      <x:c r="C1045" s="49" t="str">
        <x:v>K. K. Wagh Institute of Engineering Education and Research, Nashik</x:v>
      </x:c>
      <x:c r="D1045" s="72" t="n">
        <x:v>512150710</x:v>
      </x:c>
      <x:c r="E1045" s="49" t="str">
        <x:v>Chemical Engineering</x:v>
      </x:c>
      <x:c r="F1045" s="73" t="n">
        <x:v>12</x:v>
      </x:c>
      <x:c r="G1045" s="73" t="n">
        <x:v>11</x:v>
      </x:c>
      <x:c r="H1045" s="73" t="n">
        <x:v>1</x:v>
      </x:c>
      <x:c r="I1045" s="73"/>
      <x:c r="J1045" s="73" t="n">
        <x:v>0</x:v>
      </x:c>
      <x:c r="K1045" s="49" t="str">
        <x:v>Un-Aided Autonomous</x:v>
      </x:c>
      <x:c r="L1045" s="49" t="str">
        <x:v>MS Seats : 11+ EWS : 1</x:v>
      </x:c>
      <x:c r="M1045" s="49" t="str">
        <x:v>https://dse2025.mahacet.org.in/dse25/admin/allotment/cap2/5121_4.pdf</x:v>
      </x:c>
    </x:row>
    <x:row r="1046">
      <x:c r="A1046" s="49" t="str">
        <x:v>2025-26</x:v>
      </x:c>
      <x:c r="B1046" s="63" t="n">
        <x:v>5121</x:v>
      </x:c>
      <x:c r="C1046" s="49" t="str">
        <x:v>K. K. Wagh Institute of Engineering Education and Research, Nashik</x:v>
      </x:c>
      <x:c r="D1046" s="72" t="n">
        <x:v>512161210</x:v>
      </x:c>
      <x:c r="E1046" s="49" t="str">
        <x:v>Mechanical Engineering</x:v>
      </x:c>
      <x:c r="F1046" s="73" t="n">
        <x:v>24</x:v>
      </x:c>
      <x:c r="G1046" s="73" t="n">
        <x:v>22</x:v>
      </x:c>
      <x:c r="H1046" s="73" t="n">
        <x:v>2</x:v>
      </x:c>
      <x:c r="I1046" s="73"/>
      <x:c r="J1046" s="73" t="n">
        <x:v>0</x:v>
      </x:c>
      <x:c r="K1046" s="49" t="str">
        <x:v>Un-Aided Autonomous</x:v>
      </x:c>
      <x:c r="L1046" s="49" t="str">
        <x:v>MS Seats : 22+ EWS : 2</x:v>
      </x:c>
      <x:c r="M1046" s="49" t="str">
        <x:v>https://dse2025.mahacet.org.in/dse25/admin/allotment/cap2/5121_4.pdf</x:v>
      </x:c>
    </x:row>
    <x:row r="1047">
      <x:c r="A1047" s="49" t="str">
        <x:v>2025-26</x:v>
      </x:c>
      <x:c r="B1047" s="63" t="n">
        <x:v>5121</x:v>
      </x:c>
      <x:c r="C1047" s="49" t="str">
        <x:v>K. K. Wagh Institute of Engineering Education and Research, Nashik</x:v>
      </x:c>
      <x:c r="D1047" s="72" t="n">
        <x:v>512199510</x:v>
      </x:c>
      <x:c r="E1047" s="49" t="str">
        <x:v>Artificial Intelligence and Data Science</x:v>
      </x:c>
      <x:c r="F1047" s="73" t="n">
        <x:v>15</x:v>
      </x:c>
      <x:c r="G1047" s="73" t="n">
        <x:v>13</x:v>
      </x:c>
      <x:c r="H1047" s="73" t="n">
        <x:v>2</x:v>
      </x:c>
      <x:c r="I1047" s="73"/>
      <x:c r="J1047" s="73" t="n">
        <x:v>0</x:v>
      </x:c>
      <x:c r="K1047" s="49" t="str">
        <x:v>Un-Aided Autonomous</x:v>
      </x:c>
      <x:c r="L1047" s="49" t="str">
        <x:v>MS Seats : 13+ EWS : 2</x:v>
      </x:c>
      <x:c r="M1047" s="49" t="str">
        <x:v>https://dse2025.mahacet.org.in/dse25/admin/allotment/cap2/5121_4.pdf</x:v>
      </x:c>
    </x:row>
    <x:row r="1048">
      <x:c r="A1048" s="49" t="str">
        <x:v>2025-26</x:v>
      </x:c>
      <x:c r="B1048" s="63" t="n">
        <x:v>5124</x:v>
      </x:c>
      <x:c r="C1048" s="49" t="str">
        <x:v>Jagadamba Education Soc. Nashik's S.N.D. College of Engineering &amp; Reserch, Babulgaon</x:v>
      </x:c>
      <x:c r="D1048" s="72" t="n">
        <x:v>512419110</x:v>
      </x:c>
      <x:c r="E1048" s="49" t="str">
        <x:v>Civil Engineering</x:v>
      </x:c>
      <x:c r="F1048" s="73" t="n">
        <x:v>30</x:v>
      </x:c>
      <x:c r="G1048" s="73" t="n">
        <x:v>23</x:v>
      </x:c>
      <x:c r="H1048" s="73" t="n">
        <x:v>7</x:v>
      </x:c>
      <x:c r="I1048" s="73"/>
      <x:c r="J1048" s="73" t="n">
        <x:v>0</x:v>
      </x:c>
      <x:c r="K1048" s="49" t="str">
        <x:v>Un-Aided</x:v>
      </x:c>
      <x:c r="L1048" s="49" t="str">
        <x:v>MS Seats : 23+ EWS : 7</x:v>
      </x:c>
      <x:c r="M1048" s="49" t="str">
        <x:v>https://dse2025.mahacet.org.in/dse25/admin/allotment/cap2/5124_4.pdf</x:v>
      </x:c>
    </x:row>
    <x:row r="1049">
      <x:c r="A1049" s="49" t="str">
        <x:v>2025-26</x:v>
      </x:c>
      <x:c r="B1049" s="63" t="n">
        <x:v>5124</x:v>
      </x:c>
      <x:c r="C1049" s="49" t="str">
        <x:v>Jagadamba Education Soc. Nashik's S.N.D. College of Engineering &amp; Reserch, Babulgaon</x:v>
      </x:c>
      <x:c r="D1049" s="72" t="n">
        <x:v>512424510</x:v>
      </x:c>
      <x:c r="E1049" s="49" t="str">
        <x:v>Computer Engineering</x:v>
      </x:c>
      <x:c r="F1049" s="73" t="n">
        <x:v>13</x:v>
      </x:c>
      <x:c r="G1049" s="73" t="n">
        <x:v>11</x:v>
      </x:c>
      <x:c r="H1049" s="73" t="n">
        <x:v>2</x:v>
      </x:c>
      <x:c r="I1049" s="73"/>
      <x:c r="J1049" s="73" t="n">
        <x:v>0</x:v>
      </x:c>
      <x:c r="K1049" s="49" t="str">
        <x:v>Un-Aided</x:v>
      </x:c>
      <x:c r="L1049" s="49" t="str">
        <x:v>MS Seats : 11+ EWS : 2</x:v>
      </x:c>
      <x:c r="M1049" s="49" t="str">
        <x:v>https://dse2025.mahacet.org.in/dse25/admin/allotment/cap2/5124_4.pdf</x:v>
      </x:c>
    </x:row>
    <x:row r="1050">
      <x:c r="A1050" s="49" t="str">
        <x:v>2025-26</x:v>
      </x:c>
      <x:c r="B1050" s="63" t="n">
        <x:v>5124</x:v>
      </x:c>
      <x:c r="C1050" s="49" t="str">
        <x:v>Jagadamba Education Soc. Nashik's S.N.D. College of Engineering &amp; Reserch, Babulgaon</x:v>
      </x:c>
      <x:c r="D1050" s="72" t="n">
        <x:v>512424610</x:v>
      </x:c>
      <x:c r="E1050" s="49" t="str">
        <x:v>Information Technology</x:v>
      </x:c>
      <x:c r="F1050" s="73" t="n">
        <x:v>11</x:v>
      </x:c>
      <x:c r="G1050" s="73" t="n">
        <x:v>9</x:v>
      </x:c>
      <x:c r="H1050" s="73" t="n">
        <x:v>2</x:v>
      </x:c>
      <x:c r="I1050" s="73"/>
      <x:c r="J1050" s="73" t="n">
        <x:v>0</x:v>
      </x:c>
      <x:c r="K1050" s="49" t="str">
        <x:v>Un-Aided</x:v>
      </x:c>
      <x:c r="L1050" s="49" t="str">
        <x:v>MS Seats : 9+ EWS : 2</x:v>
      </x:c>
      <x:c r="M1050" s="49" t="str">
        <x:v>https://dse2025.mahacet.org.in/dse25/admin/allotment/cap2/5124_4.pdf</x:v>
      </x:c>
    </x:row>
    <x:row r="1051">
      <x:c r="A1051" s="49" t="str">
        <x:v>2025-26</x:v>
      </x:c>
      <x:c r="B1051" s="63" t="n">
        <x:v>5124</x:v>
      </x:c>
      <x:c r="C1051" s="49" t="str">
        <x:v>Jagadamba Education Soc. Nashik's S.N.D. College of Engineering &amp; Reserch, Babulgaon</x:v>
      </x:c>
      <x:c r="D1051" s="72" t="n">
        <x:v>512429310</x:v>
      </x:c>
      <x:c r="E1051" s="49" t="str">
        <x:v>Electrical Engineering</x:v>
      </x:c>
      <x:c r="F1051" s="73" t="n">
        <x:v>58</x:v>
      </x:c>
      <x:c r="G1051" s="73" t="n">
        <x:v>46</x:v>
      </x:c>
      <x:c r="H1051" s="73" t="n">
        <x:v>12</x:v>
      </x:c>
      <x:c r="I1051" s="73"/>
      <x:c r="J1051" s="73" t="n">
        <x:v>0</x:v>
      </x:c>
      <x:c r="K1051" s="49" t="str">
        <x:v>Un-Aided</x:v>
      </x:c>
      <x:c r="L1051" s="49" t="str">
        <x:v>MS Seats : 46+ EWS : 12</x:v>
      </x:c>
      <x:c r="M1051" s="49" t="str">
        <x:v>https://dse2025.mahacet.org.in/dse25/admin/allotment/cap2/5124_4.pdf</x:v>
      </x:c>
    </x:row>
    <x:row r="1052">
      <x:c r="A1052" s="49" t="str">
        <x:v>2025-26</x:v>
      </x:c>
      <x:c r="B1052" s="63" t="n">
        <x:v>5124</x:v>
      </x:c>
      <x:c r="C1052" s="49" t="str">
        <x:v>Jagadamba Education Soc. Nashik's S.N.D. College of Engineering &amp; Reserch, Babulgaon</x:v>
      </x:c>
      <x:c r="D1052" s="72" t="n">
        <x:v>512461210</x:v>
      </x:c>
      <x:c r="E1052" s="49" t="str">
        <x:v>Mechanical Engineering</x:v>
      </x:c>
      <x:c r="F1052" s="73" t="n">
        <x:v>27</x:v>
      </x:c>
      <x:c r="G1052" s="73" t="n">
        <x:v>20</x:v>
      </x:c>
      <x:c r="H1052" s="73" t="n">
        <x:v>7</x:v>
      </x:c>
      <x:c r="I1052" s="73"/>
      <x:c r="J1052" s="73" t="n">
        <x:v>0</x:v>
      </x:c>
      <x:c r="K1052" s="49" t="str">
        <x:v>Un-Aided</x:v>
      </x:c>
      <x:c r="L1052" s="49" t="str">
        <x:v>MS Seats : 20+ EWS : 7</x:v>
      </x:c>
      <x:c r="M1052" s="49" t="str">
        <x:v>https://dse2025.mahacet.org.in/dse25/admin/allotment/cap2/5124_4.pdf</x:v>
      </x:c>
    </x:row>
    <x:row r="1053">
      <x:c r="A1053" s="49" t="str">
        <x:v>2025-26</x:v>
      </x:c>
      <x:c r="B1053" s="63" t="n">
        <x:v>5124</x:v>
      </x:c>
      <x:c r="C1053" s="49" t="str">
        <x:v>Jagadamba Education Soc. Nashik's S.N.D. College of Engineering &amp; Reserch, Babulgaon</x:v>
      </x:c>
      <x:c r="D1053" s="72" t="n">
        <x:v>512462410</x:v>
      </x:c>
      <x:c r="E1053" s="49" t="str">
        <x:v>Mechatronics Engineering</x:v>
      </x:c>
      <x:c r="F1053" s="73" t="n">
        <x:v>29</x:v>
      </x:c>
      <x:c r="G1053" s="73" t="n">
        <x:v>22</x:v>
      </x:c>
      <x:c r="H1053" s="73" t="n">
        <x:v>7</x:v>
      </x:c>
      <x:c r="I1053" s="73"/>
      <x:c r="J1053" s="73" t="n">
        <x:v>0</x:v>
      </x:c>
      <x:c r="K1053" s="49" t="str">
        <x:v>Un-Aided</x:v>
      </x:c>
      <x:c r="L1053" s="49" t="str">
        <x:v>MS Seats : 22+ EWS : 7</x:v>
      </x:c>
      <x:c r="M1053" s="49" t="str">
        <x:v>https://dse2025.mahacet.org.in/dse25/admin/allotment/cap2/5124_4.pdf</x:v>
      </x:c>
    </x:row>
    <x:row r="1054">
      <x:c r="A1054" s="49" t="str">
        <x:v>2025-26</x:v>
      </x:c>
      <x:c r="B1054" s="63" t="n">
        <x:v>5124</x:v>
      </x:c>
      <x:c r="C1054" s="49" t="str">
        <x:v>Jagadamba Education Soc. Nashik's S.N.D. College of Engineering &amp; Reserch, Babulgaon</x:v>
      </x:c>
      <x:c r="D1054" s="72" t="n">
        <x:v>512484410</x:v>
      </x:c>
      <x:c r="E1054" s="49" t="str">
        <x:v>Electronics and Computer Engineering</x:v>
      </x:c>
      <x:c r="F1054" s="73" t="n">
        <x:v>22</x:v>
      </x:c>
      <x:c r="G1054" s="73" t="n">
        <x:v>16</x:v>
      </x:c>
      <x:c r="H1054" s="73" t="n">
        <x:v>6</x:v>
      </x:c>
      <x:c r="I1054" s="73"/>
      <x:c r="J1054" s="73" t="n">
        <x:v>0</x:v>
      </x:c>
      <x:c r="K1054" s="49" t="str">
        <x:v>Un-Aided</x:v>
      </x:c>
      <x:c r="L1054" s="49" t="str">
        <x:v>MS Seats : 16+ EWS : 6</x:v>
      </x:c>
      <x:c r="M1054" s="49" t="str">
        <x:v>https://dse2025.mahacet.org.in/dse25/admin/allotment/cap2/5124_4.pdf</x:v>
      </x:c>
    </x:row>
    <x:row r="1055">
      <x:c r="A1055" s="49" t="str">
        <x:v>2025-26</x:v>
      </x:c>
      <x:c r="B1055" s="63" t="n">
        <x:v>5125</x:v>
      </x:c>
      <x:c r="C1055" s="49" t="str">
        <x:v>Pravara Rural Education Society's Sir Visvesvaraya Institute of Technology, Chincholi Dist. Nashik</x:v>
      </x:c>
      <x:c r="D1055" s="72" t="n">
        <x:v>512524510</x:v>
      </x:c>
      <x:c r="E1055" s="49" t="str">
        <x:v>Computer Engineering</x:v>
      </x:c>
      <x:c r="F1055" s="73" t="n">
        <x:v>11</x:v>
      </x:c>
      <x:c r="G1055" s="73" t="n">
        <x:v>7</x:v>
      </x:c>
      <x:c r="H1055" s="73" t="n">
        <x:v>4</x:v>
      </x:c>
      <x:c r="I1055" s="73"/>
      <x:c r="J1055" s="73" t="n">
        <x:v>0</x:v>
      </x:c>
      <x:c r="K1055" s="49" t="str">
        <x:v>Un-Aided</x:v>
      </x:c>
      <x:c r="L1055" s="49" t="str">
        <x:v>MS Seats : 7+ EWS : 4</x:v>
      </x:c>
      <x:c r="M1055" s="49" t="str">
        <x:v>https://dse2025.mahacet.org.in/dse25/admin/allotment/cap2/5125_4.pdf</x:v>
      </x:c>
    </x:row>
    <x:row r="1056">
      <x:c r="A1056" s="49" t="str">
        <x:v>2025-26</x:v>
      </x:c>
      <x:c r="B1056" s="63" t="n">
        <x:v>5125</x:v>
      </x:c>
      <x:c r="C1056" s="49" t="str">
        <x:v>Pravara Rural Education Society's Sir Visvesvaraya Institute of Technology, Chincholi Dist. Nashik</x:v>
      </x:c>
      <x:c r="D1056" s="72" t="n">
        <x:v>512524610</x:v>
      </x:c>
      <x:c r="E1056" s="49" t="str">
        <x:v>Information Technology</x:v>
      </x:c>
      <x:c r="F1056" s="73" t="n">
        <x:v>15</x:v>
      </x:c>
      <x:c r="G1056" s="73" t="n">
        <x:v>9</x:v>
      </x:c>
      <x:c r="H1056" s="73" t="n">
        <x:v>6</x:v>
      </x:c>
      <x:c r="I1056" s="73"/>
      <x:c r="J1056" s="73" t="n">
        <x:v>0</x:v>
      </x:c>
      <x:c r="K1056" s="49" t="str">
        <x:v>Un-Aided</x:v>
      </x:c>
      <x:c r="L1056" s="49" t="str">
        <x:v>MS Seats : 9+ EWS : 6</x:v>
      </x:c>
      <x:c r="M1056" s="49" t="str">
        <x:v>https://dse2025.mahacet.org.in/dse25/admin/allotment/cap2/5125_4.pdf</x:v>
      </x:c>
    </x:row>
    <x:row r="1057">
      <x:c r="A1057" s="49" t="str">
        <x:v>2025-26</x:v>
      </x:c>
      <x:c r="B1057" s="63" t="n">
        <x:v>5125</x:v>
      </x:c>
      <x:c r="C1057" s="49" t="str">
        <x:v>Pravara Rural Education Society's Sir Visvesvaraya Institute of Technology, Chincholi Dist. Nashik</x:v>
      </x:c>
      <x:c r="D1057" s="72" t="n">
        <x:v>512550710</x:v>
      </x:c>
      <x:c r="E1057" s="49" t="str">
        <x:v>Chemical Engineering</x:v>
      </x:c>
      <x:c r="F1057" s="73" t="n">
        <x:v>17</x:v>
      </x:c>
      <x:c r="G1057" s="73" t="n">
        <x:v>10</x:v>
      </x:c>
      <x:c r="H1057" s="73" t="n">
        <x:v>7</x:v>
      </x:c>
      <x:c r="I1057" s="73"/>
      <x:c r="J1057" s="73" t="n">
        <x:v>0</x:v>
      </x:c>
      <x:c r="K1057" s="49" t="str">
        <x:v>Un-Aided</x:v>
      </x:c>
      <x:c r="L1057" s="49" t="str">
        <x:v>MS Seats : 10+ EWS : 7</x:v>
      </x:c>
      <x:c r="M1057" s="49" t="str">
        <x:v>https://dse2025.mahacet.org.in/dse25/admin/allotment/cap2/5125_4.pdf</x:v>
      </x:c>
    </x:row>
    <x:row r="1058">
      <x:c r="A1058" s="49" t="str">
        <x:v>2025-26</x:v>
      </x:c>
      <x:c r="B1058" s="63" t="n">
        <x:v>5125</x:v>
      </x:c>
      <x:c r="C1058" s="49" t="str">
        <x:v>Pravara Rural Education Society's Sir Visvesvaraya Institute of Technology, Chincholi Dist. Nashik</x:v>
      </x:c>
      <x:c r="D1058" s="72" t="n">
        <x:v>512584410</x:v>
      </x:c>
      <x:c r="E1058" s="49" t="str">
        <x:v>Electronics and Computer Engineering</x:v>
      </x:c>
      <x:c r="F1058" s="73" t="n">
        <x:v>14</x:v>
      </x:c>
      <x:c r="G1058" s="73" t="n">
        <x:v>8</x:v>
      </x:c>
      <x:c r="H1058" s="73" t="n">
        <x:v>6</x:v>
      </x:c>
      <x:c r="I1058" s="73"/>
      <x:c r="J1058" s="73" t="n">
        <x:v>0</x:v>
      </x:c>
      <x:c r="K1058" s="49" t="str">
        <x:v>Un-Aided</x:v>
      </x:c>
      <x:c r="L1058" s="49" t="str">
        <x:v>MS Seats : 8+ EWS : 6</x:v>
      </x:c>
      <x:c r="M1058" s="49" t="str">
        <x:v>https://dse2025.mahacet.org.in/dse25/admin/allotment/cap2/5125_4.pdf</x:v>
      </x:c>
    </x:row>
    <x:row r="1059">
      <x:c r="A1059" s="49" t="str">
        <x:v>2025-26</x:v>
      </x:c>
      <x:c r="B1059" s="63" t="n">
        <x:v>5130</x:v>
      </x:c>
      <x:c r="C1059" s="49" t="str">
        <x:v>Brahma Valley College of Engineering &amp; Research, Trimbakeshwar, Nashik</x:v>
      </x:c>
      <x:c r="D1059" s="72" t="n">
        <x:v>513019110</x:v>
      </x:c>
      <x:c r="E1059" s="49" t="str">
        <x:v>Civil Engineering</x:v>
      </x:c>
      <x:c r="F1059" s="73" t="n">
        <x:v>39</x:v>
      </x:c>
      <x:c r="G1059" s="73" t="n">
        <x:v>35</x:v>
      </x:c>
      <x:c r="H1059" s="73" t="n">
        <x:v>4</x:v>
      </x:c>
      <x:c r="I1059" s="73"/>
      <x:c r="J1059" s="73" t="n">
        <x:v>0</x:v>
      </x:c>
      <x:c r="K1059" s="49" t="str">
        <x:v>Un-Aided</x:v>
      </x:c>
      <x:c r="L1059" s="49" t="str">
        <x:v>MS Seats : 35+ EWS : 4</x:v>
      </x:c>
      <x:c r="M1059" s="49" t="str">
        <x:v>https://dse2025.mahacet.org.in/dse25/admin/allotment/cap2/5130_4.pdf</x:v>
      </x:c>
    </x:row>
    <x:row r="1060">
      <x:c r="A1060" s="49" t="str">
        <x:v>2025-26</x:v>
      </x:c>
      <x:c r="B1060" s="63" t="n">
        <x:v>5130</x:v>
      </x:c>
      <x:c r="C1060" s="49" t="str">
        <x:v>Brahma Valley College of Engineering &amp; Research, Trimbakeshwar, Nashik</x:v>
      </x:c>
      <x:c r="D1060" s="72" t="n">
        <x:v>513024510</x:v>
      </x:c>
      <x:c r="E1060" s="49" t="str">
        <x:v>Computer Engineering</x:v>
      </x:c>
      <x:c r="F1060" s="73" t="n">
        <x:v>14</x:v>
      </x:c>
      <x:c r="G1060" s="73" t="n">
        <x:v>10</x:v>
      </x:c>
      <x:c r="H1060" s="73" t="n">
        <x:v>4</x:v>
      </x:c>
      <x:c r="I1060" s="73"/>
      <x:c r="J1060" s="73" t="n">
        <x:v>0</x:v>
      </x:c>
      <x:c r="K1060" s="49" t="str">
        <x:v>Un-Aided</x:v>
      </x:c>
      <x:c r="L1060" s="49" t="str">
        <x:v>MS Seats : 10+ EWS : 4</x:v>
      </x:c>
      <x:c r="M1060" s="49" t="str">
        <x:v>https://dse2025.mahacet.org.in/dse25/admin/allotment/cap2/5130_4.pdf</x:v>
      </x:c>
    </x:row>
    <x:row r="1061">
      <x:c r="A1061" s="49" t="str">
        <x:v>2025-26</x:v>
      </x:c>
      <x:c r="B1061" s="63" t="n">
        <x:v>5130</x:v>
      </x:c>
      <x:c r="C1061" s="49" t="str">
        <x:v>Brahma Valley College of Engineering &amp; Research, Trimbakeshwar, Nashik</x:v>
      </x:c>
      <x:c r="D1061" s="72" t="n">
        <x:v>513029310</x:v>
      </x:c>
      <x:c r="E1061" s="49" t="str">
        <x:v>Electrical Engineering</x:v>
      </x:c>
      <x:c r="F1061" s="73" t="n">
        <x:v>24</x:v>
      </x:c>
      <x:c r="G1061" s="73" t="n">
        <x:v>17</x:v>
      </x:c>
      <x:c r="H1061" s="73" t="n">
        <x:v>7</x:v>
      </x:c>
      <x:c r="I1061" s="73"/>
      <x:c r="J1061" s="73" t="n">
        <x:v>0</x:v>
      </x:c>
      <x:c r="K1061" s="49" t="str">
        <x:v>Un-Aided</x:v>
      </x:c>
      <x:c r="L1061" s="49" t="str">
        <x:v>MS Seats : 17+ EWS : 7</x:v>
      </x:c>
      <x:c r="M1061" s="49" t="str">
        <x:v>https://dse2025.mahacet.org.in/dse25/admin/allotment/cap2/5130_4.pdf</x:v>
      </x:c>
    </x:row>
    <x:row r="1062">
      <x:c r="A1062" s="49" t="str">
        <x:v>2025-26</x:v>
      </x:c>
      <x:c r="B1062" s="63" t="n">
        <x:v>5130</x:v>
      </x:c>
      <x:c r="C1062" s="49" t="str">
        <x:v>Brahma Valley College of Engineering &amp; Research, Trimbakeshwar, Nashik</x:v>
      </x:c>
      <x:c r="D1062" s="72" t="n">
        <x:v>513061210</x:v>
      </x:c>
      <x:c r="E1062" s="49" t="str">
        <x:v>Mechanical Engineering</x:v>
      </x:c>
      <x:c r="F1062" s="73" t="n">
        <x:v>114</x:v>
      </x:c>
      <x:c r="G1062" s="73" t="n">
        <x:v>100</x:v>
      </x:c>
      <x:c r="H1062" s="73" t="n">
        <x:v>14</x:v>
      </x:c>
      <x:c r="I1062" s="73"/>
      <x:c r="J1062" s="73" t="n">
        <x:v>0</x:v>
      </x:c>
      <x:c r="K1062" s="49" t="str">
        <x:v>Un-Aided</x:v>
      </x:c>
      <x:c r="L1062" s="49" t="str">
        <x:v>MS Seats : 100+ EWS : 14</x:v>
      </x:c>
      <x:c r="M1062" s="49" t="str">
        <x:v>https://dse2025.mahacet.org.in/dse25/admin/allotment/cap2/5130_4.pdf</x:v>
      </x:c>
    </x:row>
    <x:row r="1063">
      <x:c r="A1063" s="49" t="str">
        <x:v>2025-26</x:v>
      </x:c>
      <x:c r="B1063" s="63" t="n">
        <x:v>5139</x:v>
      </x:c>
      <x:c r="C1063" s="49" t="str">
        <x:v>Pravara Rural College of Engineering, Loni, Pravaranagar, Ahmednagar.</x:v>
      </x:c>
      <x:c r="D1063" s="72" t="n">
        <x:v>513919110</x:v>
      </x:c>
      <x:c r="E1063" s="49" t="str">
        <x:v>Civil Engineering</x:v>
      </x:c>
      <x:c r="F1063" s="73" t="n">
        <x:v>18</x:v>
      </x:c>
      <x:c r="G1063" s="73" t="n">
        <x:v>11</x:v>
      </x:c>
      <x:c r="H1063" s="73" t="n">
        <x:v>7</x:v>
      </x:c>
      <x:c r="I1063" s="73"/>
      <x:c r="J1063" s="73" t="n">
        <x:v>0</x:v>
      </x:c>
      <x:c r="K1063" s="49" t="str">
        <x:v>Un-Aided</x:v>
      </x:c>
      <x:c r="L1063" s="49" t="str">
        <x:v>MS Seats : 11+ EWS : 7</x:v>
      </x:c>
      <x:c r="M1063" s="49" t="str">
        <x:v>https://dse2025.mahacet.org.in/dse25/admin/allotment/cap2/5139_4.pdf</x:v>
      </x:c>
    </x:row>
    <x:row r="1064">
      <x:c r="A1064" s="49" t="str">
        <x:v>2025-26</x:v>
      </x:c>
      <x:c r="B1064" s="63" t="n">
        <x:v>5139</x:v>
      </x:c>
      <x:c r="C1064" s="49" t="str">
        <x:v>Pravara Rural College of Engineering, Loni, Pravaranagar, Ahmednagar.</x:v>
      </x:c>
      <x:c r="D1064" s="72" t="n">
        <x:v>513924510</x:v>
      </x:c>
      <x:c r="E1064" s="49" t="str">
        <x:v>Computer Engineering</x:v>
      </x:c>
      <x:c r="F1064" s="73" t="n">
        <x:v>16</x:v>
      </x:c>
      <x:c r="G1064" s="73" t="n">
        <x:v>13</x:v>
      </x:c>
      <x:c r="H1064" s="73" t="n">
        <x:v>3</x:v>
      </x:c>
      <x:c r="I1064" s="73"/>
      <x:c r="J1064" s="73" t="n">
        <x:v>0</x:v>
      </x:c>
      <x:c r="K1064" s="49" t="str">
        <x:v>Un-Aided</x:v>
      </x:c>
      <x:c r="L1064" s="49" t="str">
        <x:v>MS Seats : 13+ EWS : 3</x:v>
      </x:c>
      <x:c r="M1064" s="49" t="str">
        <x:v>https://dse2025.mahacet.org.in/dse25/admin/allotment/cap2/5139_4.pdf</x:v>
      </x:c>
    </x:row>
    <x:row r="1065">
      <x:c r="A1065" s="49" t="str">
        <x:v>2025-26</x:v>
      </x:c>
      <x:c r="B1065" s="63" t="n">
        <x:v>5139</x:v>
      </x:c>
      <x:c r="C1065" s="49" t="str">
        <x:v>Pravara Rural College of Engineering, Loni, Pravaranagar, Ahmednagar.</x:v>
      </x:c>
      <x:c r="D1065" s="72" t="n">
        <x:v>513924610</x:v>
      </x:c>
      <x:c r="E1065" s="49" t="str">
        <x:v>Information Technology</x:v>
      </x:c>
      <x:c r="F1065" s="73" t="n">
        <x:v>18</x:v>
      </x:c>
      <x:c r="G1065" s="73" t="n">
        <x:v>14</x:v>
      </x:c>
      <x:c r="H1065" s="73" t="n">
        <x:v>4</x:v>
      </x:c>
      <x:c r="I1065" s="73"/>
      <x:c r="J1065" s="73" t="n">
        <x:v>0</x:v>
      </x:c>
      <x:c r="K1065" s="49" t="str">
        <x:v>Un-Aided</x:v>
      </x:c>
      <x:c r="L1065" s="49" t="str">
        <x:v>MS Seats : 14+ EWS : 4</x:v>
      </x:c>
      <x:c r="M1065" s="49" t="str">
        <x:v>https://dse2025.mahacet.org.in/dse25/admin/allotment/cap2/5139_4.pdf</x:v>
      </x:c>
    </x:row>
    <x:row r="1066">
      <x:c r="A1066" s="49" t="str">
        <x:v>2025-26</x:v>
      </x:c>
      <x:c r="B1066" s="63" t="n">
        <x:v>5139</x:v>
      </x:c>
      <x:c r="C1066" s="49" t="str">
        <x:v>Pravara Rural College of Engineering, Loni, Pravaranagar, Ahmednagar.</x:v>
      </x:c>
      <x:c r="D1066" s="72" t="n">
        <x:v>513937210</x:v>
      </x:c>
      <x:c r="E1066" s="49" t="str">
        <x:v>Electronics and Telecommunication Engg</x:v>
      </x:c>
      <x:c r="F1066" s="73" t="n">
        <x:v>12</x:v>
      </x:c>
      <x:c r="G1066" s="73" t="n">
        <x:v>9</x:v>
      </x:c>
      <x:c r="H1066" s="73" t="n">
        <x:v>3</x:v>
      </x:c>
      <x:c r="I1066" s="73"/>
      <x:c r="J1066" s="73" t="n">
        <x:v>0</x:v>
      </x:c>
      <x:c r="K1066" s="49" t="str">
        <x:v>Un-Aided</x:v>
      </x:c>
      <x:c r="L1066" s="49" t="str">
        <x:v>MS Seats : 9+ EWS : 3</x:v>
      </x:c>
      <x:c r="M1066" s="49" t="str">
        <x:v>https://dse2025.mahacet.org.in/dse25/admin/allotment/cap2/5139_4.pdf</x:v>
      </x:c>
    </x:row>
    <x:row r="1067">
      <x:c r="A1067" s="49" t="str">
        <x:v>2025-26</x:v>
      </x:c>
      <x:c r="B1067" s="63" t="n">
        <x:v>5139</x:v>
      </x:c>
      <x:c r="C1067" s="49" t="str">
        <x:v>Pravara Rural College of Engineering, Loni, Pravaranagar, Ahmednagar.</x:v>
      </x:c>
      <x:c r="D1067" s="72" t="n">
        <x:v>513946410</x:v>
      </x:c>
      <x:c r="E1067" s="49" t="str">
        <x:v>Instrumentation and Control Engineering</x:v>
      </x:c>
      <x:c r="F1067" s="73" t="n">
        <x:v>9</x:v>
      </x:c>
      <x:c r="G1067" s="73" t="n">
        <x:v>7</x:v>
      </x:c>
      <x:c r="H1067" s="73" t="n">
        <x:v>2</x:v>
      </x:c>
      <x:c r="I1067" s="73"/>
      <x:c r="J1067" s="73" t="n">
        <x:v>0</x:v>
      </x:c>
      <x:c r="K1067" s="49" t="str">
        <x:v>Un-Aided</x:v>
      </x:c>
      <x:c r="L1067" s="49" t="str">
        <x:v>MS Seats : 7+ EWS : 2</x:v>
      </x:c>
      <x:c r="M1067" s="49" t="str">
        <x:v>https://dse2025.mahacet.org.in/dse25/admin/allotment/cap2/5139_4.pdf</x:v>
      </x:c>
    </x:row>
    <x:row r="1068">
      <x:c r="A1068" s="49" t="str">
        <x:v>2025-26</x:v>
      </x:c>
      <x:c r="B1068" s="63" t="n">
        <x:v>5139</x:v>
      </x:c>
      <x:c r="C1068" s="49" t="str">
        <x:v>Pravara Rural College of Engineering, Loni, Pravaranagar, Ahmednagar.</x:v>
      </x:c>
      <x:c r="D1068" s="72" t="n">
        <x:v>513950710</x:v>
      </x:c>
      <x:c r="E1068" s="49" t="str">
        <x:v>Chemical Engineering</x:v>
      </x:c>
      <x:c r="F1068" s="73" t="n">
        <x:v>13</x:v>
      </x:c>
      <x:c r="G1068" s="73" t="n">
        <x:v>8</x:v>
      </x:c>
      <x:c r="H1068" s="73" t="n">
        <x:v>5</x:v>
      </x:c>
      <x:c r="I1068" s="73"/>
      <x:c r="J1068" s="73" t="n">
        <x:v>0</x:v>
      </x:c>
      <x:c r="K1068" s="49" t="str">
        <x:v>Un-Aided</x:v>
      </x:c>
      <x:c r="L1068" s="49" t="str">
        <x:v>MS Seats : 8+ EWS : 5</x:v>
      </x:c>
      <x:c r="M1068" s="49" t="str">
        <x:v>https://dse2025.mahacet.org.in/dse25/admin/allotment/cap2/5139_4.pdf</x:v>
      </x:c>
    </x:row>
    <x:row r="1069">
      <x:c r="A1069" s="49" t="str">
        <x:v>2025-26</x:v>
      </x:c>
      <x:c r="B1069" s="63" t="n">
        <x:v>5139</x:v>
      </x:c>
      <x:c r="C1069" s="49" t="str">
        <x:v>Pravara Rural College of Engineering, Loni, Pravaranagar, Ahmednagar.</x:v>
      </x:c>
      <x:c r="D1069" s="72" t="n">
        <x:v>513961210</x:v>
      </x:c>
      <x:c r="E1069" s="49" t="str">
        <x:v>Mechanical Engineering</x:v>
      </x:c>
      <x:c r="F1069" s="73" t="n">
        <x:v>13</x:v>
      </x:c>
      <x:c r="G1069" s="73" t="n">
        <x:v>9</x:v>
      </x:c>
      <x:c r="H1069" s="73" t="n">
        <x:v>4</x:v>
      </x:c>
      <x:c r="I1069" s="73"/>
      <x:c r="J1069" s="73" t="n">
        <x:v>0</x:v>
      </x:c>
      <x:c r="K1069" s="49" t="str">
        <x:v>Un-Aided</x:v>
      </x:c>
      <x:c r="L1069" s="49" t="str">
        <x:v>MS Seats : 9+ EWS : 4</x:v>
      </x:c>
      <x:c r="M1069" s="49" t="str">
        <x:v>https://dse2025.mahacet.org.in/dse25/admin/allotment/cap2/5139_4.pdf</x:v>
      </x:c>
    </x:row>
    <x:row r="1070">
      <x:c r="A1070" s="49" t="str">
        <x:v>2025-26</x:v>
      </x:c>
      <x:c r="B1070" s="63" t="n">
        <x:v>5139</x:v>
      </x:c>
      <x:c r="C1070" s="49" t="str">
        <x:v>Pravara Rural College of Engineering, Loni, Pravaranagar, Ahmednagar.</x:v>
      </x:c>
      <x:c r="D1070" s="72" t="n">
        <x:v>513984410</x:v>
      </x:c>
      <x:c r="E1070" s="49" t="str">
        <x:v>Electronics and Computer Engineering</x:v>
      </x:c>
      <x:c r="F1070" s="73" t="n">
        <x:v>11</x:v>
      </x:c>
      <x:c r="G1070" s="73" t="n">
        <x:v>8</x:v>
      </x:c>
      <x:c r="H1070" s="73" t="n">
        <x:v>3</x:v>
      </x:c>
      <x:c r="I1070" s="73"/>
      <x:c r="J1070" s="73" t="n">
        <x:v>0</x:v>
      </x:c>
      <x:c r="K1070" s="49" t="str">
        <x:v>Un-Aided</x:v>
      </x:c>
      <x:c r="L1070" s="49" t="str">
        <x:v>MS Seats : 8+ EWS : 3</x:v>
      </x:c>
      <x:c r="M1070" s="49" t="str">
        <x:v>https://dse2025.mahacet.org.in/dse25/admin/allotment/cap2/5139_4.pdf</x:v>
      </x:c>
    </x:row>
    <x:row r="1071">
      <x:c r="A1071" s="49" t="str">
        <x:v>2025-26</x:v>
      </x:c>
      <x:c r="B1071" s="63" t="n">
        <x:v>5139</x:v>
      </x:c>
      <x:c r="C1071" s="49" t="str">
        <x:v>Pravara Rural College of Engineering, Loni, Pravaranagar, Ahmednagar.</x:v>
      </x:c>
      <x:c r="D1071" s="72" t="n">
        <x:v>513991610</x:v>
      </x:c>
      <x:c r="E1071" s="49" t="str">
        <x:v>Automation and Robotics</x:v>
      </x:c>
      <x:c r="F1071" s="73" t="n">
        <x:v>16</x:v>
      </x:c>
      <x:c r="G1071" s="73" t="n">
        <x:v>12</x:v>
      </x:c>
      <x:c r="H1071" s="73" t="n">
        <x:v>4</x:v>
      </x:c>
      <x:c r="I1071" s="73"/>
      <x:c r="J1071" s="73" t="n">
        <x:v>0</x:v>
      </x:c>
      <x:c r="K1071" s="49" t="str">
        <x:v>Un-Aided</x:v>
      </x:c>
      <x:c r="L1071" s="49" t="str">
        <x:v>MS Seats : 12+ EWS : 4</x:v>
      </x:c>
      <x:c r="M1071" s="49" t="str">
        <x:v>https://dse2025.mahacet.org.in/dse25/admin/allotment/cap2/5139_4.pdf</x:v>
      </x:c>
    </x:row>
    <x:row r="1072">
      <x:c r="A1072" s="49" t="str">
        <x:v>2025-26</x:v>
      </x:c>
      <x:c r="B1072" s="63" t="n">
        <x:v>5139</x:v>
      </x:c>
      <x:c r="C1072" s="49" t="str">
        <x:v>Pravara Rural College of Engineering, Loni, Pravaranagar, Ahmednagar.</x:v>
      </x:c>
      <x:c r="D1072" s="72" t="n">
        <x:v>513999510</x:v>
      </x:c>
      <x:c r="E1072" s="49" t="str">
        <x:v>Artificial Intelligence and Data Science</x:v>
      </x:c>
      <x:c r="F1072" s="73" t="n">
        <x:v>8</x:v>
      </x:c>
      <x:c r="G1072" s="73" t="n">
        <x:v>7</x:v>
      </x:c>
      <x:c r="H1072" s="73" t="n">
        <x:v>1</x:v>
      </x:c>
      <x:c r="I1072" s="73"/>
      <x:c r="J1072" s="73" t="n">
        <x:v>0</x:v>
      </x:c>
      <x:c r="K1072" s="49" t="str">
        <x:v>Un-Aided</x:v>
      </x:c>
      <x:c r="L1072" s="49" t="str">
        <x:v>MS Seats : 7+ EWS : 1</x:v>
      </x:c>
      <x:c r="M1072" s="49" t="str">
        <x:v>https://dse2025.mahacet.org.in/dse25/admin/allotment/cap2/5139_4.pdf</x:v>
      </x:c>
    </x:row>
    <x:row r="1073">
      <x:c r="A1073" s="49" t="str">
        <x:v>2025-26</x:v>
      </x:c>
      <x:c r="B1073" s="63" t="n">
        <x:v>5151</x:v>
      </x:c>
      <x:c r="C1073" s="49" t="str">
        <x:v>MET Bhujbal Knowledge City MET League's Engineering College, Adgaon, Nashik.</x:v>
      </x:c>
      <x:c r="D1073" s="72" t="n">
        <x:v>515119110</x:v>
      </x:c>
      <x:c r="E1073" s="49" t="str">
        <x:v>Civil Engineering</x:v>
      </x:c>
      <x:c r="F1073" s="73" t="n">
        <x:v>16</x:v>
      </x:c>
      <x:c r="G1073" s="73" t="n">
        <x:v>12</x:v>
      </x:c>
      <x:c r="H1073" s="73" t="n">
        <x:v>4</x:v>
      </x:c>
      <x:c r="I1073" s="73"/>
      <x:c r="J1073" s="73" t="n">
        <x:v>0</x:v>
      </x:c>
      <x:c r="K1073" s="49" t="str">
        <x:v>Un-Aided</x:v>
      </x:c>
      <x:c r="L1073" s="49" t="str">
        <x:v>MS Seats : 12+ EWS : 4</x:v>
      </x:c>
      <x:c r="M1073" s="49" t="str">
        <x:v>https://dse2025.mahacet.org.in/dse25/admin/allotment/cap2/5151_4.pdf</x:v>
      </x:c>
    </x:row>
    <x:row r="1074">
      <x:c r="A1074" s="49" t="str">
        <x:v>2025-26</x:v>
      </x:c>
      <x:c r="B1074" s="63" t="n">
        <x:v>5151</x:v>
      </x:c>
      <x:c r="C1074" s="49" t="str">
        <x:v>MET Bhujbal Knowledge City MET League's Engineering College, Adgaon, Nashik.</x:v>
      </x:c>
      <x:c r="D1074" s="72" t="n">
        <x:v>515124510</x:v>
      </x:c>
      <x:c r="E1074" s="49" t="str">
        <x:v>Computer Engineering</x:v>
      </x:c>
      <x:c r="F1074" s="73" t="n">
        <x:v>19</x:v>
      </x:c>
      <x:c r="G1074" s="73" t="n">
        <x:v>16</x:v>
      </x:c>
      <x:c r="H1074" s="73" t="n">
        <x:v>3</x:v>
      </x:c>
      <x:c r="I1074" s="73"/>
      <x:c r="J1074" s="73" t="n">
        <x:v>0</x:v>
      </x:c>
      <x:c r="K1074" s="49" t="str">
        <x:v>Un-Aided</x:v>
      </x:c>
      <x:c r="L1074" s="49" t="str">
        <x:v>MS Seats : 16+ EWS : 3</x:v>
      </x:c>
      <x:c r="M1074" s="49" t="str">
        <x:v>https://dse2025.mahacet.org.in/dse25/admin/allotment/cap2/5151_4.pdf</x:v>
      </x:c>
    </x:row>
    <x:row r="1075">
      <x:c r="A1075" s="49" t="str">
        <x:v>2025-26</x:v>
      </x:c>
      <x:c r="B1075" s="63" t="n">
        <x:v>5151</x:v>
      </x:c>
      <x:c r="C1075" s="49" t="str">
        <x:v>MET Bhujbal Knowledge City MET League's Engineering College, Adgaon, Nashik.</x:v>
      </x:c>
      <x:c r="D1075" s="72" t="n">
        <x:v>515124610</x:v>
      </x:c>
      <x:c r="E1075" s="49" t="str">
        <x:v>Information Technology</x:v>
      </x:c>
      <x:c r="F1075" s="73" t="n">
        <x:v>14</x:v>
      </x:c>
      <x:c r="G1075" s="73" t="n">
        <x:v>13</x:v>
      </x:c>
      <x:c r="H1075" s="73" t="n">
        <x:v>1</x:v>
      </x:c>
      <x:c r="I1075" s="73"/>
      <x:c r="J1075" s="73" t="n">
        <x:v>0</x:v>
      </x:c>
      <x:c r="K1075" s="49" t="str">
        <x:v>Un-Aided</x:v>
      </x:c>
      <x:c r="L1075" s="49" t="str">
        <x:v>MS Seats : 13+ EWS : 1</x:v>
      </x:c>
      <x:c r="M1075" s="49" t="str">
        <x:v>https://dse2025.mahacet.org.in/dse25/admin/allotment/cap2/5151_4.pdf</x:v>
      </x:c>
    </x:row>
    <x:row r="1076">
      <x:c r="A1076" s="49" t="str">
        <x:v>2025-26</x:v>
      </x:c>
      <x:c r="B1076" s="63" t="n">
        <x:v>5151</x:v>
      </x:c>
      <x:c r="C1076" s="49" t="str">
        <x:v>MET Bhujbal Knowledge City MET League's Engineering College, Adgaon, Nashik.</x:v>
      </x:c>
      <x:c r="D1076" s="72" t="n">
        <x:v>515129310</x:v>
      </x:c>
      <x:c r="E1076" s="49" t="str">
        <x:v>Electrical Engineering</x:v>
      </x:c>
      <x:c r="F1076" s="73" t="n">
        <x:v>16</x:v>
      </x:c>
      <x:c r="G1076" s="73" t="n">
        <x:v>13</x:v>
      </x:c>
      <x:c r="H1076" s="73" t="n">
        <x:v>3</x:v>
      </x:c>
      <x:c r="I1076" s="73"/>
      <x:c r="J1076" s="73" t="n">
        <x:v>0</x:v>
      </x:c>
      <x:c r="K1076" s="49" t="str">
        <x:v>Un-Aided</x:v>
      </x:c>
      <x:c r="L1076" s="49" t="str">
        <x:v>MS Seats : 13+ EWS : 3</x:v>
      </x:c>
      <x:c r="M1076" s="49" t="str">
        <x:v>https://dse2025.mahacet.org.in/dse25/admin/allotment/cap2/5151_4.pdf</x:v>
      </x:c>
    </x:row>
    <x:row r="1077">
      <x:c r="A1077" s="49" t="str">
        <x:v>2025-26</x:v>
      </x:c>
      <x:c r="B1077" s="63" t="n">
        <x:v>5151</x:v>
      </x:c>
      <x:c r="C1077" s="49" t="str">
        <x:v>MET Bhujbal Knowledge City MET League's Engineering College, Adgaon, Nashik.</x:v>
      </x:c>
      <x:c r="D1077" s="72" t="n">
        <x:v>515137210</x:v>
      </x:c>
      <x:c r="E1077" s="49" t="str">
        <x:v>Electronics and Telecommunication Engg</x:v>
      </x:c>
      <x:c r="F1077" s="73" t="n">
        <x:v>10</x:v>
      </x:c>
      <x:c r="G1077" s="73" t="n">
        <x:v>9</x:v>
      </x:c>
      <x:c r="H1077" s="73" t="n">
        <x:v>1</x:v>
      </x:c>
      <x:c r="I1077" s="73"/>
      <x:c r="J1077" s="73" t="n">
        <x:v>0</x:v>
      </x:c>
      <x:c r="K1077" s="49" t="str">
        <x:v>Un-Aided</x:v>
      </x:c>
      <x:c r="L1077" s="49" t="str">
        <x:v>MS Seats : 9+ EWS : 1</x:v>
      </x:c>
      <x:c r="M1077" s="49" t="str">
        <x:v>https://dse2025.mahacet.org.in/dse25/admin/allotment/cap2/5151_4.pdf</x:v>
      </x:c>
    </x:row>
    <x:row r="1078">
      <x:c r="A1078" s="49" t="str">
        <x:v>2025-26</x:v>
      </x:c>
      <x:c r="B1078" s="63" t="n">
        <x:v>5151</x:v>
      </x:c>
      <x:c r="C1078" s="49" t="str">
        <x:v>MET Bhujbal Knowledge City MET League's Engineering College, Adgaon, Nashik.</x:v>
      </x:c>
      <x:c r="D1078" s="72" t="n">
        <x:v>515161210</x:v>
      </x:c>
      <x:c r="E1078" s="49" t="str">
        <x:v>Mechanical Engineering</x:v>
      </x:c>
      <x:c r="F1078" s="73" t="n">
        <x:v>41</x:v>
      </x:c>
      <x:c r="G1078" s="73" t="n">
        <x:v>28</x:v>
      </x:c>
      <x:c r="H1078" s="73" t="n">
        <x:v>13</x:v>
      </x:c>
      <x:c r="I1078" s="73"/>
      <x:c r="J1078" s="73" t="n">
        <x:v>0</x:v>
      </x:c>
      <x:c r="K1078" s="49" t="str">
        <x:v>Un-Aided</x:v>
      </x:c>
      <x:c r="L1078" s="49" t="str">
        <x:v>MS Seats : 28+ EWS : 13</x:v>
      </x:c>
      <x:c r="M1078" s="49" t="str">
        <x:v>https://dse2025.mahacet.org.in/dse25/admin/allotment/cap2/5151_4.pdf</x:v>
      </x:c>
    </x:row>
    <x:row r="1079">
      <x:c r="A1079" s="49" t="str">
        <x:v>2025-26</x:v>
      </x:c>
      <x:c r="B1079" s="63" t="n">
        <x:v>5151</x:v>
      </x:c>
      <x:c r="C1079" s="49" t="str">
        <x:v>MET Bhujbal Knowledge City MET League's Engineering College, Adgaon, Nashik.</x:v>
      </x:c>
      <x:c r="D1079" s="72" t="n">
        <x:v>515199510</x:v>
      </x:c>
      <x:c r="E1079" s="49" t="str">
        <x:v>Artificial Intelligence and Data Science</x:v>
      </x:c>
      <x:c r="F1079" s="73" t="n">
        <x:v>11</x:v>
      </x:c>
      <x:c r="G1079" s="73" t="n">
        <x:v>8</x:v>
      </x:c>
      <x:c r="H1079" s="73" t="n">
        <x:v>3</x:v>
      </x:c>
      <x:c r="I1079" s="73"/>
      <x:c r="J1079" s="73" t="n">
        <x:v>0</x:v>
      </x:c>
      <x:c r="K1079" s="49" t="str">
        <x:v>Un-Aided</x:v>
      </x:c>
      <x:c r="L1079" s="49" t="str">
        <x:v>MS Seats : 8+ EWS : 3</x:v>
      </x:c>
      <x:c r="M1079" s="49" t="str">
        <x:v>https://dse2025.mahacet.org.in/dse25/admin/allotment/cap2/5151_4.pdf</x:v>
      </x:c>
    </x:row>
    <x:row r="1080">
      <x:c r="A1080" s="49" t="str">
        <x:v>2025-26</x:v>
      </x:c>
      <x:c r="B1080" s="63" t="n">
        <x:v>5152</x:v>
      </x:c>
      <x:c r="C1080" s="49" t="str">
        <x:v>G H Raisoni College of Engineering and Management, Jalgaon</x:v>
      </x:c>
      <x:c r="D1080" s="72" t="n">
        <x:v>515219110</x:v>
      </x:c>
      <x:c r="E1080" s="49" t="str">
        <x:v>Civil Engineering</x:v>
      </x:c>
      <x:c r="F1080" s="73" t="n">
        <x:v>28</x:v>
      </x:c>
      <x:c r="G1080" s="73" t="n">
        <x:v>13</x:v>
      </x:c>
      <x:c r="H1080" s="73"/>
      <x:c r="I1080" s="73" t="n">
        <x:v>15</x:v>
      </x:c>
      <x:c r="J1080" s="73" t="n">
        <x:v>0</x:v>
      </x:c>
      <x:c r="K1080" s="49" t="str">
        <x:v>Un-Aided Autonomous Linguistic Minority - Hindi</x:v>
      </x:c>
      <x:c r="L1080" s="49" t="str">
        <x:v>MS Seats : 13 + Minority Seats : 15</x:v>
      </x:c>
      <x:c r="M1080" s="49" t="str">
        <x:v>https://dse2025.mahacet.org.in/dse25/admin/allotment/cap2/5152_4.pdf</x:v>
      </x:c>
    </x:row>
    <x:row r="1081">
      <x:c r="A1081" s="49" t="str">
        <x:v>2025-26</x:v>
      </x:c>
      <x:c r="B1081" s="63" t="n">
        <x:v>5152</x:v>
      </x:c>
      <x:c r="C1081" s="49" t="str">
        <x:v>G H Raisoni College of Engineering and Management, Jalgaon</x:v>
      </x:c>
      <x:c r="D1081" s="72" t="n">
        <x:v>515224210</x:v>
      </x:c>
      <x:c r="E1081" s="49" t="str">
        <x:v>Computer Science and Engineering</x:v>
      </x:c>
      <x:c r="F1081" s="73" t="n">
        <x:v>18</x:v>
      </x:c>
      <x:c r="G1081" s="73" t="n">
        <x:v>8</x:v>
      </x:c>
      <x:c r="H1081" s="73"/>
      <x:c r="I1081" s="73" t="n">
        <x:v>10</x:v>
      </x:c>
      <x:c r="J1081" s="73" t="n">
        <x:v>0</x:v>
      </x:c>
      <x:c r="K1081" s="49" t="str">
        <x:v>Un-Aided Autonomous Linguistic Minority - Hindi</x:v>
      </x:c>
      <x:c r="L1081" s="49" t="str">
        <x:v>MS Seats : 8 + Minority Seats : 10</x:v>
      </x:c>
      <x:c r="M1081" s="49" t="str">
        <x:v>https://dse2025.mahacet.org.in/dse25/admin/allotment/cap2/5152_4.pdf</x:v>
      </x:c>
    </x:row>
    <x:row r="1082">
      <x:c r="A1082" s="49" t="str">
        <x:v>2025-26</x:v>
      </x:c>
      <x:c r="B1082" s="63" t="n">
        <x:v>5152</x:v>
      </x:c>
      <x:c r="C1082" s="49" t="str">
        <x:v>G H Raisoni College of Engineering and Management, Jalgaon</x:v>
      </x:c>
      <x:c r="D1082" s="72" t="n">
        <x:v>515224610</x:v>
      </x:c>
      <x:c r="E1082" s="49" t="str">
        <x:v>Information Technology</x:v>
      </x:c>
      <x:c r="F1082" s="73" t="n">
        <x:v>6</x:v>
      </x:c>
      <x:c r="G1082" s="73" t="n">
        <x:v>2</x:v>
      </x:c>
      <x:c r="H1082" s="73"/>
      <x:c r="I1082" s="73" t="n">
        <x:v>4</x:v>
      </x:c>
      <x:c r="J1082" s="73" t="n">
        <x:v>0</x:v>
      </x:c>
      <x:c r="K1082" s="49" t="str">
        <x:v>Un-Aided Autonomous Linguistic Minority - Hindi</x:v>
      </x:c>
      <x:c r="L1082" s="49" t="str">
        <x:v>MS Seats : 2 + Minority Seats : 4</x:v>
      </x:c>
      <x:c r="M1082" s="49" t="str">
        <x:v>https://dse2025.mahacet.org.in/dse25/admin/allotment/cap2/5152_4.pdf</x:v>
      </x:c>
    </x:row>
    <x:row r="1083">
      <x:c r="A1083" s="49" t="str">
        <x:v>2025-26</x:v>
      </x:c>
      <x:c r="B1083" s="63" t="n">
        <x:v>5152</x:v>
      </x:c>
      <x:c r="C1083" s="49" t="str">
        <x:v>G H Raisoni College of Engineering and Management, Jalgaon</x:v>
      </x:c>
      <x:c r="D1083" s="72" t="n">
        <x:v>515229310</x:v>
      </x:c>
      <x:c r="E1083" s="49" t="str">
        <x:v>Electrical Engineering</x:v>
      </x:c>
      <x:c r="F1083" s="73" t="n">
        <x:v>13</x:v>
      </x:c>
      <x:c r="G1083" s="73" t="n">
        <x:v>6</x:v>
      </x:c>
      <x:c r="H1083" s="73"/>
      <x:c r="I1083" s="73" t="n">
        <x:v>7</x:v>
      </x:c>
      <x:c r="J1083" s="73" t="n">
        <x:v>0</x:v>
      </x:c>
      <x:c r="K1083" s="49" t="str">
        <x:v>Un-Aided Autonomous Linguistic Minority - Hindi</x:v>
      </x:c>
      <x:c r="L1083" s="49" t="str">
        <x:v>MS Seats : 6 + Minority Seats : 7</x:v>
      </x:c>
      <x:c r="M1083" s="49" t="str">
        <x:v>https://dse2025.mahacet.org.in/dse25/admin/allotment/cap2/5152_4.pdf</x:v>
      </x:c>
    </x:row>
    <x:row r="1084">
      <x:c r="A1084" s="49" t="str">
        <x:v>2025-26</x:v>
      </x:c>
      <x:c r="B1084" s="63" t="n">
        <x:v>5152</x:v>
      </x:c>
      <x:c r="C1084" s="49" t="str">
        <x:v>G H Raisoni College of Engineering and Management, Jalgaon</x:v>
      </x:c>
      <x:c r="D1084" s="72" t="n">
        <x:v>515237210</x:v>
      </x:c>
      <x:c r="E1084" s="49" t="str">
        <x:v>Electronics and Telecommunication Engg</x:v>
      </x:c>
      <x:c r="F1084" s="73" t="n">
        <x:v>9</x:v>
      </x:c>
      <x:c r="G1084" s="73" t="n">
        <x:v>4</x:v>
      </x:c>
      <x:c r="H1084" s="73"/>
      <x:c r="I1084" s="73" t="n">
        <x:v>5</x:v>
      </x:c>
      <x:c r="J1084" s="73" t="n">
        <x:v>0</x:v>
      </x:c>
      <x:c r="K1084" s="49" t="str">
        <x:v>Un-Aided Autonomous Linguistic Minority - Hindi</x:v>
      </x:c>
      <x:c r="L1084" s="49" t="str">
        <x:v>MS Seats : 4 + Minority Seats : 5</x:v>
      </x:c>
      <x:c r="M1084" s="49" t="str">
        <x:v>https://dse2025.mahacet.org.in/dse25/admin/allotment/cap2/5152_4.pdf</x:v>
      </x:c>
    </x:row>
    <x:row r="1085">
      <x:c r="A1085" s="49" t="str">
        <x:v>2025-26</x:v>
      </x:c>
      <x:c r="B1085" s="63" t="n">
        <x:v>5152</x:v>
      </x:c>
      <x:c r="C1085" s="49" t="str">
        <x:v>G H Raisoni College of Engineering and Management, Jalgaon</x:v>
      </x:c>
      <x:c r="D1085" s="72" t="n">
        <x:v>515261210</x:v>
      </x:c>
      <x:c r="E1085" s="49" t="str">
        <x:v>Mechanical Engineering</x:v>
      </x:c>
      <x:c r="F1085" s="73" t="n">
        <x:v>20</x:v>
      </x:c>
      <x:c r="G1085" s="73" t="n">
        <x:v>9</x:v>
      </x:c>
      <x:c r="H1085" s="73"/>
      <x:c r="I1085" s="73" t="n">
        <x:v>11</x:v>
      </x:c>
      <x:c r="J1085" s="73" t="n">
        <x:v>0</x:v>
      </x:c>
      <x:c r="K1085" s="49" t="str">
        <x:v>Un-Aided Autonomous Linguistic Minority - Hindi</x:v>
      </x:c>
      <x:c r="L1085" s="49" t="str">
        <x:v>MS Seats : 9 + Minority Seats : 11</x:v>
      </x:c>
      <x:c r="M1085" s="49" t="str">
        <x:v>https://dse2025.mahacet.org.in/dse25/admin/allotment/cap2/5152_4.pdf</x:v>
      </x:c>
    </x:row>
    <x:row r="1086">
      <x:c r="A1086" s="49" t="str">
        <x:v>2025-26</x:v>
      </x:c>
      <x:c r="B1086" s="63" t="n">
        <x:v>5152</x:v>
      </x:c>
      <x:c r="C1086" s="49" t="str">
        <x:v>G H Raisoni College of Engineering and Management, Jalgaon</x:v>
      </x:c>
      <x:c r="D1086" s="72" t="n">
        <x:v>515291110</x:v>
      </x:c>
      <x:c r="E1086" s="49" t="str">
        <x:v>Computer Science and Engineering(Artificial Intelligence and Machine Learning)</x:v>
      </x:c>
      <x:c r="F1086" s="73" t="n">
        <x:v>6</x:v>
      </x:c>
      <x:c r="G1086" s="73" t="n">
        <x:v>2</x:v>
      </x:c>
      <x:c r="H1086" s="73"/>
      <x:c r="I1086" s="73" t="n">
        <x:v>4</x:v>
      </x:c>
      <x:c r="J1086" s="73" t="n">
        <x:v>0</x:v>
      </x:c>
      <x:c r="K1086" s="49" t="str">
        <x:v>Un-Aided Autonomous Linguistic Minority - Hindi</x:v>
      </x:c>
      <x:c r="L1086" s="49" t="str">
        <x:v>MS Seats : 2 + Minority Seats : 4</x:v>
      </x:c>
      <x:c r="M1086" s="49" t="str">
        <x:v>https://dse2025.mahacet.org.in/dse25/admin/allotment/cap2/5152_4.pdf</x:v>
      </x:c>
    </x:row>
    <x:row r="1087">
      <x:c r="A1087" s="49" t="str">
        <x:v>2025-26</x:v>
      </x:c>
      <x:c r="B1087" s="63" t="n">
        <x:v>5152</x:v>
      </x:c>
      <x:c r="C1087" s="49" t="str">
        <x:v>G H Raisoni College of Engineering and Management, Jalgaon</x:v>
      </x:c>
      <x:c r="D1087" s="72" t="n">
        <x:v>515291210</x:v>
      </x:c>
      <x:c r="E1087" s="49" t="str">
        <x:v>Computer Science and Engineering(Data Science)</x:v>
      </x:c>
      <x:c r="F1087" s="73" t="n">
        <x:v>6</x:v>
      </x:c>
      <x:c r="G1087" s="73" t="n">
        <x:v>2</x:v>
      </x:c>
      <x:c r="H1087" s="73"/>
      <x:c r="I1087" s="73" t="n">
        <x:v>4</x:v>
      </x:c>
      <x:c r="J1087" s="73" t="n">
        <x:v>0</x:v>
      </x:c>
      <x:c r="K1087" s="49" t="str">
        <x:v>Un-Aided Autonomous Linguistic Minority - Hindi</x:v>
      </x:c>
      <x:c r="L1087" s="49" t="str">
        <x:v>MS Seats : 2 + Minority Seats : 4</x:v>
      </x:c>
      <x:c r="M1087" s="49" t="str">
        <x:v>https://dse2025.mahacet.org.in/dse25/admin/allotment/cap2/5152_4.pdf</x:v>
      </x:c>
    </x:row>
    <x:row r="1088">
      <x:c r="A1088" s="49" t="str">
        <x:v>2025-26</x:v>
      </x:c>
      <x:c r="B1088" s="63" t="n">
        <x:v>5152</x:v>
      </x:c>
      <x:c r="C1088" s="49" t="str">
        <x:v>G H Raisoni College of Engineering and Management, Jalgaon</x:v>
      </x:c>
      <x:c r="D1088" s="72" t="n">
        <x:v>515291310</x:v>
      </x:c>
      <x:c r="E1088" s="49" t="str">
        <x:v>Computer Science and Engineering (Artificial Intelligence)</x:v>
      </x:c>
      <x:c r="F1088" s="73" t="n">
        <x:v>6</x:v>
      </x:c>
      <x:c r="G1088" s="73" t="n">
        <x:v>2</x:v>
      </x:c>
      <x:c r="H1088" s="73"/>
      <x:c r="I1088" s="73" t="n">
        <x:v>4</x:v>
      </x:c>
      <x:c r="J1088" s="73" t="n">
        <x:v>0</x:v>
      </x:c>
      <x:c r="K1088" s="49" t="str">
        <x:v>Un-Aided Autonomous Linguistic Minority - Hindi</x:v>
      </x:c>
      <x:c r="L1088" s="49" t="str">
        <x:v>MS Seats : 2 + Minority Seats : 4</x:v>
      </x:c>
      <x:c r="M1088" s="49" t="str">
        <x:v>https://dse2025.mahacet.org.in/dse25/admin/allotment/cap2/5152_4.pdf</x:v>
      </x:c>
    </x:row>
    <x:row r="1089">
      <x:c r="A1089" s="49" t="str">
        <x:v>2025-26</x:v>
      </x:c>
      <x:c r="B1089" s="63" t="n">
        <x:v>5160</x:v>
      </x:c>
      <x:c r="C1089" s="49" t="str">
        <x:v>Sanjivani Rural Education Society's Sanjivani College of Engineering, Kopargaon</x:v>
      </x:c>
      <x:c r="D1089" s="72" t="n">
        <x:v>516019110</x:v>
      </x:c>
      <x:c r="E1089" s="49" t="str">
        <x:v>Civil Engineering</x:v>
      </x:c>
      <x:c r="F1089" s="73" t="n">
        <x:v>39</x:v>
      </x:c>
      <x:c r="G1089" s="73" t="n">
        <x:v>30</x:v>
      </x:c>
      <x:c r="H1089" s="73" t="n">
        <x:v>9</x:v>
      </x:c>
      <x:c r="I1089" s="73"/>
      <x:c r="J1089" s="73" t="n">
        <x:v>0</x:v>
      </x:c>
      <x:c r="K1089" s="49" t="str">
        <x:v>Un-Aided Autonomous</x:v>
      </x:c>
      <x:c r="L1089" s="49" t="str">
        <x:v>MS Seats : 30+ EWS : 9</x:v>
      </x:c>
      <x:c r="M1089" s="49" t="str">
        <x:v>https://dse2025.mahacet.org.in/dse25/admin/allotment/cap2/5160_4.pdf</x:v>
      </x:c>
    </x:row>
    <x:row r="1090">
      <x:c r="A1090" s="49" t="str">
        <x:v>2025-26</x:v>
      </x:c>
      <x:c r="B1090" s="63" t="n">
        <x:v>5160</x:v>
      </x:c>
      <x:c r="C1090" s="49" t="str">
        <x:v>Sanjivani Rural Education Society's Sanjivani College of Engineering, Kopargaon</x:v>
      </x:c>
      <x:c r="D1090" s="72" t="n">
        <x:v>516024510</x:v>
      </x:c>
      <x:c r="E1090" s="49" t="str">
        <x:v>Computer Engineering</x:v>
      </x:c>
      <x:c r="F1090" s="73" t="n">
        <x:v>15</x:v>
      </x:c>
      <x:c r="G1090" s="73" t="n">
        <x:v>13</x:v>
      </x:c>
      <x:c r="H1090" s="73" t="n">
        <x:v>2</x:v>
      </x:c>
      <x:c r="I1090" s="73"/>
      <x:c r="J1090" s="73" t="n">
        <x:v>0</x:v>
      </x:c>
      <x:c r="K1090" s="49" t="str">
        <x:v>Un-Aided Autonomous</x:v>
      </x:c>
      <x:c r="L1090" s="49" t="str">
        <x:v>MS Seats : 13+ EWS : 2</x:v>
      </x:c>
      <x:c r="M1090" s="49" t="str">
        <x:v>https://dse2025.mahacet.org.in/dse25/admin/allotment/cap2/5160_4.pdf</x:v>
      </x:c>
    </x:row>
    <x:row r="1091">
      <x:c r="A1091" s="49" t="str">
        <x:v>2025-26</x:v>
      </x:c>
      <x:c r="B1091" s="63" t="n">
        <x:v>5160</x:v>
      </x:c>
      <x:c r="C1091" s="49" t="str">
        <x:v>Sanjivani Rural Education Society's Sanjivani College of Engineering, Kopargaon</x:v>
      </x:c>
      <x:c r="D1091" s="72" t="n">
        <x:v>516024610</x:v>
      </x:c>
      <x:c r="E1091" s="49" t="str">
        <x:v>Information Technology</x:v>
      </x:c>
      <x:c r="F1091" s="73" t="n">
        <x:v>17</x:v>
      </x:c>
      <x:c r="G1091" s="73" t="n">
        <x:v>13</x:v>
      </x:c>
      <x:c r="H1091" s="73" t="n">
        <x:v>4</x:v>
      </x:c>
      <x:c r="I1091" s="73"/>
      <x:c r="J1091" s="73" t="n">
        <x:v>0</x:v>
      </x:c>
      <x:c r="K1091" s="49" t="str">
        <x:v>Un-Aided Autonomous</x:v>
      </x:c>
      <x:c r="L1091" s="49" t="str">
        <x:v>MS Seats : 13+ EWS : 4</x:v>
      </x:c>
      <x:c r="M1091" s="49" t="str">
        <x:v>https://dse2025.mahacet.org.in/dse25/admin/allotment/cap2/5160_4.pdf</x:v>
      </x:c>
    </x:row>
    <x:row r="1092">
      <x:c r="A1092" s="49" t="str">
        <x:v>2025-26</x:v>
      </x:c>
      <x:c r="B1092" s="63" t="n">
        <x:v>5160</x:v>
      </x:c>
      <x:c r="C1092" s="49" t="str">
        <x:v>Sanjivani Rural Education Society's Sanjivani College of Engineering, Kopargaon</x:v>
      </x:c>
      <x:c r="D1092" s="72" t="n">
        <x:v>516029310</x:v>
      </x:c>
      <x:c r="E1092" s="49" t="str">
        <x:v>Electrical Engineering</x:v>
      </x:c>
      <x:c r="F1092" s="73" t="n">
        <x:v>10</x:v>
      </x:c>
      <x:c r="G1092" s="73" t="n">
        <x:v>7</x:v>
      </x:c>
      <x:c r="H1092" s="73" t="n">
        <x:v>3</x:v>
      </x:c>
      <x:c r="I1092" s="73"/>
      <x:c r="J1092" s="73" t="n">
        <x:v>0</x:v>
      </x:c>
      <x:c r="K1092" s="49" t="str">
        <x:v>Un-Aided Autonomous</x:v>
      </x:c>
      <x:c r="L1092" s="49" t="str">
        <x:v>MS Seats : 7+ EWS : 3</x:v>
      </x:c>
      <x:c r="M1092" s="49" t="str">
        <x:v>https://dse2025.mahacet.org.in/dse25/admin/allotment/cap2/5160_4.pdf</x:v>
      </x:c>
    </x:row>
    <x:row r="1093">
      <x:c r="A1093" s="49" t="str">
        <x:v>2025-26</x:v>
      </x:c>
      <x:c r="B1093" s="63" t="n">
        <x:v>5160</x:v>
      </x:c>
      <x:c r="C1093" s="49" t="str">
        <x:v>Sanjivani Rural Education Society's Sanjivani College of Engineering, Kopargaon</x:v>
      </x:c>
      <x:c r="D1093" s="72" t="n">
        <x:v>516061210</x:v>
      </x:c>
      <x:c r="E1093" s="49" t="str">
        <x:v>Mechanical Engineering</x:v>
      </x:c>
      <x:c r="F1093" s="73" t="n">
        <x:v>17</x:v>
      </x:c>
      <x:c r="G1093" s="73" t="n">
        <x:v>13</x:v>
      </x:c>
      <x:c r="H1093" s="73" t="n">
        <x:v>4</x:v>
      </x:c>
      <x:c r="I1093" s="73"/>
      <x:c r="J1093" s="73" t="n">
        <x:v>0</x:v>
      </x:c>
      <x:c r="K1093" s="49" t="str">
        <x:v>Un-Aided Autonomous</x:v>
      </x:c>
      <x:c r="L1093" s="49" t="str">
        <x:v>MS Seats : 13+ EWS : 4</x:v>
      </x:c>
      <x:c r="M1093" s="49" t="str">
        <x:v>https://dse2025.mahacet.org.in/dse25/admin/allotment/cap2/5160_4.pdf</x:v>
      </x:c>
    </x:row>
    <x:row r="1094">
      <x:c r="A1094" s="49" t="str">
        <x:v>2025-26</x:v>
      </x:c>
      <x:c r="B1094" s="63" t="n">
        <x:v>5160</x:v>
      </x:c>
      <x:c r="C1094" s="49" t="str">
        <x:v>Sanjivani Rural Education Society's Sanjivani College of Engineering, Kopargaon</x:v>
      </x:c>
      <x:c r="D1094" s="72" t="n">
        <x:v>516062410</x:v>
      </x:c>
      <x:c r="E1094" s="49" t="str">
        <x:v>Mechatronics Engineering</x:v>
      </x:c>
      <x:c r="F1094" s="73" t="n">
        <x:v>10</x:v>
      </x:c>
      <x:c r="G1094" s="73" t="n">
        <x:v>8</x:v>
      </x:c>
      <x:c r="H1094" s="73" t="n">
        <x:v>2</x:v>
      </x:c>
      <x:c r="I1094" s="73"/>
      <x:c r="J1094" s="73" t="n">
        <x:v>0</x:v>
      </x:c>
      <x:c r="K1094" s="49" t="str">
        <x:v>Un-Aided Autonomous</x:v>
      </x:c>
      <x:c r="L1094" s="49" t="str">
        <x:v>MS Seats : 8+ EWS : 2</x:v>
      </x:c>
      <x:c r="M1094" s="49" t="str">
        <x:v>https://dse2025.mahacet.org.in/dse25/admin/allotment/cap2/5160_4.pdf</x:v>
      </x:c>
    </x:row>
    <x:row r="1095">
      <x:c r="A1095" s="49" t="str">
        <x:v>2025-26</x:v>
      </x:c>
      <x:c r="B1095" s="63" t="n">
        <x:v>5160</x:v>
      </x:c>
      <x:c r="C1095" s="49" t="str">
        <x:v>Sanjivani Rural Education Society's Sanjivani College of Engineering, Kopargaon</x:v>
      </x:c>
      <x:c r="D1095" s="72" t="n">
        <x:v>516084410</x:v>
      </x:c>
      <x:c r="E1095" s="49" t="str">
        <x:v>Electronics and Computer Engineering</x:v>
      </x:c>
      <x:c r="F1095" s="73" t="n">
        <x:v>12</x:v>
      </x:c>
      <x:c r="G1095" s="73" t="n">
        <x:v>11</x:v>
      </x:c>
      <x:c r="H1095" s="73" t="n">
        <x:v>1</x:v>
      </x:c>
      <x:c r="I1095" s="73"/>
      <x:c r="J1095" s="73" t="n">
        <x:v>0</x:v>
      </x:c>
      <x:c r="K1095" s="49" t="str">
        <x:v>Un-Aided Autonomous</x:v>
      </x:c>
      <x:c r="L1095" s="49" t="str">
        <x:v>MS Seats : 11+ EWS : 1</x:v>
      </x:c>
      <x:c r="M1095" s="49" t="str">
        <x:v>https://dse2025.mahacet.org.in/dse25/admin/allotment/cap2/5160_4.pdf</x:v>
      </x:c>
    </x:row>
    <x:row r="1096">
      <x:c r="A1096" s="49" t="str">
        <x:v>2025-26</x:v>
      </x:c>
      <x:c r="B1096" s="63" t="n">
        <x:v>5160</x:v>
      </x:c>
      <x:c r="C1096" s="49" t="str">
        <x:v>Sanjivani Rural Education Society's Sanjivani College of Engineering, Kopargaon</x:v>
      </x:c>
      <x:c r="D1096" s="72" t="n">
        <x:v>516091510</x:v>
      </x:c>
      <x:c r="E1096" s="49" t="str">
        <x:v>Structural Engineering</x:v>
      </x:c>
      <x:c r="F1096" s="73" t="n">
        <x:v>19</x:v>
      </x:c>
      <x:c r="G1096" s="73" t="n">
        <x:v>14</x:v>
      </x:c>
      <x:c r="H1096" s="73" t="n">
        <x:v>5</x:v>
      </x:c>
      <x:c r="I1096" s="73"/>
      <x:c r="J1096" s="73" t="n">
        <x:v>0</x:v>
      </x:c>
      <x:c r="K1096" s="49" t="str">
        <x:v>Un-Aided Autonomous</x:v>
      </x:c>
      <x:c r="L1096" s="49" t="str">
        <x:v>MS Seats : 14+ EWS : 5</x:v>
      </x:c>
      <x:c r="M1096" s="49" t="str">
        <x:v>https://dse2025.mahacet.org.in/dse25/admin/allotment/cap2/5160_4.pdf</x:v>
      </x:c>
    </x:row>
    <x:row r="1097">
      <x:c r="A1097" s="49" t="str">
        <x:v>2025-26</x:v>
      </x:c>
      <x:c r="B1097" s="63" t="n">
        <x:v>5161</x:v>
      </x:c>
      <x:c r="C1097" s="49" t="str">
        <x:v>Dr. Vithalrao Vikhe Patil College of Engineering, Ahmednagar</x:v>
      </x:c>
      <x:c r="D1097" s="72" t="n">
        <x:v>516119110</x:v>
      </x:c>
      <x:c r="E1097" s="49" t="str">
        <x:v>Civil Engineering</x:v>
      </x:c>
      <x:c r="F1097" s="73" t="n">
        <x:v>29</x:v>
      </x:c>
      <x:c r="G1097" s="73" t="n">
        <x:v>24</x:v>
      </x:c>
      <x:c r="H1097" s="73" t="n">
        <x:v>5</x:v>
      </x:c>
      <x:c r="I1097" s="73"/>
      <x:c r="J1097" s="73" t="n">
        <x:v>0</x:v>
      </x:c>
      <x:c r="K1097" s="49" t="str">
        <x:v>Un-Aided</x:v>
      </x:c>
      <x:c r="L1097" s="49" t="str">
        <x:v>MS Seats : 24+ EWS : 5</x:v>
      </x:c>
      <x:c r="M1097" s="49" t="str">
        <x:v>https://dse2025.mahacet.org.in/dse25/admin/allotment/cap2/5161_4.pdf</x:v>
      </x:c>
    </x:row>
    <x:row r="1098">
      <x:c r="A1098" s="49" t="str">
        <x:v>2025-26</x:v>
      </x:c>
      <x:c r="B1098" s="63" t="n">
        <x:v>5161</x:v>
      </x:c>
      <x:c r="C1098" s="49" t="str">
        <x:v>Dr. Vithalrao Vikhe Patil College of Engineering, Ahmednagar</x:v>
      </x:c>
      <x:c r="D1098" s="72" t="n">
        <x:v>516124510</x:v>
      </x:c>
      <x:c r="E1098" s="49" t="str">
        <x:v>Computer Engineering</x:v>
      </x:c>
      <x:c r="F1098" s="73" t="n">
        <x:v>12</x:v>
      </x:c>
      <x:c r="G1098" s="73" t="n">
        <x:v>10</x:v>
      </x:c>
      <x:c r="H1098" s="73" t="n">
        <x:v>2</x:v>
      </x:c>
      <x:c r="I1098" s="73"/>
      <x:c r="J1098" s="73" t="n">
        <x:v>0</x:v>
      </x:c>
      <x:c r="K1098" s="49" t="str">
        <x:v>Un-Aided</x:v>
      </x:c>
      <x:c r="L1098" s="49" t="str">
        <x:v>MS Seats : 10+ EWS : 2</x:v>
      </x:c>
      <x:c r="M1098" s="49" t="str">
        <x:v>https://dse2025.mahacet.org.in/dse25/admin/allotment/cap2/5161_4.pdf</x:v>
      </x:c>
    </x:row>
    <x:row r="1099">
      <x:c r="A1099" s="49" t="str">
        <x:v>2025-26</x:v>
      </x:c>
      <x:c r="B1099" s="63" t="n">
        <x:v>5161</x:v>
      </x:c>
      <x:c r="C1099" s="49" t="str">
        <x:v>Dr. Vithalrao Vikhe Patil College of Engineering, Ahmednagar</x:v>
      </x:c>
      <x:c r="D1099" s="72" t="n">
        <x:v>516124610</x:v>
      </x:c>
      <x:c r="E1099" s="49" t="str">
        <x:v>Information Technology</x:v>
      </x:c>
      <x:c r="F1099" s="73" t="n">
        <x:v>12</x:v>
      </x:c>
      <x:c r="G1099" s="73" t="n">
        <x:v>10</x:v>
      </x:c>
      <x:c r="H1099" s="73" t="n">
        <x:v>2</x:v>
      </x:c>
      <x:c r="I1099" s="73"/>
      <x:c r="J1099" s="73" t="n">
        <x:v>0</x:v>
      </x:c>
      <x:c r="K1099" s="49" t="str">
        <x:v>Un-Aided</x:v>
      </x:c>
      <x:c r="L1099" s="49" t="str">
        <x:v>MS Seats : 10+ EWS : 2</x:v>
      </x:c>
      <x:c r="M1099" s="49" t="str">
        <x:v>https://dse2025.mahacet.org.in/dse25/admin/allotment/cap2/5161_4.pdf</x:v>
      </x:c>
    </x:row>
    <x:row r="1100">
      <x:c r="A1100" s="49" t="str">
        <x:v>2025-26</x:v>
      </x:c>
      <x:c r="B1100" s="63" t="n">
        <x:v>5161</x:v>
      </x:c>
      <x:c r="C1100" s="49" t="str">
        <x:v>Dr. Vithalrao Vikhe Patil College of Engineering, Ahmednagar</x:v>
      </x:c>
      <x:c r="D1100" s="72" t="n">
        <x:v>516125710</x:v>
      </x:c>
      <x:c r="E1100" s="49" t="str">
        <x:v>Computer Science and Design</x:v>
      </x:c>
      <x:c r="F1100" s="73" t="n">
        <x:v>12</x:v>
      </x:c>
      <x:c r="G1100" s="73" t="n">
        <x:v>9</x:v>
      </x:c>
      <x:c r="H1100" s="73" t="n">
        <x:v>3</x:v>
      </x:c>
      <x:c r="I1100" s="73"/>
      <x:c r="J1100" s="73" t="n">
        <x:v>0</x:v>
      </x:c>
      <x:c r="K1100" s="49" t="str">
        <x:v>Un-Aided</x:v>
      </x:c>
      <x:c r="L1100" s="49" t="str">
        <x:v>MS Seats : 9+ EWS : 3</x:v>
      </x:c>
      <x:c r="M1100" s="49" t="str">
        <x:v>https://dse2025.mahacet.org.in/dse25/admin/allotment/cap2/5161_4.pdf</x:v>
      </x:c>
    </x:row>
    <x:row r="1101">
      <x:c r="A1101" s="49" t="str">
        <x:v>2025-26</x:v>
      </x:c>
      <x:c r="B1101" s="63" t="n">
        <x:v>5161</x:v>
      </x:c>
      <x:c r="C1101" s="49" t="str">
        <x:v>Dr. Vithalrao Vikhe Patil College of Engineering, Ahmednagar</x:v>
      </x:c>
      <x:c r="D1101" s="72" t="n">
        <x:v>516129310</x:v>
      </x:c>
      <x:c r="E1101" s="49" t="str">
        <x:v>Electrical Engineering</x:v>
      </x:c>
      <x:c r="F1101" s="73" t="n">
        <x:v>20</x:v>
      </x:c>
      <x:c r="G1101" s="73" t="n">
        <x:v>13</x:v>
      </x:c>
      <x:c r="H1101" s="73" t="n">
        <x:v>7</x:v>
      </x:c>
      <x:c r="I1101" s="73"/>
      <x:c r="J1101" s="73" t="n">
        <x:v>0</x:v>
      </x:c>
      <x:c r="K1101" s="49" t="str">
        <x:v>Un-Aided</x:v>
      </x:c>
      <x:c r="L1101" s="49" t="str">
        <x:v>MS Seats : 13+ EWS : 7</x:v>
      </x:c>
      <x:c r="M1101" s="49" t="str">
        <x:v>https://dse2025.mahacet.org.in/dse25/admin/allotment/cap2/5161_4.pdf</x:v>
      </x:c>
    </x:row>
    <x:row r="1102">
      <x:c r="A1102" s="49" t="str">
        <x:v>2025-26</x:v>
      </x:c>
      <x:c r="B1102" s="63" t="n">
        <x:v>5161</x:v>
      </x:c>
      <x:c r="C1102" s="49" t="str">
        <x:v>Dr. Vithalrao Vikhe Patil College of Engineering, Ahmednagar</x:v>
      </x:c>
      <x:c r="D1102" s="72" t="n">
        <x:v>516137210</x:v>
      </x:c>
      <x:c r="E1102" s="49" t="str">
        <x:v>Electronics and Telecommunication Engg</x:v>
      </x:c>
      <x:c r="F1102" s="73" t="n">
        <x:v>14</x:v>
      </x:c>
      <x:c r="G1102" s="73" t="n">
        <x:v>7</x:v>
      </x:c>
      <x:c r="H1102" s="73" t="n">
        <x:v>7</x:v>
      </x:c>
      <x:c r="I1102" s="73"/>
      <x:c r="J1102" s="73" t="n">
        <x:v>0</x:v>
      </x:c>
      <x:c r="K1102" s="49" t="str">
        <x:v>Un-Aided</x:v>
      </x:c>
      <x:c r="L1102" s="49" t="str">
        <x:v>MS Seats : 7+ EWS : 7</x:v>
      </x:c>
      <x:c r="M1102" s="49" t="str">
        <x:v>https://dse2025.mahacet.org.in/dse25/admin/allotment/cap2/5161_4.pdf</x:v>
      </x:c>
    </x:row>
    <x:row r="1103">
      <x:c r="A1103" s="49" t="str">
        <x:v>2025-26</x:v>
      </x:c>
      <x:c r="B1103" s="63" t="n">
        <x:v>5161</x:v>
      </x:c>
      <x:c r="C1103" s="49" t="str">
        <x:v>Dr. Vithalrao Vikhe Patil College of Engineering, Ahmednagar</x:v>
      </x:c>
      <x:c r="D1103" s="72" t="n">
        <x:v>516137810</x:v>
      </x:c>
      <x:c r="E1103" s="49" t="str">
        <x:v>Electronics Engineering ( VLSI Design and Technology)</x:v>
      </x:c>
      <x:c r="F1103" s="73" t="n">
        <x:v>19</x:v>
      </x:c>
      <x:c r="G1103" s="73" t="n">
        <x:v>12</x:v>
      </x:c>
      <x:c r="H1103" s="73" t="n">
        <x:v>7</x:v>
      </x:c>
      <x:c r="I1103" s="73"/>
      <x:c r="J1103" s="73" t="n">
        <x:v>0</x:v>
      </x:c>
      <x:c r="K1103" s="49" t="str">
        <x:v>Un-Aided</x:v>
      </x:c>
      <x:c r="L1103" s="49" t="str">
        <x:v>MS Seats : 12+ EWS : 7</x:v>
      </x:c>
      <x:c r="M1103" s="49" t="str">
        <x:v>https://dse2025.mahacet.org.in/dse25/admin/allotment/cap2/5161_4.pdf</x:v>
      </x:c>
    </x:row>
    <x:row r="1104">
      <x:c r="A1104" s="49" t="str">
        <x:v>2025-26</x:v>
      </x:c>
      <x:c r="B1104" s="63" t="n">
        <x:v>5161</x:v>
      </x:c>
      <x:c r="C1104" s="49" t="str">
        <x:v>Dr. Vithalrao Vikhe Patil College of Engineering, Ahmednagar</x:v>
      </x:c>
      <x:c r="D1104" s="72" t="n">
        <x:v>516161210</x:v>
      </x:c>
      <x:c r="E1104" s="49" t="str">
        <x:v>Mechanical Engineering</x:v>
      </x:c>
      <x:c r="F1104" s="73" t="n">
        <x:v>13</x:v>
      </x:c>
      <x:c r="G1104" s="73" t="n">
        <x:v>9</x:v>
      </x:c>
      <x:c r="H1104" s="73" t="n">
        <x:v>4</x:v>
      </x:c>
      <x:c r="I1104" s="73"/>
      <x:c r="J1104" s="73" t="n">
        <x:v>0</x:v>
      </x:c>
      <x:c r="K1104" s="49" t="str">
        <x:v>Un-Aided</x:v>
      </x:c>
      <x:c r="L1104" s="49" t="str">
        <x:v>MS Seats : 9+ EWS : 4</x:v>
      </x:c>
      <x:c r="M1104" s="49" t="str">
        <x:v>https://dse2025.mahacet.org.in/dse25/admin/allotment/cap2/5161_4.pdf</x:v>
      </x:c>
    </x:row>
    <x:row r="1105">
      <x:c r="A1105" s="49" t="str">
        <x:v>2025-26</x:v>
      </x:c>
      <x:c r="B1105" s="63" t="n">
        <x:v>5161</x:v>
      </x:c>
      <x:c r="C1105" s="49" t="str">
        <x:v>Dr. Vithalrao Vikhe Patil College of Engineering, Ahmednagar</x:v>
      </x:c>
      <x:c r="D1105" s="72" t="n">
        <x:v>516199510</x:v>
      </x:c>
      <x:c r="E1105" s="49" t="str">
        <x:v>Artificial Intelligence and Data Science</x:v>
      </x:c>
      <x:c r="F1105" s="73" t="n">
        <x:v>10</x:v>
      </x:c>
      <x:c r="G1105" s="73" t="n">
        <x:v>8</x:v>
      </x:c>
      <x:c r="H1105" s="73" t="n">
        <x:v>2</x:v>
      </x:c>
      <x:c r="I1105" s="73"/>
      <x:c r="J1105" s="73" t="n">
        <x:v>0</x:v>
      </x:c>
      <x:c r="K1105" s="49" t="str">
        <x:v>Un-Aided</x:v>
      </x:c>
      <x:c r="L1105" s="49" t="str">
        <x:v>MS Seats : 8+ EWS : 2</x:v>
      </x:c>
      <x:c r="M1105" s="49" t="str">
        <x:v>https://dse2025.mahacet.org.in/dse25/admin/allotment/cap2/5161_4.pdf</x:v>
      </x:c>
    </x:row>
    <x:row r="1106">
      <x:c r="A1106" s="49" t="str">
        <x:v>2025-26</x:v>
      </x:c>
      <x:c r="B1106" s="63" t="n">
        <x:v>5162</x:v>
      </x:c>
      <x:c r="C1106" s="49" t="str">
        <x:v>Amrutvahini Sheti &amp; Shikshan Vikas Sanstha's Amrutvahini College of Engineering, Sangamner</x:v>
      </x:c>
      <x:c r="D1106" s="72" t="n">
        <x:v>516219110</x:v>
      </x:c>
      <x:c r="E1106" s="49" t="str">
        <x:v>Civil Engineering</x:v>
      </x:c>
      <x:c r="F1106" s="73" t="n">
        <x:v>48</x:v>
      </x:c>
      <x:c r="G1106" s="73" t="n">
        <x:v>36</x:v>
      </x:c>
      <x:c r="H1106" s="73" t="n">
        <x:v>12</x:v>
      </x:c>
      <x:c r="I1106" s="73"/>
      <x:c r="J1106" s="73" t="n">
        <x:v>0</x:v>
      </x:c>
      <x:c r="K1106" s="49" t="str">
        <x:v>Un-Aided</x:v>
      </x:c>
      <x:c r="L1106" s="49" t="str">
        <x:v>MS Seats : 36+ EWS : 12</x:v>
      </x:c>
      <x:c r="M1106" s="49" t="str">
        <x:v>https://dse2025.mahacet.org.in/dse25/admin/allotment/cap2/5162_4.pdf</x:v>
      </x:c>
    </x:row>
    <x:row r="1107">
      <x:c r="A1107" s="49" t="str">
        <x:v>2025-26</x:v>
      </x:c>
      <x:c r="B1107" s="63" t="n">
        <x:v>5162</x:v>
      </x:c>
      <x:c r="C1107" s="49" t="str">
        <x:v>Amrutvahini Sheti &amp; Shikshan Vikas Sanstha's Amrutvahini College of Engineering, Sangamner</x:v>
      </x:c>
      <x:c r="D1107" s="72" t="n">
        <x:v>516224510</x:v>
      </x:c>
      <x:c r="E1107" s="49" t="str">
        <x:v>Computer Engineering</x:v>
      </x:c>
      <x:c r="F1107" s="73" t="n">
        <x:v>16</x:v>
      </x:c>
      <x:c r="G1107" s="73" t="n">
        <x:v>13</x:v>
      </x:c>
      <x:c r="H1107" s="73" t="n">
        <x:v>3</x:v>
      </x:c>
      <x:c r="I1107" s="73"/>
      <x:c r="J1107" s="73" t="n">
        <x:v>0</x:v>
      </x:c>
      <x:c r="K1107" s="49" t="str">
        <x:v>Un-Aided</x:v>
      </x:c>
      <x:c r="L1107" s="49" t="str">
        <x:v>MS Seats : 13+ EWS : 3</x:v>
      </x:c>
      <x:c r="M1107" s="49" t="str">
        <x:v>https://dse2025.mahacet.org.in/dse25/admin/allotment/cap2/5162_4.pdf</x:v>
      </x:c>
    </x:row>
    <x:row r="1108">
      <x:c r="A1108" s="49" t="str">
        <x:v>2025-26</x:v>
      </x:c>
      <x:c r="B1108" s="63" t="n">
        <x:v>5162</x:v>
      </x:c>
      <x:c r="C1108" s="49" t="str">
        <x:v>Amrutvahini Sheti &amp; Shikshan Vikas Sanstha's Amrutvahini College of Engineering, Sangamner</x:v>
      </x:c>
      <x:c r="D1108" s="72" t="n">
        <x:v>516224610</x:v>
      </x:c>
      <x:c r="E1108" s="49" t="str">
        <x:v>Information Technology</x:v>
      </x:c>
      <x:c r="F1108" s="73" t="n">
        <x:v>15</x:v>
      </x:c>
      <x:c r="G1108" s="73" t="n">
        <x:v>13</x:v>
      </x:c>
      <x:c r="H1108" s="73" t="n">
        <x:v>2</x:v>
      </x:c>
      <x:c r="I1108" s="73"/>
      <x:c r="J1108" s="73" t="n">
        <x:v>0</x:v>
      </x:c>
      <x:c r="K1108" s="49" t="str">
        <x:v>Un-Aided</x:v>
      </x:c>
      <x:c r="L1108" s="49" t="str">
        <x:v>MS Seats : 13+ EWS : 2</x:v>
      </x:c>
      <x:c r="M1108" s="49" t="str">
        <x:v>https://dse2025.mahacet.org.in/dse25/admin/allotment/cap2/5162_4.pdf</x:v>
      </x:c>
    </x:row>
    <x:row r="1109">
      <x:c r="A1109" s="49" t="str">
        <x:v>2025-26</x:v>
      </x:c>
      <x:c r="B1109" s="63" t="n">
        <x:v>5162</x:v>
      </x:c>
      <x:c r="C1109" s="49" t="str">
        <x:v>Amrutvahini Sheti &amp; Shikshan Vikas Sanstha's Amrutvahini College of Engineering, Sangamner</x:v>
      </x:c>
      <x:c r="D1109" s="72" t="n">
        <x:v>516229310</x:v>
      </x:c>
      <x:c r="E1109" s="49" t="str">
        <x:v>Electrical Engineering</x:v>
      </x:c>
      <x:c r="F1109" s="73" t="n">
        <x:v>25</x:v>
      </x:c>
      <x:c r="G1109" s="73" t="n">
        <x:v>21</x:v>
      </x:c>
      <x:c r="H1109" s="73" t="n">
        <x:v>4</x:v>
      </x:c>
      <x:c r="I1109" s="73"/>
      <x:c r="J1109" s="73" t="n">
        <x:v>0</x:v>
      </x:c>
      <x:c r="K1109" s="49" t="str">
        <x:v>Un-Aided</x:v>
      </x:c>
      <x:c r="L1109" s="49" t="str">
        <x:v>MS Seats : 21+ EWS : 4</x:v>
      </x:c>
      <x:c r="M1109" s="49" t="str">
        <x:v>https://dse2025.mahacet.org.in/dse25/admin/allotment/cap2/5162_4.pdf</x:v>
      </x:c>
    </x:row>
    <x:row r="1110">
      <x:c r="A1110" s="49" t="str">
        <x:v>2025-26</x:v>
      </x:c>
      <x:c r="B1110" s="63" t="n">
        <x:v>5162</x:v>
      </x:c>
      <x:c r="C1110" s="49" t="str">
        <x:v>Amrutvahini Sheti &amp; Shikshan Vikas Sanstha's Amrutvahini College of Engineering, Sangamner</x:v>
      </x:c>
      <x:c r="D1110" s="72" t="n">
        <x:v>516237210</x:v>
      </x:c>
      <x:c r="E1110" s="49" t="str">
        <x:v>Electronics and Telecommunication Engg</x:v>
      </x:c>
      <x:c r="F1110" s="73" t="n">
        <x:v>16</x:v>
      </x:c>
      <x:c r="G1110" s="73" t="n">
        <x:v>13</x:v>
      </x:c>
      <x:c r="H1110" s="73" t="n">
        <x:v>3</x:v>
      </x:c>
      <x:c r="I1110" s="73"/>
      <x:c r="J1110" s="73" t="n">
        <x:v>0</x:v>
      </x:c>
      <x:c r="K1110" s="49" t="str">
        <x:v>Un-Aided</x:v>
      </x:c>
      <x:c r="L1110" s="49" t="str">
        <x:v>MS Seats : 13+ EWS : 3</x:v>
      </x:c>
      <x:c r="M1110" s="49" t="str">
        <x:v>https://dse2025.mahacet.org.in/dse25/admin/allotment/cap2/5162_4.pdf</x:v>
      </x:c>
    </x:row>
    <x:row r="1111">
      <x:c r="A1111" s="49" t="str">
        <x:v>2025-26</x:v>
      </x:c>
      <x:c r="B1111" s="63" t="n">
        <x:v>5162</x:v>
      </x:c>
      <x:c r="C1111" s="49" t="str">
        <x:v>Amrutvahini Sheti &amp; Shikshan Vikas Sanstha's Amrutvahini College of Engineering, Sangamner</x:v>
      </x:c>
      <x:c r="D1111" s="72" t="n">
        <x:v>516261210</x:v>
      </x:c>
      <x:c r="E1111" s="49" t="str">
        <x:v>Mechanical Engineering</x:v>
      </x:c>
      <x:c r="F1111" s="73" t="n">
        <x:v>37</x:v>
      </x:c>
      <x:c r="G1111" s="73" t="n">
        <x:v>31</x:v>
      </x:c>
      <x:c r="H1111" s="73" t="n">
        <x:v>6</x:v>
      </x:c>
      <x:c r="I1111" s="73"/>
      <x:c r="J1111" s="73" t="n">
        <x:v>0</x:v>
      </x:c>
      <x:c r="K1111" s="49" t="str">
        <x:v>Un-Aided</x:v>
      </x:c>
      <x:c r="L1111" s="49" t="str">
        <x:v>MS Seats : 31+ EWS : 6</x:v>
      </x:c>
      <x:c r="M1111" s="49" t="str">
        <x:v>https://dse2025.mahacet.org.in/dse25/admin/allotment/cap2/5162_4.pdf</x:v>
      </x:c>
    </x:row>
    <x:row r="1112">
      <x:c r="A1112" s="49" t="str">
        <x:v>2025-26</x:v>
      </x:c>
      <x:c r="B1112" s="63" t="n">
        <x:v>5162</x:v>
      </x:c>
      <x:c r="C1112" s="49" t="str">
        <x:v>Amrutvahini Sheti &amp; Shikshan Vikas Sanstha's Amrutvahini College of Engineering, Sangamner</x:v>
      </x:c>
      <x:c r="D1112" s="72" t="n">
        <x:v>516284410</x:v>
      </x:c>
      <x:c r="E1112" s="49" t="str">
        <x:v>Electronics and Computer Engineering</x:v>
      </x:c>
      <x:c r="F1112" s="73" t="n">
        <x:v>8</x:v>
      </x:c>
      <x:c r="G1112" s="73" t="n">
        <x:v>7</x:v>
      </x:c>
      <x:c r="H1112" s="73" t="n">
        <x:v>1</x:v>
      </x:c>
      <x:c r="I1112" s="73"/>
      <x:c r="J1112" s="73" t="n">
        <x:v>0</x:v>
      </x:c>
      <x:c r="K1112" s="49" t="str">
        <x:v>Un-Aided</x:v>
      </x:c>
      <x:c r="L1112" s="49" t="str">
        <x:v>MS Seats : 7+ EWS : 1</x:v>
      </x:c>
      <x:c r="M1112" s="49" t="str">
        <x:v>https://dse2025.mahacet.org.in/dse25/admin/allotment/cap2/5162_4.pdf</x:v>
      </x:c>
    </x:row>
    <x:row r="1113">
      <x:c r="A1113" s="49" t="str">
        <x:v>2025-26</x:v>
      </x:c>
      <x:c r="B1113" s="63" t="n">
        <x:v>5162</x:v>
      </x:c>
      <x:c r="C1113" s="49" t="str">
        <x:v>Amrutvahini Sheti &amp; Shikshan Vikas Sanstha's Amrutvahini College of Engineering, Sangamner</x:v>
      </x:c>
      <x:c r="D1113" s="72" t="n">
        <x:v>516291610</x:v>
      </x:c>
      <x:c r="E1113" s="49" t="str">
        <x:v>Automation and Robotics</x:v>
      </x:c>
      <x:c r="F1113" s="73" t="n">
        <x:v>10</x:v>
      </x:c>
      <x:c r="G1113" s="73" t="n">
        <x:v>8</x:v>
      </x:c>
      <x:c r="H1113" s="73" t="n">
        <x:v>2</x:v>
      </x:c>
      <x:c r="I1113" s="73"/>
      <x:c r="J1113" s="73" t="n">
        <x:v>0</x:v>
      </x:c>
      <x:c r="K1113" s="49" t="str">
        <x:v>Un-Aided</x:v>
      </x:c>
      <x:c r="L1113" s="49" t="str">
        <x:v>MS Seats : 8+ EWS : 2</x:v>
      </x:c>
      <x:c r="M1113" s="49" t="str">
        <x:v>https://dse2025.mahacet.org.in/dse25/admin/allotment/cap2/5162_4.pdf</x:v>
      </x:c>
    </x:row>
    <x:row r="1114">
      <x:c r="A1114" s="49" t="str">
        <x:v>2025-26</x:v>
      </x:c>
      <x:c r="B1114" s="63" t="n">
        <x:v>5162</x:v>
      </x:c>
      <x:c r="C1114" s="49" t="str">
        <x:v>Amrutvahini Sheti &amp; Shikshan Vikas Sanstha's Amrutvahini College of Engineering, Sangamner</x:v>
      </x:c>
      <x:c r="D1114" s="72" t="n">
        <x:v>516299510</x:v>
      </x:c>
      <x:c r="E1114" s="49" t="str">
        <x:v>Artificial Intelligence and Data Science</x:v>
      </x:c>
      <x:c r="F1114" s="73" t="n">
        <x:v>17</x:v>
      </x:c>
      <x:c r="G1114" s="73" t="n">
        <x:v>14</x:v>
      </x:c>
      <x:c r="H1114" s="73" t="n">
        <x:v>3</x:v>
      </x:c>
      <x:c r="I1114" s="73"/>
      <x:c r="J1114" s="73" t="n">
        <x:v>0</x:v>
      </x:c>
      <x:c r="K1114" s="49" t="str">
        <x:v>Un-Aided</x:v>
      </x:c>
      <x:c r="L1114" s="49" t="str">
        <x:v>MS Seats : 14+ EWS : 3</x:v>
      </x:c>
      <x:c r="M1114" s="49" t="str">
        <x:v>https://dse2025.mahacet.org.in/dse25/admin/allotment/cap2/5162_4.pdf</x:v>
      </x:c>
    </x:row>
    <x:row r="1115">
      <x:c r="A1115" s="49" t="str">
        <x:v>2025-26</x:v>
      </x:c>
      <x:c r="B1115" s="63" t="n">
        <x:v>5164</x:v>
      </x:c>
      <x:c r="C1115" s="49" t="str">
        <x:v>P.S.G.V.P. Mandal's D.N. Patel College of Engineering, Shahada, Dist. Nandurbar</x:v>
      </x:c>
      <x:c r="D1115" s="72" t="n">
        <x:v>516419110</x:v>
      </x:c>
      <x:c r="E1115" s="49" t="str">
        <x:v>Civil Engineering</x:v>
      </x:c>
      <x:c r="F1115" s="73" t="n">
        <x:v>37</x:v>
      </x:c>
      <x:c r="G1115" s="73" t="n">
        <x:v>17</x:v>
      </x:c>
      <x:c r="H1115" s="73"/>
      <x:c r="I1115" s="73" t="n">
        <x:v>20</x:v>
      </x:c>
      <x:c r="J1115" s="73" t="n">
        <x:v>0</x:v>
      </x:c>
      <x:c r="K1115" s="49" t="str">
        <x:v>Un-Aided Linguistic Minority - Gujar</x:v>
      </x:c>
      <x:c r="L1115" s="49" t="str">
        <x:v>MS Seats : 17 + Minority Seats : 20</x:v>
      </x:c>
      <x:c r="M1115" s="49" t="str">
        <x:v>https://dse2025.mahacet.org.in/dse25/admin/allotment/cap2/5164_4.pdf</x:v>
      </x:c>
    </x:row>
    <x:row r="1116">
      <x:c r="A1116" s="49" t="str">
        <x:v>2025-26</x:v>
      </x:c>
      <x:c r="B1116" s="63" t="n">
        <x:v>5164</x:v>
      </x:c>
      <x:c r="C1116" s="49" t="str">
        <x:v>P.S.G.V.P. Mandal's D.N. Patel College of Engineering, Shahada, Dist. Nandurbar</x:v>
      </x:c>
      <x:c r="D1116" s="72" t="n">
        <x:v>516424510</x:v>
      </x:c>
      <x:c r="E1116" s="49" t="str">
        <x:v>Computer Engineering</x:v>
      </x:c>
      <x:c r="F1116" s="73" t="n">
        <x:v>6</x:v>
      </x:c>
      <x:c r="G1116" s="73" t="n">
        <x:v>2</x:v>
      </x:c>
      <x:c r="H1116" s="73"/>
      <x:c r="I1116" s="73" t="n">
        <x:v>4</x:v>
      </x:c>
      <x:c r="J1116" s="73" t="n">
        <x:v>0</x:v>
      </x:c>
      <x:c r="K1116" s="49" t="str">
        <x:v>Un-Aided Linguistic Minority - Gujar</x:v>
      </x:c>
      <x:c r="L1116" s="49" t="str">
        <x:v>MS Seats : 2 + Minority Seats : 4</x:v>
      </x:c>
      <x:c r="M1116" s="49" t="str">
        <x:v>https://dse2025.mahacet.org.in/dse25/admin/allotment/cap2/5164_4.pdf</x:v>
      </x:c>
    </x:row>
    <x:row r="1117">
      <x:c r="A1117" s="49" t="str">
        <x:v>2025-26</x:v>
      </x:c>
      <x:c r="B1117" s="63" t="n">
        <x:v>5164</x:v>
      </x:c>
      <x:c r="C1117" s="49" t="str">
        <x:v>P.S.G.V.P. Mandal's D.N. Patel College of Engineering, Shahada, Dist. Nandurbar</x:v>
      </x:c>
      <x:c r="D1117" s="72" t="n">
        <x:v>516429310</x:v>
      </x:c>
      <x:c r="E1117" s="49" t="str">
        <x:v>Electrical Engineering</x:v>
      </x:c>
      <x:c r="F1117" s="73" t="n">
        <x:v>35</x:v>
      </x:c>
      <x:c r="G1117" s="73" t="n">
        <x:v>17</x:v>
      </x:c>
      <x:c r="H1117" s="73"/>
      <x:c r="I1117" s="73" t="n">
        <x:v>18</x:v>
      </x:c>
      <x:c r="J1117" s="73" t="n">
        <x:v>0</x:v>
      </x:c>
      <x:c r="K1117" s="49" t="str">
        <x:v>Un-Aided Linguistic Minority - Gujar</x:v>
      </x:c>
      <x:c r="L1117" s="49" t="str">
        <x:v>MS Seats : 17 + Minority Seats : 18</x:v>
      </x:c>
      <x:c r="M1117" s="49" t="str">
        <x:v>https://dse2025.mahacet.org.in/dse25/admin/allotment/cap2/5164_4.pdf</x:v>
      </x:c>
    </x:row>
    <x:row r="1118">
      <x:c r="A1118" s="49" t="str">
        <x:v>2025-26</x:v>
      </x:c>
      <x:c r="B1118" s="63" t="n">
        <x:v>5164</x:v>
      </x:c>
      <x:c r="C1118" s="49" t="str">
        <x:v>P.S.G.V.P. Mandal's D.N. Patel College of Engineering, Shahada, Dist. Nandurbar</x:v>
      </x:c>
      <x:c r="D1118" s="72" t="n">
        <x:v>516437210</x:v>
      </x:c>
      <x:c r="E1118" s="49" t="str">
        <x:v>Electronics and Telecommunication Engg</x:v>
      </x:c>
      <x:c r="F1118" s="73" t="n">
        <x:v>5</x:v>
      </x:c>
      <x:c r="G1118" s="73" t="n">
        <x:v>2</x:v>
      </x:c>
      <x:c r="H1118" s="73"/>
      <x:c r="I1118" s="73" t="n">
        <x:v>3</x:v>
      </x:c>
      <x:c r="J1118" s="73" t="n">
        <x:v>0</x:v>
      </x:c>
      <x:c r="K1118" s="49" t="str">
        <x:v>Un-Aided Linguistic Minority - Gujar</x:v>
      </x:c>
      <x:c r="L1118" s="49" t="str">
        <x:v>MS Seats : 2 + Minority Seats : 3</x:v>
      </x:c>
      <x:c r="M1118" s="49" t="str">
        <x:v>https://dse2025.mahacet.org.in/dse25/admin/allotment/cap2/5164_4.pdf</x:v>
      </x:c>
    </x:row>
    <x:row r="1119">
      <x:c r="A1119" s="49" t="str">
        <x:v>2025-26</x:v>
      </x:c>
      <x:c r="B1119" s="63" t="n">
        <x:v>5164</x:v>
      </x:c>
      <x:c r="C1119" s="49" t="str">
        <x:v>P.S.G.V.P. Mandal's D.N. Patel College of Engineering, Shahada, Dist. Nandurbar</x:v>
      </x:c>
      <x:c r="D1119" s="72" t="n">
        <x:v>516446610</x:v>
      </x:c>
      <x:c r="E1119" s="49" t="str">
        <x:v>Instrumentation Engineering</x:v>
      </x:c>
      <x:c r="F1119" s="73" t="n">
        <x:v>48</x:v>
      </x:c>
      <x:c r="G1119" s="73" t="n">
        <x:v>23</x:v>
      </x:c>
      <x:c r="H1119" s="73"/>
      <x:c r="I1119" s="73" t="n">
        <x:v>25</x:v>
      </x:c>
      <x:c r="J1119" s="73" t="n">
        <x:v>0</x:v>
      </x:c>
      <x:c r="K1119" s="49" t="str">
        <x:v>Un-Aided Linguistic Minority - Gujar</x:v>
      </x:c>
      <x:c r="L1119" s="49" t="str">
        <x:v>MS Seats : 23 + Minority Seats : 25</x:v>
      </x:c>
      <x:c r="M1119" s="49" t="str">
        <x:v>https://dse2025.mahacet.org.in/dse25/admin/allotment/cap2/5164_4.pdf</x:v>
      </x:c>
    </x:row>
    <x:row r="1120">
      <x:c r="A1120" s="49" t="str">
        <x:v>2025-26</x:v>
      </x:c>
      <x:c r="B1120" s="63" t="n">
        <x:v>5164</x:v>
      </x:c>
      <x:c r="C1120" s="49" t="str">
        <x:v>P.S.G.V.P. Mandal's D.N. Patel College of Engineering, Shahada, Dist. Nandurbar</x:v>
      </x:c>
      <x:c r="D1120" s="72" t="n">
        <x:v>516461210</x:v>
      </x:c>
      <x:c r="E1120" s="49" t="str">
        <x:v>Mechanical Engineering</x:v>
      </x:c>
      <x:c r="F1120" s="73" t="n">
        <x:v>54</x:v>
      </x:c>
      <x:c r="G1120" s="73" t="n">
        <x:v>26</x:v>
      </x:c>
      <x:c r="H1120" s="73"/>
      <x:c r="I1120" s="73" t="n">
        <x:v>28</x:v>
      </x:c>
      <x:c r="J1120" s="73" t="n">
        <x:v>0</x:v>
      </x:c>
      <x:c r="K1120" s="49" t="str">
        <x:v>Un-Aided Linguistic Minority - Gujar</x:v>
      </x:c>
      <x:c r="L1120" s="49" t="str">
        <x:v>MS Seats : 26 + Minority Seats : 28</x:v>
      </x:c>
      <x:c r="M1120" s="49" t="str">
        <x:v>https://dse2025.mahacet.org.in/dse25/admin/allotment/cap2/5164_4.pdf</x:v>
      </x:c>
    </x:row>
    <x:row r="1121">
      <x:c r="A1121" s="49" t="str">
        <x:v>2025-26</x:v>
      </x:c>
      <x:c r="B1121" s="63" t="n">
        <x:v>5168</x:v>
      </x:c>
      <x:c r="C1121" s="49" t="str">
        <x:v>T.M.E. Society's J.T.Mahajan College of Engineering, Faizpur</x:v>
      </x:c>
      <x:c r="D1121" s="72" t="n">
        <x:v>516819110</x:v>
      </x:c>
      <x:c r="E1121" s="49" t="str">
        <x:v>Civil Engineering</x:v>
      </x:c>
      <x:c r="F1121" s="73" t="n">
        <x:v>36</x:v>
      </x:c>
      <x:c r="G1121" s="73" t="n">
        <x:v>33</x:v>
      </x:c>
      <x:c r="H1121" s="73" t="n">
        <x:v>3</x:v>
      </x:c>
      <x:c r="I1121" s="73"/>
      <x:c r="J1121" s="73" t="n">
        <x:v>0</x:v>
      </x:c>
      <x:c r="K1121" s="49" t="str">
        <x:v>Un-Aided</x:v>
      </x:c>
      <x:c r="L1121" s="49" t="str">
        <x:v>MS Seats : 33+ EWS : 3</x:v>
      </x:c>
      <x:c r="M1121" s="49" t="str">
        <x:v>https://dse2025.mahacet.org.in/dse25/admin/allotment/cap2/5168_4.pdf</x:v>
      </x:c>
    </x:row>
    <x:row r="1122">
      <x:c r="A1122" s="49" t="str">
        <x:v>2025-26</x:v>
      </x:c>
      <x:c r="B1122" s="63" t="n">
        <x:v>5168</x:v>
      </x:c>
      <x:c r="C1122" s="49" t="str">
        <x:v>T.M.E. Society's J.T.Mahajan College of Engineering, Faizpur</x:v>
      </x:c>
      <x:c r="D1122" s="72" t="n">
        <x:v>516824510</x:v>
      </x:c>
      <x:c r="E1122" s="49" t="str">
        <x:v>Computer Engineering</x:v>
      </x:c>
      <x:c r="F1122" s="73" t="n">
        <x:v>23</x:v>
      </x:c>
      <x:c r="G1122" s="73" t="n">
        <x:v>18</x:v>
      </x:c>
      <x:c r="H1122" s="73" t="n">
        <x:v>5</x:v>
      </x:c>
      <x:c r="I1122" s="73"/>
      <x:c r="J1122" s="73" t="n">
        <x:v>0</x:v>
      </x:c>
      <x:c r="K1122" s="49" t="str">
        <x:v>Un-Aided</x:v>
      </x:c>
      <x:c r="L1122" s="49" t="str">
        <x:v>MS Seats : 18+ EWS : 5</x:v>
      </x:c>
      <x:c r="M1122" s="49" t="str">
        <x:v>https://dse2025.mahacet.org.in/dse25/admin/allotment/cap2/5168_4.pdf</x:v>
      </x:c>
    </x:row>
    <x:row r="1123">
      <x:c r="A1123" s="49" t="str">
        <x:v>2025-26</x:v>
      </x:c>
      <x:c r="B1123" s="63" t="n">
        <x:v>5168</x:v>
      </x:c>
      <x:c r="C1123" s="49" t="str">
        <x:v>T.M.E. Society's J.T.Mahajan College of Engineering, Faizpur</x:v>
      </x:c>
      <x:c r="D1123" s="72" t="n">
        <x:v>516837210</x:v>
      </x:c>
      <x:c r="E1123" s="49" t="str">
        <x:v>Electronics and Telecommunication Engg</x:v>
      </x:c>
      <x:c r="F1123" s="73" t="n">
        <x:v>42</x:v>
      </x:c>
      <x:c r="G1123" s="73" t="n">
        <x:v>36</x:v>
      </x:c>
      <x:c r="H1123" s="73" t="n">
        <x:v>6</x:v>
      </x:c>
      <x:c r="I1123" s="73"/>
      <x:c r="J1123" s="73" t="n">
        <x:v>0</x:v>
      </x:c>
      <x:c r="K1123" s="49" t="str">
        <x:v>Un-Aided</x:v>
      </x:c>
      <x:c r="L1123" s="49" t="str">
        <x:v>MS Seats : 36+ EWS : 6</x:v>
      </x:c>
      <x:c r="M1123" s="49" t="str">
        <x:v>https://dse2025.mahacet.org.in/dse25/admin/allotment/cap2/5168_4.pdf</x:v>
      </x:c>
    </x:row>
    <x:row r="1124">
      <x:c r="A1124" s="49" t="str">
        <x:v>2025-26</x:v>
      </x:c>
      <x:c r="B1124" s="63" t="n">
        <x:v>5168</x:v>
      </x:c>
      <x:c r="C1124" s="49" t="str">
        <x:v>T.M.E. Society's J.T.Mahajan College of Engineering, Faizpur</x:v>
      </x:c>
      <x:c r="D1124" s="72" t="n">
        <x:v>516861210</x:v>
      </x:c>
      <x:c r="E1124" s="49" t="str">
        <x:v>Mechanical Engineering</x:v>
      </x:c>
      <x:c r="F1124" s="73" t="n">
        <x:v>73</x:v>
      </x:c>
      <x:c r="G1124" s="73" t="n">
        <x:v>66</x:v>
      </x:c>
      <x:c r="H1124" s="73" t="n">
        <x:v>7</x:v>
      </x:c>
      <x:c r="I1124" s="73"/>
      <x:c r="J1124" s="73" t="n">
        <x:v>0</x:v>
      </x:c>
      <x:c r="K1124" s="49" t="str">
        <x:v>Un-Aided</x:v>
      </x:c>
      <x:c r="L1124" s="49" t="str">
        <x:v>MS Seats : 66+ EWS : 7</x:v>
      </x:c>
      <x:c r="M1124" s="49" t="str">
        <x:v>https://dse2025.mahacet.org.in/dse25/admin/allotment/cap2/5168_4.pdf</x:v>
      </x:c>
    </x:row>
    <x:row r="1125">
      <x:c r="A1125" s="49" t="str">
        <x:v>2025-26</x:v>
      </x:c>
      <x:c r="B1125" s="63" t="n">
        <x:v>5169</x:v>
      </x:c>
      <x:c r="C1125" s="49" t="str">
        <x:v>Nagaon Education Society's Gangamai College of Engineering, Nagaon, Tal Dist Dhule</x:v>
      </x:c>
      <x:c r="D1125" s="72" t="n">
        <x:v>516919110</x:v>
      </x:c>
      <x:c r="E1125" s="49" t="str">
        <x:v>Civil Engineering</x:v>
      </x:c>
      <x:c r="F1125" s="73" t="n">
        <x:v>16</x:v>
      </x:c>
      <x:c r="G1125" s="73" t="n">
        <x:v>13</x:v>
      </x:c>
      <x:c r="H1125" s="73" t="n">
        <x:v>3</x:v>
      </x:c>
      <x:c r="I1125" s="73"/>
      <x:c r="J1125" s="73" t="n">
        <x:v>0</x:v>
      </x:c>
      <x:c r="K1125" s="49" t="str">
        <x:v>Un-Aided</x:v>
      </x:c>
      <x:c r="L1125" s="49" t="str">
        <x:v>MS Seats : 13+ EWS : 3</x:v>
      </x:c>
      <x:c r="M1125" s="49" t="str">
        <x:v>https://dse2025.mahacet.org.in/dse25/admin/allotment/cap2/5169_4.pdf</x:v>
      </x:c>
    </x:row>
    <x:row r="1126">
      <x:c r="A1126" s="49" t="str">
        <x:v>2025-26</x:v>
      </x:c>
      <x:c r="B1126" s="63" t="n">
        <x:v>5169</x:v>
      </x:c>
      <x:c r="C1126" s="49" t="str">
        <x:v>Nagaon Education Society's Gangamai College of Engineering, Nagaon, Tal Dist Dhule</x:v>
      </x:c>
      <x:c r="D1126" s="72" t="n">
        <x:v>516924510</x:v>
      </x:c>
      <x:c r="E1126" s="49" t="str">
        <x:v>Computer Engineering</x:v>
      </x:c>
      <x:c r="F1126" s="73" t="n">
        <x:v>32</x:v>
      </x:c>
      <x:c r="G1126" s="73" t="n">
        <x:v>22</x:v>
      </x:c>
      <x:c r="H1126" s="73" t="n">
        <x:v>10</x:v>
      </x:c>
      <x:c r="I1126" s="73"/>
      <x:c r="J1126" s="73" t="n">
        <x:v>0</x:v>
      </x:c>
      <x:c r="K1126" s="49" t="str">
        <x:v>Un-Aided</x:v>
      </x:c>
      <x:c r="L1126" s="49" t="str">
        <x:v>MS Seats : 22+ EWS : 10</x:v>
      </x:c>
      <x:c r="M1126" s="49" t="str">
        <x:v>https://dse2025.mahacet.org.in/dse25/admin/allotment/cap2/5169_4.pdf</x:v>
      </x:c>
    </x:row>
    <x:row r="1127">
      <x:c r="A1127" s="49" t="str">
        <x:v>2025-26</x:v>
      </x:c>
      <x:c r="B1127" s="63" t="n">
        <x:v>5169</x:v>
      </x:c>
      <x:c r="C1127" s="49" t="str">
        <x:v>Nagaon Education Society's Gangamai College of Engineering, Nagaon, Tal Dist Dhule</x:v>
      </x:c>
      <x:c r="D1127" s="72" t="n">
        <x:v>516929310</x:v>
      </x:c>
      <x:c r="E1127" s="49" t="str">
        <x:v>Electrical Engineering</x:v>
      </x:c>
      <x:c r="F1127" s="73" t="n">
        <x:v>43</x:v>
      </x:c>
      <x:c r="G1127" s="73" t="n">
        <x:v>36</x:v>
      </x:c>
      <x:c r="H1127" s="73" t="n">
        <x:v>7</x:v>
      </x:c>
      <x:c r="I1127" s="73"/>
      <x:c r="J1127" s="73" t="n">
        <x:v>0</x:v>
      </x:c>
      <x:c r="K1127" s="49" t="str">
        <x:v>Un-Aided</x:v>
      </x:c>
      <x:c r="L1127" s="49" t="str">
        <x:v>MS Seats : 36+ EWS : 7</x:v>
      </x:c>
      <x:c r="M1127" s="49" t="str">
        <x:v>https://dse2025.mahacet.org.in/dse25/admin/allotment/cap2/5169_4.pdf</x:v>
      </x:c>
    </x:row>
    <x:row r="1128">
      <x:c r="A1128" s="49" t="str">
        <x:v>2025-26</x:v>
      </x:c>
      <x:c r="B1128" s="63" t="n">
        <x:v>5169</x:v>
      </x:c>
      <x:c r="C1128" s="49" t="str">
        <x:v>Nagaon Education Society's Gangamai College of Engineering, Nagaon, Tal Dist Dhule</x:v>
      </x:c>
      <x:c r="D1128" s="72" t="n">
        <x:v>516937210</x:v>
      </x:c>
      <x:c r="E1128" s="49" t="str">
        <x:v>Electronics and Telecommunication Engg</x:v>
      </x:c>
      <x:c r="F1128" s="73" t="n">
        <x:v>36</x:v>
      </x:c>
      <x:c r="G1128" s="73" t="n">
        <x:v>29</x:v>
      </x:c>
      <x:c r="H1128" s="73" t="n">
        <x:v>7</x:v>
      </x:c>
      <x:c r="I1128" s="73"/>
      <x:c r="J1128" s="73" t="n">
        <x:v>0</x:v>
      </x:c>
      <x:c r="K1128" s="49" t="str">
        <x:v>Un-Aided</x:v>
      </x:c>
      <x:c r="L1128" s="49" t="str">
        <x:v>MS Seats : 29+ EWS : 7</x:v>
      </x:c>
      <x:c r="M1128" s="49" t="str">
        <x:v>https://dse2025.mahacet.org.in/dse25/admin/allotment/cap2/5169_4.pdf</x:v>
      </x:c>
    </x:row>
    <x:row r="1129">
      <x:c r="A1129" s="49" t="str">
        <x:v>2025-26</x:v>
      </x:c>
      <x:c r="B1129" s="63" t="n">
        <x:v>5169</x:v>
      </x:c>
      <x:c r="C1129" s="49" t="str">
        <x:v>Nagaon Education Society's Gangamai College of Engineering, Nagaon, Tal Dist Dhule</x:v>
      </x:c>
      <x:c r="D1129" s="72" t="n">
        <x:v>516961210</x:v>
      </x:c>
      <x:c r="E1129" s="49" t="str">
        <x:v>Mechanical Engineering</x:v>
      </x:c>
      <x:c r="F1129" s="73" t="n">
        <x:v>58</x:v>
      </x:c>
      <x:c r="G1129" s="73" t="n">
        <x:v>52</x:v>
      </x:c>
      <x:c r="H1129" s="73" t="n">
        <x:v>6</x:v>
      </x:c>
      <x:c r="I1129" s="73"/>
      <x:c r="J1129" s="73" t="n">
        <x:v>0</x:v>
      </x:c>
      <x:c r="K1129" s="49" t="str">
        <x:v>Un-Aided</x:v>
      </x:c>
      <x:c r="L1129" s="49" t="str">
        <x:v>MS Seats : 52+ EWS : 6</x:v>
      </x:c>
      <x:c r="M1129" s="49" t="str">
        <x:v>https://dse2025.mahacet.org.in/dse25/admin/allotment/cap2/5169_4.pdf</x:v>
      </x:c>
    </x:row>
    <x:row r="1130">
      <x:c r="A1130" s="49" t="str">
        <x:v>2025-26</x:v>
      </x:c>
      <x:c r="B1130" s="63" t="n">
        <x:v>5170</x:v>
      </x:c>
      <x:c r="C1130" s="49" t="str">
        <x:v>Hindi Seva Mandal's Shri Sant Gadgebaba College of Engineering &amp; Technology, Bhusawal</x:v>
      </x:c>
      <x:c r="D1130" s="72" t="n">
        <x:v>517019110</x:v>
      </x:c>
      <x:c r="E1130" s="49" t="str">
        <x:v>Civil Engineering</x:v>
      </x:c>
      <x:c r="F1130" s="73" t="n">
        <x:v>21</x:v>
      </x:c>
      <x:c r="G1130" s="73" t="n">
        <x:v>10</x:v>
      </x:c>
      <x:c r="H1130" s="73"/>
      <x:c r="I1130" s="73" t="n">
        <x:v>11</x:v>
      </x:c>
      <x:c r="J1130" s="73" t="n">
        <x:v>0</x:v>
      </x:c>
      <x:c r="K1130" s="49" t="str">
        <x:v>Un-Aided Linguistic Minority - Hindi</x:v>
      </x:c>
      <x:c r="L1130" s="49" t="str">
        <x:v>MS Seats : 10 + Minority Seats : 11</x:v>
      </x:c>
      <x:c r="M1130" s="49" t="str">
        <x:v>https://dse2025.mahacet.org.in/dse25/admin/allotment/cap2/5170_4.pdf</x:v>
      </x:c>
    </x:row>
    <x:row r="1131">
      <x:c r="A1131" s="49" t="str">
        <x:v>2025-26</x:v>
      </x:c>
      <x:c r="B1131" s="63" t="n">
        <x:v>5170</x:v>
      </x:c>
      <x:c r="C1131" s="49" t="str">
        <x:v>Hindi Seva Mandal's Shri Sant Gadgebaba College of Engineering &amp; Technology, Bhusawal</x:v>
      </x:c>
      <x:c r="D1131" s="72" t="n">
        <x:v>517024210</x:v>
      </x:c>
      <x:c r="E1131" s="49" t="str">
        <x:v>Computer Science and Engineering</x:v>
      </x:c>
      <x:c r="F1131" s="73" t="n">
        <x:v>18</x:v>
      </x:c>
      <x:c r="G1131" s="73" t="n">
        <x:v>8</x:v>
      </x:c>
      <x:c r="H1131" s="73"/>
      <x:c r="I1131" s="73" t="n">
        <x:v>10</x:v>
      </x:c>
      <x:c r="J1131" s="73" t="n">
        <x:v>0</x:v>
      </x:c>
      <x:c r="K1131" s="49" t="str">
        <x:v>Un-Aided Linguistic Minority - Hindi</x:v>
      </x:c>
      <x:c r="L1131" s="49" t="str">
        <x:v>MS Seats : 8 + Minority Seats : 10</x:v>
      </x:c>
      <x:c r="M1131" s="49" t="str">
        <x:v>https://dse2025.mahacet.org.in/dse25/admin/allotment/cap2/5170_4.pdf</x:v>
      </x:c>
    </x:row>
    <x:row r="1132">
      <x:c r="A1132" s="49" t="str">
        <x:v>2025-26</x:v>
      </x:c>
      <x:c r="B1132" s="63" t="n">
        <x:v>5170</x:v>
      </x:c>
      <x:c r="C1132" s="49" t="str">
        <x:v>Hindi Seva Mandal's Shri Sant Gadgebaba College of Engineering &amp; Technology, Bhusawal</x:v>
      </x:c>
      <x:c r="D1132" s="72" t="n">
        <x:v>517029310</x:v>
      </x:c>
      <x:c r="E1132" s="49" t="str">
        <x:v>Electrical Engineering</x:v>
      </x:c>
      <x:c r="F1132" s="73" t="n">
        <x:v>55</x:v>
      </x:c>
      <x:c r="G1132" s="73" t="n">
        <x:v>27</x:v>
      </x:c>
      <x:c r="H1132" s="73"/>
      <x:c r="I1132" s="73" t="n">
        <x:v>28</x:v>
      </x:c>
      <x:c r="J1132" s="73" t="n">
        <x:v>0</x:v>
      </x:c>
      <x:c r="K1132" s="49" t="str">
        <x:v>Un-Aided Linguistic Minority - Hindi</x:v>
      </x:c>
      <x:c r="L1132" s="49" t="str">
        <x:v>MS Seats : 27 + Minority Seats : 28</x:v>
      </x:c>
      <x:c r="M1132" s="49" t="str">
        <x:v>https://dse2025.mahacet.org.in/dse25/admin/allotment/cap2/5170_4.pdf</x:v>
      </x:c>
    </x:row>
    <x:row r="1133">
      <x:c r="A1133" s="49" t="str">
        <x:v>2025-26</x:v>
      </x:c>
      <x:c r="B1133" s="63" t="n">
        <x:v>5170</x:v>
      </x:c>
      <x:c r="C1133" s="49" t="str">
        <x:v>Hindi Seva Mandal's Shri Sant Gadgebaba College of Engineering &amp; Technology, Bhusawal</x:v>
      </x:c>
      <x:c r="D1133" s="72" t="n">
        <x:v>517037210</x:v>
      </x:c>
      <x:c r="E1133" s="49" t="str">
        <x:v>Electronics and Telecommunication Engg</x:v>
      </x:c>
      <x:c r="F1133" s="73" t="n">
        <x:v>18</x:v>
      </x:c>
      <x:c r="G1133" s="73" t="n">
        <x:v>8</x:v>
      </x:c>
      <x:c r="H1133" s="73"/>
      <x:c r="I1133" s="73" t="n">
        <x:v>10</x:v>
      </x:c>
      <x:c r="J1133" s="73" t="n">
        <x:v>0</x:v>
      </x:c>
      <x:c r="K1133" s="49" t="str">
        <x:v>Un-Aided Linguistic Minority - Hindi</x:v>
      </x:c>
      <x:c r="L1133" s="49" t="str">
        <x:v>MS Seats : 8 + Minority Seats : 10</x:v>
      </x:c>
      <x:c r="M1133" s="49" t="str">
        <x:v>https://dse2025.mahacet.org.in/dse25/admin/allotment/cap2/5170_4.pdf</x:v>
      </x:c>
    </x:row>
    <x:row r="1134">
      <x:c r="A1134" s="49" t="str">
        <x:v>2025-26</x:v>
      </x:c>
      <x:c r="B1134" s="63" t="n">
        <x:v>5170</x:v>
      </x:c>
      <x:c r="C1134" s="49" t="str">
        <x:v>Hindi Seva Mandal's Shri Sant Gadgebaba College of Engineering &amp; Technology, Bhusawal</x:v>
      </x:c>
      <x:c r="D1134" s="72" t="n">
        <x:v>517061210</x:v>
      </x:c>
      <x:c r="E1134" s="49" t="str">
        <x:v>Mechanical Engineering</x:v>
      </x:c>
      <x:c r="F1134" s="73" t="n">
        <x:v>29</x:v>
      </x:c>
      <x:c r="G1134" s="73" t="n">
        <x:v>14</x:v>
      </x:c>
      <x:c r="H1134" s="73"/>
      <x:c r="I1134" s="73" t="n">
        <x:v>15</x:v>
      </x:c>
      <x:c r="J1134" s="73" t="n">
        <x:v>0</x:v>
      </x:c>
      <x:c r="K1134" s="49" t="str">
        <x:v>Un-Aided Linguistic Minority - Hindi</x:v>
      </x:c>
      <x:c r="L1134" s="49" t="str">
        <x:v>MS Seats : 14 + Minority Seats : 15</x:v>
      </x:c>
      <x:c r="M1134" s="49" t="str">
        <x:v>https://dse2025.mahacet.org.in/dse25/admin/allotment/cap2/5170_4.pdf</x:v>
      </x:c>
    </x:row>
    <x:row r="1135">
      <x:c r="A1135" s="49" t="str">
        <x:v>2025-26</x:v>
      </x:c>
      <x:c r="B1135" s="63" t="n">
        <x:v>5170</x:v>
      </x:c>
      <x:c r="C1135" s="49" t="str">
        <x:v>Hindi Seva Mandal's Shri Sant Gadgebaba College of Engineering &amp; Technology, Bhusawal</x:v>
      </x:c>
      <x:c r="D1135" s="72" t="n">
        <x:v>517084410</x:v>
      </x:c>
      <x:c r="E1135" s="49" t="str">
        <x:v>Electronics and Computer Engineering</x:v>
      </x:c>
      <x:c r="F1135" s="73" t="n">
        <x:v>28</x:v>
      </x:c>
      <x:c r="G1135" s="73" t="n">
        <x:v>13</x:v>
      </x:c>
      <x:c r="H1135" s="73"/>
      <x:c r="I1135" s="73" t="n">
        <x:v>15</x:v>
      </x:c>
      <x:c r="J1135" s="73" t="n">
        <x:v>0</x:v>
      </x:c>
      <x:c r="K1135" s="49" t="str">
        <x:v>Un-Aided Linguistic Minority - Hindi</x:v>
      </x:c>
      <x:c r="L1135" s="49" t="str">
        <x:v>MS Seats : 13 + Minority Seats : 15</x:v>
      </x:c>
      <x:c r="M1135" s="49" t="str">
        <x:v>https://dse2025.mahacet.org.in/dse25/admin/allotment/cap2/5170_4.pdf</x:v>
      </x:c>
    </x:row>
    <x:row r="1136">
      <x:c r="A1136" s="49" t="str">
        <x:v>2025-26</x:v>
      </x:c>
      <x:c r="B1136" s="63" t="n">
        <x:v>5170</x:v>
      </x:c>
      <x:c r="C1136" s="49" t="str">
        <x:v>Hindi Seva Mandal's Shri Sant Gadgebaba College of Engineering &amp; Technology, Bhusawal</x:v>
      </x:c>
      <x:c r="D1136" s="72" t="n">
        <x:v>517091210</x:v>
      </x:c>
      <x:c r="E1136" s="49" t="str">
        <x:v>Computer Science and Engineering(Data Science)</x:v>
      </x:c>
      <x:c r="F1136" s="73" t="n">
        <x:v>25</x:v>
      </x:c>
      <x:c r="G1136" s="73" t="n">
        <x:v>12</x:v>
      </x:c>
      <x:c r="H1136" s="73"/>
      <x:c r="I1136" s="73" t="n">
        <x:v>13</x:v>
      </x:c>
      <x:c r="J1136" s="73" t="n">
        <x:v>0</x:v>
      </x:c>
      <x:c r="K1136" s="49" t="str">
        <x:v>Un-Aided Linguistic Minority - Hindi</x:v>
      </x:c>
      <x:c r="L1136" s="49" t="str">
        <x:v>MS Seats : 12 + Minority Seats : 13</x:v>
      </x:c>
      <x:c r="M1136" s="49" t="str">
        <x:v>https://dse2025.mahacet.org.in/dse25/admin/allotment/cap2/5170_4.pdf</x:v>
      </x:c>
    </x:row>
    <x:row r="1137">
      <x:c r="A1137" s="49" t="str">
        <x:v>2025-26</x:v>
      </x:c>
      <x:c r="B1137" s="63" t="n">
        <x:v>5171</x:v>
      </x:c>
      <x:c r="C1137" s="49" t="str">
        <x:v>Godavari Foundation's Godavari College Of Engineering, Jalgaon</x:v>
      </x:c>
      <x:c r="D1137" s="72" t="n">
        <x:v>517124510</x:v>
      </x:c>
      <x:c r="E1137" s="49" t="str">
        <x:v>Computer Engineering</x:v>
      </x:c>
      <x:c r="F1137" s="73" t="n">
        <x:v>32</x:v>
      </x:c>
      <x:c r="G1137" s="73" t="n">
        <x:v>26</x:v>
      </x:c>
      <x:c r="H1137" s="73" t="n">
        <x:v>6</x:v>
      </x:c>
      <x:c r="I1137" s="73"/>
      <x:c r="J1137" s="73" t="n">
        <x:v>0</x:v>
      </x:c>
      <x:c r="K1137" s="49" t="str">
        <x:v>Un-Aided</x:v>
      </x:c>
      <x:c r="L1137" s="49" t="str">
        <x:v>MS Seats : 26+ EWS : 6</x:v>
      </x:c>
      <x:c r="M1137" s="49" t="str">
        <x:v>https://dse2025.mahacet.org.in/dse25/admin/allotment/cap2/5171_4.pdf</x:v>
      </x:c>
    </x:row>
    <x:row r="1138">
      <x:c r="A1138" s="49" t="str">
        <x:v>2025-26</x:v>
      </x:c>
      <x:c r="B1138" s="63" t="n">
        <x:v>5171</x:v>
      </x:c>
      <x:c r="C1138" s="49" t="str">
        <x:v>Godavari Foundation's Godavari College Of Engineering, Jalgaon</x:v>
      </x:c>
      <x:c r="D1138" s="72" t="n">
        <x:v>517126310</x:v>
      </x:c>
      <x:c r="E1138" s="49" t="str">
        <x:v>Artificial Intelligence (AI) and Data Science</x:v>
      </x:c>
      <x:c r="F1138" s="73" t="n">
        <x:v>18</x:v>
      </x:c>
      <x:c r="G1138" s="73" t="n">
        <x:v>16</x:v>
      </x:c>
      <x:c r="H1138" s="73" t="n">
        <x:v>2</x:v>
      </x:c>
      <x:c r="I1138" s="73"/>
      <x:c r="J1138" s="73" t="n">
        <x:v>0</x:v>
      </x:c>
      <x:c r="K1138" s="49" t="str">
        <x:v>Un-Aided</x:v>
      </x:c>
      <x:c r="L1138" s="49" t="str">
        <x:v>MS Seats : 16+ EWS : 2</x:v>
      </x:c>
      <x:c r="M1138" s="49" t="str">
        <x:v>https://dse2025.mahacet.org.in/dse25/admin/allotment/cap2/5171_4.pdf</x:v>
      </x:c>
    </x:row>
    <x:row r="1139">
      <x:c r="A1139" s="49" t="str">
        <x:v>2025-26</x:v>
      </x:c>
      <x:c r="B1139" s="63" t="n">
        <x:v>5171</x:v>
      </x:c>
      <x:c r="C1139" s="49" t="str">
        <x:v>Godavari Foundation's Godavari College Of Engineering, Jalgaon</x:v>
      </x:c>
      <x:c r="D1139" s="72" t="n">
        <x:v>517129310</x:v>
      </x:c>
      <x:c r="E1139" s="49" t="str">
        <x:v>Electrical Engineering</x:v>
      </x:c>
      <x:c r="F1139" s="73" t="n">
        <x:v>58</x:v>
      </x:c>
      <x:c r="G1139" s="73" t="n">
        <x:v>51</x:v>
      </x:c>
      <x:c r="H1139" s="73" t="n">
        <x:v>7</x:v>
      </x:c>
      <x:c r="I1139" s="73"/>
      <x:c r="J1139" s="73" t="n">
        <x:v>0</x:v>
      </x:c>
      <x:c r="K1139" s="49" t="str">
        <x:v>Un-Aided</x:v>
      </x:c>
      <x:c r="L1139" s="49" t="str">
        <x:v>MS Seats : 51+ EWS : 7</x:v>
      </x:c>
      <x:c r="M1139" s="49" t="str">
        <x:v>https://dse2025.mahacet.org.in/dse25/admin/allotment/cap2/5171_4.pdf</x:v>
      </x:c>
    </x:row>
    <x:row r="1140">
      <x:c r="A1140" s="49" t="str">
        <x:v>2025-26</x:v>
      </x:c>
      <x:c r="B1140" s="63" t="n">
        <x:v>5171</x:v>
      </x:c>
      <x:c r="C1140" s="49" t="str">
        <x:v>Godavari Foundation's Godavari College Of Engineering, Jalgaon</x:v>
      </x:c>
      <x:c r="D1140" s="72" t="n">
        <x:v>517137210</x:v>
      </x:c>
      <x:c r="E1140" s="49" t="str">
        <x:v>Electronics and Telecommunication Engg</x:v>
      </x:c>
      <x:c r="F1140" s="73" t="n">
        <x:v>33</x:v>
      </x:c>
      <x:c r="G1140" s="73" t="n">
        <x:v>26</x:v>
      </x:c>
      <x:c r="H1140" s="73" t="n">
        <x:v>7</x:v>
      </x:c>
      <x:c r="I1140" s="73"/>
      <x:c r="J1140" s="73" t="n">
        <x:v>0</x:v>
      </x:c>
      <x:c r="K1140" s="49" t="str">
        <x:v>Un-Aided</x:v>
      </x:c>
      <x:c r="L1140" s="49" t="str">
        <x:v>MS Seats : 26+ EWS : 7</x:v>
      </x:c>
      <x:c r="M1140" s="49" t="str">
        <x:v>https://dse2025.mahacet.org.in/dse25/admin/allotment/cap2/5171_4.pdf</x:v>
      </x:c>
    </x:row>
    <x:row r="1141">
      <x:c r="A1141" s="49" t="str">
        <x:v>2025-26</x:v>
      </x:c>
      <x:c r="B1141" s="63" t="n">
        <x:v>5171</x:v>
      </x:c>
      <x:c r="C1141" s="49" t="str">
        <x:v>Godavari Foundation's Godavari College Of Engineering, Jalgaon</x:v>
      </x:c>
      <x:c r="D1141" s="72" t="n">
        <x:v>517161210</x:v>
      </x:c>
      <x:c r="E1141" s="49" t="str">
        <x:v>Mechanical Engineering</x:v>
      </x:c>
      <x:c r="F1141" s="73" t="n">
        <x:v>59</x:v>
      </x:c>
      <x:c r="G1141" s="73" t="n">
        <x:v>52</x:v>
      </x:c>
      <x:c r="H1141" s="73" t="n">
        <x:v>7</x:v>
      </x:c>
      <x:c r="I1141" s="73"/>
      <x:c r="J1141" s="73" t="n">
        <x:v>0</x:v>
      </x:c>
      <x:c r="K1141" s="49" t="str">
        <x:v>Un-Aided</x:v>
      </x:c>
      <x:c r="L1141" s="49" t="str">
        <x:v>MS Seats : 52+ EWS : 7</x:v>
      </x:c>
      <x:c r="M1141" s="49" t="str">
        <x:v>https://dse2025.mahacet.org.in/dse25/admin/allotment/cap2/5171_4.pdf</x:v>
      </x:c>
    </x:row>
    <x:row r="1142">
      <x:c r="A1142" s="49" t="str">
        <x:v>2025-26</x:v>
      </x:c>
      <x:c r="B1142" s="63" t="n">
        <x:v>5172</x:v>
      </x:c>
      <x:c r="C1142" s="49" t="str">
        <x:v>R. C. Patel Institute of Technology, Shirpur</x:v>
      </x:c>
      <x:c r="D1142" s="72" t="n">
        <x:v>517219110</x:v>
      </x:c>
      <x:c r="E1142" s="49" t="str">
        <x:v>Civil Engineering</x:v>
      </x:c>
      <x:c r="F1142" s="73" t="n">
        <x:v>20</x:v>
      </x:c>
      <x:c r="G1142" s="73" t="n">
        <x:v>9</x:v>
      </x:c>
      <x:c r="H1142" s="73"/>
      <x:c r="I1142" s="73" t="n">
        <x:v>11</x:v>
      </x:c>
      <x:c r="J1142" s="73" t="n">
        <x:v>0</x:v>
      </x:c>
      <x:c r="K1142" s="49" t="str">
        <x:v>Un-Aided Autonomous Linguistic Minority - Gujarathi</x:v>
      </x:c>
      <x:c r="L1142" s="49" t="str">
        <x:v>MS Seats : 9 + Minority Seats : 11</x:v>
      </x:c>
      <x:c r="M1142" s="49" t="str">
        <x:v>https://dse2025.mahacet.org.in/dse25/admin/allotment/cap2/5172_4.pdf</x:v>
      </x:c>
    </x:row>
    <x:row r="1143">
      <x:c r="A1143" s="49" t="str">
        <x:v>2025-26</x:v>
      </x:c>
      <x:c r="B1143" s="63" t="n">
        <x:v>5172</x:v>
      </x:c>
      <x:c r="C1143" s="49" t="str">
        <x:v>R. C. Patel Institute of Technology, Shirpur</x:v>
      </x:c>
      <x:c r="D1143" s="72" t="n">
        <x:v>517224510</x:v>
      </x:c>
      <x:c r="E1143" s="49" t="str">
        <x:v>Computer Engineering</x:v>
      </x:c>
      <x:c r="F1143" s="73" t="n">
        <x:v>18</x:v>
      </x:c>
      <x:c r="G1143" s="73" t="n">
        <x:v>8</x:v>
      </x:c>
      <x:c r="H1143" s="73"/>
      <x:c r="I1143" s="73" t="n">
        <x:v>10</x:v>
      </x:c>
      <x:c r="J1143" s="73" t="n">
        <x:v>0</x:v>
      </x:c>
      <x:c r="K1143" s="49" t="str">
        <x:v>Un-Aided Autonomous Linguistic Minority - Gujarathi</x:v>
      </x:c>
      <x:c r="L1143" s="49" t="str">
        <x:v>MS Seats : 8 + Minority Seats : 10</x:v>
      </x:c>
      <x:c r="M1143" s="49" t="str">
        <x:v>https://dse2025.mahacet.org.in/dse25/admin/allotment/cap2/5172_4.pdf</x:v>
      </x:c>
    </x:row>
    <x:row r="1144">
      <x:c r="A1144" s="49" t="str">
        <x:v>2025-26</x:v>
      </x:c>
      <x:c r="B1144" s="63" t="n">
        <x:v>5172</x:v>
      </x:c>
      <x:c r="C1144" s="49" t="str">
        <x:v>R. C. Patel Institute of Technology, Shirpur</x:v>
      </x:c>
      <x:c r="D1144" s="72" t="n">
        <x:v>517224610</x:v>
      </x:c>
      <x:c r="E1144" s="49" t="str">
        <x:v>Information Technology</x:v>
      </x:c>
      <x:c r="F1144" s="73" t="n">
        <x:v>14</x:v>
      </x:c>
      <x:c r="G1144" s="73" t="n">
        <x:v>6</x:v>
      </x:c>
      <x:c r="H1144" s="73"/>
      <x:c r="I1144" s="73" t="n">
        <x:v>8</x:v>
      </x:c>
      <x:c r="J1144" s="73" t="n">
        <x:v>0</x:v>
      </x:c>
      <x:c r="K1144" s="49" t="str">
        <x:v>Un-Aided Autonomous Linguistic Minority - Gujarathi</x:v>
      </x:c>
      <x:c r="L1144" s="49" t="str">
        <x:v>MS Seats : 6 + Minority Seats : 8</x:v>
      </x:c>
      <x:c r="M1144" s="49" t="str">
        <x:v>https://dse2025.mahacet.org.in/dse25/admin/allotment/cap2/5172_4.pdf</x:v>
      </x:c>
    </x:row>
    <x:row r="1145">
      <x:c r="A1145" s="49" t="str">
        <x:v>2025-26</x:v>
      </x:c>
      <x:c r="B1145" s="63" t="n">
        <x:v>5172</x:v>
      </x:c>
      <x:c r="C1145" s="49" t="str">
        <x:v>R. C. Patel Institute of Technology, Shirpur</x:v>
      </x:c>
      <x:c r="D1145" s="72" t="n">
        <x:v>517229310</x:v>
      </x:c>
      <x:c r="E1145" s="49" t="str">
        <x:v>Electrical Engineering</x:v>
      </x:c>
      <x:c r="F1145" s="73" t="n">
        <x:v>19</x:v>
      </x:c>
      <x:c r="G1145" s="73" t="n">
        <x:v>9</x:v>
      </x:c>
      <x:c r="H1145" s="73"/>
      <x:c r="I1145" s="73" t="n">
        <x:v>10</x:v>
      </x:c>
      <x:c r="J1145" s="73" t="n">
        <x:v>0</x:v>
      </x:c>
      <x:c r="K1145" s="49" t="str">
        <x:v>Un-Aided Autonomous Linguistic Minority - Gujarathi</x:v>
      </x:c>
      <x:c r="L1145" s="49" t="str">
        <x:v>MS Seats : 9 + Minority Seats : 10</x:v>
      </x:c>
      <x:c r="M1145" s="49" t="str">
        <x:v>https://dse2025.mahacet.org.in/dse25/admin/allotment/cap2/5172_4.pdf</x:v>
      </x:c>
    </x:row>
    <x:row r="1146">
      <x:c r="A1146" s="49" t="str">
        <x:v>2025-26</x:v>
      </x:c>
      <x:c r="B1146" s="63" t="n">
        <x:v>5172</x:v>
      </x:c>
      <x:c r="C1146" s="49" t="str">
        <x:v>R. C. Patel Institute of Technology, Shirpur</x:v>
      </x:c>
      <x:c r="D1146" s="72" t="n">
        <x:v>517237210</x:v>
      </x:c>
      <x:c r="E1146" s="49" t="str">
        <x:v>Electronics and Telecommunication Engg</x:v>
      </x:c>
      <x:c r="F1146" s="73" t="n">
        <x:v>18</x:v>
      </x:c>
      <x:c r="G1146" s="73" t="n">
        <x:v>8</x:v>
      </x:c>
      <x:c r="H1146" s="73"/>
      <x:c r="I1146" s="73" t="n">
        <x:v>10</x:v>
      </x:c>
      <x:c r="J1146" s="73" t="n">
        <x:v>0</x:v>
      </x:c>
      <x:c r="K1146" s="49" t="str">
        <x:v>Un-Aided Autonomous Linguistic Minority - Gujarathi</x:v>
      </x:c>
      <x:c r="L1146" s="49" t="str">
        <x:v>MS Seats : 8 + Minority Seats : 10</x:v>
      </x:c>
      <x:c r="M1146" s="49" t="str">
        <x:v>https://dse2025.mahacet.org.in/dse25/admin/allotment/cap2/5172_4.pdf</x:v>
      </x:c>
    </x:row>
    <x:row r="1147">
      <x:c r="A1147" s="49" t="str">
        <x:v>2025-26</x:v>
      </x:c>
      <x:c r="B1147" s="63" t="n">
        <x:v>5172</x:v>
      </x:c>
      <x:c r="C1147" s="49" t="str">
        <x:v>R. C. Patel Institute of Technology, Shirpur</x:v>
      </x:c>
      <x:c r="D1147" s="72" t="n">
        <x:v>517261210</x:v>
      </x:c>
      <x:c r="E1147" s="49" t="str">
        <x:v>Mechanical Engineering</x:v>
      </x:c>
      <x:c r="F1147" s="73" t="n">
        <x:v>13</x:v>
      </x:c>
      <x:c r="G1147" s="73" t="n">
        <x:v>6</x:v>
      </x:c>
      <x:c r="H1147" s="73"/>
      <x:c r="I1147" s="73" t="n">
        <x:v>7</x:v>
      </x:c>
      <x:c r="J1147" s="73" t="n">
        <x:v>0</x:v>
      </x:c>
      <x:c r="K1147" s="49" t="str">
        <x:v>Un-Aided Autonomous Linguistic Minority - Gujarathi</x:v>
      </x:c>
      <x:c r="L1147" s="49" t="str">
        <x:v>MS Seats : 6 + Minority Seats : 7</x:v>
      </x:c>
      <x:c r="M1147" s="49" t="str">
        <x:v>https://dse2025.mahacet.org.in/dse25/admin/allotment/cap2/5172_4.pdf</x:v>
      </x:c>
    </x:row>
    <x:row r="1148">
      <x:c r="A1148" s="49" t="str">
        <x:v>2025-26</x:v>
      </x:c>
      <x:c r="B1148" s="63" t="n">
        <x:v>5172</x:v>
      </x:c>
      <x:c r="C1148" s="49" t="str">
        <x:v>R. C. Patel Institute of Technology, Shirpur</x:v>
      </x:c>
      <x:c r="D1148" s="72" t="n">
        <x:v>517291210</x:v>
      </x:c>
      <x:c r="E1148" s="49" t="str">
        <x:v>Computer Science and Engineering(Data Science)</x:v>
      </x:c>
      <x:c r="F1148" s="73" t="n">
        <x:v>12</x:v>
      </x:c>
      <x:c r="G1148" s="73" t="n">
        <x:v>5</x:v>
      </x:c>
      <x:c r="H1148" s="73"/>
      <x:c r="I1148" s="73" t="n">
        <x:v>7</x:v>
      </x:c>
      <x:c r="J1148" s="73" t="n">
        <x:v>0</x:v>
      </x:c>
      <x:c r="K1148" s="49" t="str">
        <x:v>Un-Aided Autonomous Linguistic Minority - Gujarathi</x:v>
      </x:c>
      <x:c r="L1148" s="49" t="str">
        <x:v>MS Seats : 5 + Minority Seats : 7</x:v>
      </x:c>
      <x:c r="M1148" s="49" t="str">
        <x:v>https://dse2025.mahacet.org.in/dse25/admin/allotment/cap2/5172_4.pdf</x:v>
      </x:c>
    </x:row>
    <x:row r="1149">
      <x:c r="A1149" s="49" t="str">
        <x:v>2025-26</x:v>
      </x:c>
      <x:c r="B1149" s="63" t="n">
        <x:v>5172</x:v>
      </x:c>
      <x:c r="C1149" s="49" t="str">
        <x:v>R. C. Patel Institute of Technology, Shirpur</x:v>
      </x:c>
      <x:c r="D1149" s="72" t="n">
        <x:v>517292110</x:v>
      </x:c>
      <x:c r="E1149" s="49" t="str">
        <x:v>Artificial Intelligence and Machine Learning</x:v>
      </x:c>
      <x:c r="F1149" s="73" t="n">
        <x:v>6</x:v>
      </x:c>
      <x:c r="G1149" s="73" t="n">
        <x:v>2</x:v>
      </x:c>
      <x:c r="H1149" s="73"/>
      <x:c r="I1149" s="73" t="n">
        <x:v>4</x:v>
      </x:c>
      <x:c r="J1149" s="73" t="n">
        <x:v>0</x:v>
      </x:c>
      <x:c r="K1149" s="49" t="str">
        <x:v>Un-Aided Autonomous Linguistic Minority - Gujarathi</x:v>
      </x:c>
      <x:c r="L1149" s="49" t="str">
        <x:v>MS Seats : 2 + Minority Seats : 4</x:v>
      </x:c>
      <x:c r="M1149" s="49" t="str">
        <x:v>https://dse2025.mahacet.org.in/dse25/admin/allotment/cap2/5172_4.pdf</x:v>
      </x:c>
    </x:row>
    <x:row r="1150">
      <x:c r="A1150" s="49" t="str">
        <x:v>2025-26</x:v>
      </x:c>
      <x:c r="B1150" s="63" t="n">
        <x:v>5172</x:v>
      </x:c>
      <x:c r="C1150" s="49" t="str">
        <x:v>R. C. Patel Institute of Technology, Shirpur</x:v>
      </x:c>
      <x:c r="D1150" s="72" t="n">
        <x:v>517299510</x:v>
      </x:c>
      <x:c r="E1150" s="49" t="str">
        <x:v>Artificial Intelligence and Data Science</x:v>
      </x:c>
      <x:c r="F1150" s="73" t="n">
        <x:v>13</x:v>
      </x:c>
      <x:c r="G1150" s="73" t="n">
        <x:v>6</x:v>
      </x:c>
      <x:c r="H1150" s="73"/>
      <x:c r="I1150" s="73" t="n">
        <x:v>7</x:v>
      </x:c>
      <x:c r="J1150" s="73" t="n">
        <x:v>0</x:v>
      </x:c>
      <x:c r="K1150" s="49" t="str">
        <x:v>Un-Aided Autonomous Linguistic Minority - Gujarathi</x:v>
      </x:c>
      <x:c r="L1150" s="49" t="str">
        <x:v>MS Seats : 6 + Minority Seats : 7</x:v>
      </x:c>
      <x:c r="M1150" s="49" t="str">
        <x:v>https://dse2025.mahacet.org.in/dse25/admin/allotment/cap2/5172_4.pdf</x:v>
      </x:c>
    </x:row>
    <x:row r="1151">
      <x:c r="A1151" s="49" t="str">
        <x:v>2025-26</x:v>
      </x:c>
      <x:c r="B1151" s="63" t="n">
        <x:v>5173</x:v>
      </x:c>
      <x:c r="C1151" s="49" t="str">
        <x:v>SNJB's Late Sau. Kantabai Bhavarlalji Jain College of Engineering, (Jain Gurukul), Neminagar,Chandwad,(Nashik)</x:v>
      </x:c>
      <x:c r="D1151" s="72" t="n">
        <x:v>517319110</x:v>
      </x:c>
      <x:c r="E1151" s="49" t="str">
        <x:v>Civil Engineering</x:v>
      </x:c>
      <x:c r="F1151" s="73" t="n">
        <x:v>17</x:v>
      </x:c>
      <x:c r="G1151" s="73" t="n">
        <x:v>8</x:v>
      </x:c>
      <x:c r="H1151" s="73"/>
      <x:c r="I1151" s="73" t="n">
        <x:v>9</x:v>
      </x:c>
      <x:c r="J1151" s="73" t="n">
        <x:v>0</x:v>
      </x:c>
      <x:c r="K1151" s="49" t="str">
        <x:v>Un-Aided Autonomous Religious Minority - Jain</x:v>
      </x:c>
      <x:c r="L1151" s="49" t="str">
        <x:v>MS Seats : 8 + Minority Seats : 9</x:v>
      </x:c>
      <x:c r="M1151" s="49" t="str">
        <x:v>https://dse2025.mahacet.org.in/dse25/admin/allotment/cap2/5173_4.pdf</x:v>
      </x:c>
    </x:row>
    <x:row r="1152">
      <x:c r="A1152" s="49" t="str">
        <x:v>2025-26</x:v>
      </x:c>
      <x:c r="B1152" s="63" t="n">
        <x:v>5173</x:v>
      </x:c>
      <x:c r="C1152" s="49" t="str">
        <x:v>SNJB's Late Sau. Kantabai Bhavarlalji Jain College of Engineering, (Jain Gurukul), Neminagar,Chandwad,(Nashik)</x:v>
      </x:c>
      <x:c r="D1152" s="72" t="n">
        <x:v>517324510</x:v>
      </x:c>
      <x:c r="E1152" s="49" t="str">
        <x:v>Computer Engineering</x:v>
      </x:c>
      <x:c r="F1152" s="73" t="n">
        <x:v>16</x:v>
      </x:c>
      <x:c r="G1152" s="73" t="n">
        <x:v>7</x:v>
      </x:c>
      <x:c r="H1152" s="73"/>
      <x:c r="I1152" s="73" t="n">
        <x:v>9</x:v>
      </x:c>
      <x:c r="J1152" s="73" t="n">
        <x:v>0</x:v>
      </x:c>
      <x:c r="K1152" s="49" t="str">
        <x:v>Un-Aided Autonomous Religious Minority - Jain</x:v>
      </x:c>
      <x:c r="L1152" s="49" t="str">
        <x:v>MS Seats : 7 + Minority Seats : 9</x:v>
      </x:c>
      <x:c r="M1152" s="49" t="str">
        <x:v>https://dse2025.mahacet.org.in/dse25/admin/allotment/cap2/5173_4.pdf</x:v>
      </x:c>
    </x:row>
    <x:row r="1153">
      <x:c r="A1153" s="49" t="str">
        <x:v>2025-26</x:v>
      </x:c>
      <x:c r="B1153" s="63" t="n">
        <x:v>5173</x:v>
      </x:c>
      <x:c r="C1153" s="49" t="str">
        <x:v>SNJB's Late Sau. Kantabai Bhavarlalji Jain College of Engineering, (Jain Gurukul), Neminagar,Chandwad,(Nashik)</x:v>
      </x:c>
      <x:c r="D1153" s="72" t="n">
        <x:v>517337210</x:v>
      </x:c>
      <x:c r="E1153" s="49" t="str">
        <x:v>Electronics and Telecommunication Engg</x:v>
      </x:c>
      <x:c r="F1153" s="73" t="n">
        <x:v>6</x:v>
      </x:c>
      <x:c r="G1153" s="73" t="n">
        <x:v>2</x:v>
      </x:c>
      <x:c r="H1153" s="73"/>
      <x:c r="I1153" s="73" t="n">
        <x:v>4</x:v>
      </x:c>
      <x:c r="J1153" s="73" t="n">
        <x:v>0</x:v>
      </x:c>
      <x:c r="K1153" s="49" t="str">
        <x:v>Un-Aided Autonomous Religious Minority - Jain</x:v>
      </x:c>
      <x:c r="L1153" s="49" t="str">
        <x:v>MS Seats : 2 + Minority Seats : 4</x:v>
      </x:c>
      <x:c r="M1153" s="49" t="str">
        <x:v>https://dse2025.mahacet.org.in/dse25/admin/allotment/cap2/5173_4.pdf</x:v>
      </x:c>
    </x:row>
    <x:row r="1154">
      <x:c r="A1154" s="49" t="str">
        <x:v>2025-26</x:v>
      </x:c>
      <x:c r="B1154" s="63" t="n">
        <x:v>5173</x:v>
      </x:c>
      <x:c r="C1154" s="49" t="str">
        <x:v>SNJB's Late Sau. Kantabai Bhavarlalji Jain College of Engineering, (Jain Gurukul), Neminagar,Chandwad,(Nashik)</x:v>
      </x:c>
      <x:c r="D1154" s="72" t="n">
        <x:v>517361210</x:v>
      </x:c>
      <x:c r="E1154" s="49" t="str">
        <x:v>Mechanical Engineering</x:v>
      </x:c>
      <x:c r="F1154" s="73" t="n">
        <x:v>10</x:v>
      </x:c>
      <x:c r="G1154" s="73" t="n">
        <x:v>4</x:v>
      </x:c>
      <x:c r="H1154" s="73"/>
      <x:c r="I1154" s="73" t="n">
        <x:v>6</x:v>
      </x:c>
      <x:c r="J1154" s="73" t="n">
        <x:v>0</x:v>
      </x:c>
      <x:c r="K1154" s="49" t="str">
        <x:v>Un-Aided Autonomous Religious Minority - Jain</x:v>
      </x:c>
      <x:c r="L1154" s="49" t="str">
        <x:v>MS Seats : 4 + Minority Seats : 6</x:v>
      </x:c>
      <x:c r="M1154" s="49" t="str">
        <x:v>https://dse2025.mahacet.org.in/dse25/admin/allotment/cap2/5173_4.pdf</x:v>
      </x:c>
    </x:row>
    <x:row r="1155">
      <x:c r="A1155" s="49" t="str">
        <x:v>2025-26</x:v>
      </x:c>
      <x:c r="B1155" s="63" t="n">
        <x:v>5173</x:v>
      </x:c>
      <x:c r="C1155" s="49" t="str">
        <x:v>SNJB's Late Sau. Kantabai Bhavarlalji Jain College of Engineering, (Jain Gurukul), Neminagar,Chandwad,(Nashik)</x:v>
      </x:c>
      <x:c r="D1155" s="72" t="n">
        <x:v>517399510</x:v>
      </x:c>
      <x:c r="E1155" s="49" t="str">
        <x:v>Artificial Intelligence and Data Science</x:v>
      </x:c>
      <x:c r="F1155" s="73" t="n">
        <x:v>6</x:v>
      </x:c>
      <x:c r="G1155" s="73" t="n">
        <x:v>2</x:v>
      </x:c>
      <x:c r="H1155" s="73"/>
      <x:c r="I1155" s="73" t="n">
        <x:v>4</x:v>
      </x:c>
      <x:c r="J1155" s="73" t="n">
        <x:v>0</x:v>
      </x:c>
      <x:c r="K1155" s="49" t="str">
        <x:v>Un-Aided Autonomous Religious Minority - Jain</x:v>
      </x:c>
      <x:c r="L1155" s="49" t="str">
        <x:v>MS Seats : 2 + Minority Seats : 4</x:v>
      </x:c>
      <x:c r="M1155" s="49" t="str">
        <x:v>https://dse2025.mahacet.org.in/dse25/admin/allotment/cap2/5173_4.pdf</x:v>
      </x:c>
    </x:row>
    <x:row r="1156">
      <x:c r="A1156" s="49" t="str">
        <x:v>2025-26</x:v>
      </x:c>
      <x:c r="B1156" s="63" t="n">
        <x:v>5177</x:v>
      </x:c>
      <x:c r="C1156" s="49" t="str">
        <x:v>Matoshri College of Engineering and Research Centre, Eklahare, Nashik</x:v>
      </x:c>
      <x:c r="D1156" s="72" t="n">
        <x:v>517719110</x:v>
      </x:c>
      <x:c r="E1156" s="49" t="str">
        <x:v>Civil Engineering</x:v>
      </x:c>
      <x:c r="F1156" s="73" t="n">
        <x:v>28</x:v>
      </x:c>
      <x:c r="G1156" s="73" t="n">
        <x:v>24</x:v>
      </x:c>
      <x:c r="H1156" s="73" t="n">
        <x:v>4</x:v>
      </x:c>
      <x:c r="I1156" s="73"/>
      <x:c r="J1156" s="73" t="n">
        <x:v>0</x:v>
      </x:c>
      <x:c r="K1156" s="49" t="str">
        <x:v>Un-Aided Autonomous</x:v>
      </x:c>
      <x:c r="L1156" s="49" t="str">
        <x:v>MS Seats : 24+ EWS : 4</x:v>
      </x:c>
      <x:c r="M1156" s="49" t="str">
        <x:v>https://dse2025.mahacet.org.in/dse25/admin/allotment/cap2/5177_4.pdf</x:v>
      </x:c>
    </x:row>
    <x:row r="1157">
      <x:c r="A1157" s="49" t="str">
        <x:v>2025-26</x:v>
      </x:c>
      <x:c r="B1157" s="63" t="n">
        <x:v>5177</x:v>
      </x:c>
      <x:c r="C1157" s="49" t="str">
        <x:v>Matoshri College of Engineering and Research Centre, Eklahare, Nashik</x:v>
      </x:c>
      <x:c r="D1157" s="72" t="n">
        <x:v>517724510</x:v>
      </x:c>
      <x:c r="E1157" s="49" t="str">
        <x:v>Computer Engineering</x:v>
      </x:c>
      <x:c r="F1157" s="73" t="n">
        <x:v>22</x:v>
      </x:c>
      <x:c r="G1157" s="73" t="n">
        <x:v>15</x:v>
      </x:c>
      <x:c r="H1157" s="73" t="n">
        <x:v>7</x:v>
      </x:c>
      <x:c r="I1157" s="73"/>
      <x:c r="J1157" s="73" t="n">
        <x:v>0</x:v>
      </x:c>
      <x:c r="K1157" s="49" t="str">
        <x:v>Un-Aided Autonomous</x:v>
      </x:c>
      <x:c r="L1157" s="49" t="str">
        <x:v>MS Seats : 15+ EWS : 7</x:v>
      </x:c>
      <x:c r="M1157" s="49" t="str">
        <x:v>https://dse2025.mahacet.org.in/dse25/admin/allotment/cap2/5177_4.pdf</x:v>
      </x:c>
    </x:row>
    <x:row r="1158">
      <x:c r="A1158" s="49" t="str">
        <x:v>2025-26</x:v>
      </x:c>
      <x:c r="B1158" s="63" t="n">
        <x:v>5177</x:v>
      </x:c>
      <x:c r="C1158" s="49" t="str">
        <x:v>Matoshri College of Engineering and Research Centre, Eklahare, Nashik</x:v>
      </x:c>
      <x:c r="D1158" s="72" t="n">
        <x:v>517724610</x:v>
      </x:c>
      <x:c r="E1158" s="49" t="str">
        <x:v>Information Technology</x:v>
      </x:c>
      <x:c r="F1158" s="73" t="n">
        <x:v>13</x:v>
      </x:c>
      <x:c r="G1158" s="73" t="n">
        <x:v>10</x:v>
      </x:c>
      <x:c r="H1158" s="73" t="n">
        <x:v>3</x:v>
      </x:c>
      <x:c r="I1158" s="73"/>
      <x:c r="J1158" s="73" t="n">
        <x:v>0</x:v>
      </x:c>
      <x:c r="K1158" s="49" t="str">
        <x:v>Un-Aided Autonomous</x:v>
      </x:c>
      <x:c r="L1158" s="49" t="str">
        <x:v>MS Seats : 10+ EWS : 3</x:v>
      </x:c>
      <x:c r="M1158" s="49" t="str">
        <x:v>https://dse2025.mahacet.org.in/dse25/admin/allotment/cap2/5177_4.pdf</x:v>
      </x:c>
    </x:row>
    <x:row r="1159">
      <x:c r="A1159" s="49" t="str">
        <x:v>2025-26</x:v>
      </x:c>
      <x:c r="B1159" s="63" t="n">
        <x:v>5177</x:v>
      </x:c>
      <x:c r="C1159" s="49" t="str">
        <x:v>Matoshri College of Engineering and Research Centre, Eklahare, Nashik</x:v>
      </x:c>
      <x:c r="D1159" s="72" t="n">
        <x:v>517729310</x:v>
      </x:c>
      <x:c r="E1159" s="49" t="str">
        <x:v>Electrical Engineering</x:v>
      </x:c>
      <x:c r="F1159" s="73" t="n">
        <x:v>25</x:v>
      </x:c>
      <x:c r="G1159" s="73" t="n">
        <x:v>19</x:v>
      </x:c>
      <x:c r="H1159" s="73" t="n">
        <x:v>6</x:v>
      </x:c>
      <x:c r="I1159" s="73"/>
      <x:c r="J1159" s="73" t="n">
        <x:v>0</x:v>
      </x:c>
      <x:c r="K1159" s="49" t="str">
        <x:v>Un-Aided Autonomous</x:v>
      </x:c>
      <x:c r="L1159" s="49" t="str">
        <x:v>MS Seats : 19+ EWS : 6</x:v>
      </x:c>
      <x:c r="M1159" s="49" t="str">
        <x:v>https://dse2025.mahacet.org.in/dse25/admin/allotment/cap2/5177_4.pdf</x:v>
      </x:c>
    </x:row>
    <x:row r="1160">
      <x:c r="A1160" s="49" t="str">
        <x:v>2025-26</x:v>
      </x:c>
      <x:c r="B1160" s="63" t="n">
        <x:v>5177</x:v>
      </x:c>
      <x:c r="C1160" s="49" t="str">
        <x:v>Matoshri College of Engineering and Research Centre, Eklahare, Nashik</x:v>
      </x:c>
      <x:c r="D1160" s="72" t="n">
        <x:v>517737210</x:v>
      </x:c>
      <x:c r="E1160" s="49" t="str">
        <x:v>Electronics and Telecommunication Engg</x:v>
      </x:c>
      <x:c r="F1160" s="73" t="n">
        <x:v>21</x:v>
      </x:c>
      <x:c r="G1160" s="73" t="n">
        <x:v>14</x:v>
      </x:c>
      <x:c r="H1160" s="73" t="n">
        <x:v>7</x:v>
      </x:c>
      <x:c r="I1160" s="73"/>
      <x:c r="J1160" s="73" t="n">
        <x:v>0</x:v>
      </x:c>
      <x:c r="K1160" s="49" t="str">
        <x:v>Un-Aided Autonomous</x:v>
      </x:c>
      <x:c r="L1160" s="49" t="str">
        <x:v>MS Seats : 14+ EWS : 7</x:v>
      </x:c>
      <x:c r="M1160" s="49" t="str">
        <x:v>https://dse2025.mahacet.org.in/dse25/admin/allotment/cap2/5177_4.pdf</x:v>
      </x:c>
    </x:row>
    <x:row r="1161">
      <x:c r="A1161" s="49" t="str">
        <x:v>2025-26</x:v>
      </x:c>
      <x:c r="B1161" s="63" t="n">
        <x:v>5177</x:v>
      </x:c>
      <x:c r="C1161" s="49" t="str">
        <x:v>Matoshri College of Engineering and Research Centre, Eklahare, Nashik</x:v>
      </x:c>
      <x:c r="D1161" s="72" t="n">
        <x:v>517761210</x:v>
      </x:c>
      <x:c r="E1161" s="49" t="str">
        <x:v>Mechanical Engineering</x:v>
      </x:c>
      <x:c r="F1161" s="73" t="n">
        <x:v>16</x:v>
      </x:c>
      <x:c r="G1161" s="73" t="n">
        <x:v>9</x:v>
      </x:c>
      <x:c r="H1161" s="73" t="n">
        <x:v>7</x:v>
      </x:c>
      <x:c r="I1161" s="73"/>
      <x:c r="J1161" s="73" t="n">
        <x:v>0</x:v>
      </x:c>
      <x:c r="K1161" s="49" t="str">
        <x:v>Un-Aided Autonomous</x:v>
      </x:c>
      <x:c r="L1161" s="49" t="str">
        <x:v>MS Seats : 9+ EWS : 7</x:v>
      </x:c>
      <x:c r="M1161" s="49" t="str">
        <x:v>https://dse2025.mahacet.org.in/dse25/admin/allotment/cap2/5177_4.pdf</x:v>
      </x:c>
    </x:row>
    <x:row r="1162">
      <x:c r="A1162" s="49" t="str">
        <x:v>2025-26</x:v>
      </x:c>
      <x:c r="B1162" s="63" t="n">
        <x:v>5177</x:v>
      </x:c>
      <x:c r="C1162" s="49" t="str">
        <x:v>Matoshri College of Engineering and Research Centre, Eklahare, Nashik</x:v>
      </x:c>
      <x:c r="D1162" s="72" t="n">
        <x:v>517784410</x:v>
      </x:c>
      <x:c r="E1162" s="49" t="str">
        <x:v>Electronics and Computer Engineering</x:v>
      </x:c>
      <x:c r="F1162" s="73" t="n">
        <x:v>14</x:v>
      </x:c>
      <x:c r="G1162" s="73" t="n">
        <x:v>9</x:v>
      </x:c>
      <x:c r="H1162" s="73" t="n">
        <x:v>5</x:v>
      </x:c>
      <x:c r="I1162" s="73"/>
      <x:c r="J1162" s="73" t="n">
        <x:v>0</x:v>
      </x:c>
      <x:c r="K1162" s="49" t="str">
        <x:v>Un-Aided Autonomous</x:v>
      </x:c>
      <x:c r="L1162" s="49" t="str">
        <x:v>MS Seats : 9+ EWS : 5</x:v>
      </x:c>
      <x:c r="M1162" s="49" t="str">
        <x:v>https://dse2025.mahacet.org.in/dse25/admin/allotment/cap2/5177_4.pdf</x:v>
      </x:c>
    </x:row>
    <x:row r="1163">
      <x:c r="A1163" s="49" t="str">
        <x:v>2025-26</x:v>
      </x:c>
      <x:c r="B1163" s="63" t="n">
        <x:v>5177</x:v>
      </x:c>
      <x:c r="C1163" s="49" t="str">
        <x:v>Matoshri College of Engineering and Research Centre, Eklahare, Nashik</x:v>
      </x:c>
      <x:c r="D1163" s="72" t="n">
        <x:v>517799510</x:v>
      </x:c>
      <x:c r="E1163" s="49" t="str">
        <x:v>Artificial Intelligence and Data Science</x:v>
      </x:c>
      <x:c r="F1163" s="73" t="n">
        <x:v>27</x:v>
      </x:c>
      <x:c r="G1163" s="73" t="n">
        <x:v>15</x:v>
      </x:c>
      <x:c r="H1163" s="73" t="n">
        <x:v>12</x:v>
      </x:c>
      <x:c r="I1163" s="73"/>
      <x:c r="J1163" s="73" t="n">
        <x:v>0</x:v>
      </x:c>
      <x:c r="K1163" s="49" t="str">
        <x:v>Un-Aided Autonomous</x:v>
      </x:c>
      <x:c r="L1163" s="49" t="str">
        <x:v>MS Seats : 15+ EWS : 12</x:v>
      </x:c>
      <x:c r="M1163" s="49" t="str">
        <x:v>https://dse2025.mahacet.org.in/dse25/admin/allotment/cap2/5177_4.pdf</x:v>
      </x:c>
    </x:row>
    <x:row r="1164">
      <x:c r="A1164" s="49" t="str">
        <x:v>2025-26</x:v>
      </x:c>
      <x:c r="B1164" s="63" t="n">
        <x:v>5179</x:v>
      </x:c>
      <x:c r="C1164" s="49" t="str">
        <x:v>Vishwabharati Academy's College of Engineering, Ahmednagar</x:v>
      </x:c>
      <x:c r="D1164" s="72" t="n">
        <x:v>517919110</x:v>
      </x:c>
      <x:c r="E1164" s="49" t="str">
        <x:v>Civil Engineering</x:v>
      </x:c>
      <x:c r="F1164" s="73" t="n">
        <x:v>69</x:v>
      </x:c>
      <x:c r="G1164" s="73" t="n">
        <x:v>62</x:v>
      </x:c>
      <x:c r="H1164" s="73" t="n">
        <x:v>7</x:v>
      </x:c>
      <x:c r="I1164" s="73"/>
      <x:c r="J1164" s="73" t="n">
        <x:v>0</x:v>
      </x:c>
      <x:c r="K1164" s="49" t="str">
        <x:v>Un-Aided</x:v>
      </x:c>
      <x:c r="L1164" s="49" t="str">
        <x:v>MS Seats : 62+ EWS : 7</x:v>
      </x:c>
      <x:c r="M1164" s="49" t="str">
        <x:v>https://dse2025.mahacet.org.in/dse25/admin/allotment/cap2/5179_4.pdf</x:v>
      </x:c>
    </x:row>
    <x:row r="1165">
      <x:c r="A1165" s="49" t="str">
        <x:v>2025-26</x:v>
      </x:c>
      <x:c r="B1165" s="63" t="n">
        <x:v>5179</x:v>
      </x:c>
      <x:c r="C1165" s="49" t="str">
        <x:v>Vishwabharati Academy's College of Engineering, Ahmednagar</x:v>
      </x:c>
      <x:c r="D1165" s="72" t="n">
        <x:v>517924510</x:v>
      </x:c>
      <x:c r="E1165" s="49" t="str">
        <x:v>Computer Engineering</x:v>
      </x:c>
      <x:c r="F1165" s="73" t="n">
        <x:v>41</x:v>
      </x:c>
      <x:c r="G1165" s="73" t="n">
        <x:v>34</x:v>
      </x:c>
      <x:c r="H1165" s="73" t="n">
        <x:v>7</x:v>
      </x:c>
      <x:c r="I1165" s="73"/>
      <x:c r="J1165" s="73" t="n">
        <x:v>0</x:v>
      </x:c>
      <x:c r="K1165" s="49" t="str">
        <x:v>Un-Aided</x:v>
      </x:c>
      <x:c r="L1165" s="49" t="str">
        <x:v>MS Seats : 34+ EWS : 7</x:v>
      </x:c>
      <x:c r="M1165" s="49" t="str">
        <x:v>https://dse2025.mahacet.org.in/dse25/admin/allotment/cap2/5179_4.pdf</x:v>
      </x:c>
    </x:row>
    <x:row r="1166">
      <x:c r="A1166" s="49" t="str">
        <x:v>2025-26</x:v>
      </x:c>
      <x:c r="B1166" s="63" t="n">
        <x:v>5179</x:v>
      </x:c>
      <x:c r="C1166" s="49" t="str">
        <x:v>Vishwabharati Academy's College of Engineering, Ahmednagar</x:v>
      </x:c>
      <x:c r="D1166" s="72" t="n">
        <x:v>517926310</x:v>
      </x:c>
      <x:c r="E1166" s="49" t="str">
        <x:v>Artificial Intelligence (AI) and Data Science</x:v>
      </x:c>
      <x:c r="F1166" s="73" t="n">
        <x:v>18</x:v>
      </x:c>
      <x:c r="G1166" s="73" t="n">
        <x:v>14</x:v>
      </x:c>
      <x:c r="H1166" s="73" t="n">
        <x:v>4</x:v>
      </x:c>
      <x:c r="I1166" s="73"/>
      <x:c r="J1166" s="73" t="n">
        <x:v>0</x:v>
      </x:c>
      <x:c r="K1166" s="49" t="str">
        <x:v>Un-Aided</x:v>
      </x:c>
      <x:c r="L1166" s="49" t="str">
        <x:v>MS Seats : 14+ EWS : 4</x:v>
      </x:c>
      <x:c r="M1166" s="49" t="str">
        <x:v>https://dse2025.mahacet.org.in/dse25/admin/allotment/cap2/5179_4.pdf</x:v>
      </x:c>
    </x:row>
    <x:row r="1167">
      <x:c r="A1167" s="49" t="str">
        <x:v>2025-26</x:v>
      </x:c>
      <x:c r="B1167" s="63" t="n">
        <x:v>5179</x:v>
      </x:c>
      <x:c r="C1167" s="49" t="str">
        <x:v>Vishwabharati Academy's College of Engineering, Ahmednagar</x:v>
      </x:c>
      <x:c r="D1167" s="72" t="n">
        <x:v>517961210</x:v>
      </x:c>
      <x:c r="E1167" s="49" t="str">
        <x:v>Mechanical Engineering</x:v>
      </x:c>
      <x:c r="F1167" s="73" t="n">
        <x:v>54</x:v>
      </x:c>
      <x:c r="G1167" s="73" t="n">
        <x:v>47</x:v>
      </x:c>
      <x:c r="H1167" s="73" t="n">
        <x:v>7</x:v>
      </x:c>
      <x:c r="I1167" s="73"/>
      <x:c r="J1167" s="73" t="n">
        <x:v>0</x:v>
      </x:c>
      <x:c r="K1167" s="49" t="str">
        <x:v>Un-Aided</x:v>
      </x:c>
      <x:c r="L1167" s="49" t="str">
        <x:v>MS Seats : 47+ EWS : 7</x:v>
      </x:c>
      <x:c r="M1167" s="49" t="str">
        <x:v>https://dse2025.mahacet.org.in/dse25/admin/allotment/cap2/5179_4.pdf</x:v>
      </x:c>
    </x:row>
    <x:row r="1168">
      <x:c r="A1168" s="49" t="str">
        <x:v>2025-26</x:v>
      </x:c>
      <x:c r="B1168" s="63" t="n">
        <x:v>5179</x:v>
      </x:c>
      <x:c r="C1168" s="49" t="str">
        <x:v>Vishwabharati Academy's College of Engineering, Ahmednagar</x:v>
      </x:c>
      <x:c r="D1168" s="72" t="n">
        <x:v>517984410</x:v>
      </x:c>
      <x:c r="E1168" s="49" t="str">
        <x:v>Electronics and Computer Engineering</x:v>
      </x:c>
      <x:c r="F1168" s="73" t="n">
        <x:v>39</x:v>
      </x:c>
      <x:c r="G1168" s="73" t="n">
        <x:v>32</x:v>
      </x:c>
      <x:c r="H1168" s="73" t="n">
        <x:v>7</x:v>
      </x:c>
      <x:c r="I1168" s="73"/>
      <x:c r="J1168" s="73" t="n">
        <x:v>0</x:v>
      </x:c>
      <x:c r="K1168" s="49" t="str">
        <x:v>Un-Aided</x:v>
      </x:c>
      <x:c r="L1168" s="49" t="str">
        <x:v>MS Seats : 32+ EWS : 7</x:v>
      </x:c>
      <x:c r="M1168" s="49" t="str">
        <x:v>https://dse2025.mahacet.org.in/dse25/admin/allotment/cap2/5179_4.pdf</x:v>
      </x:c>
    </x:row>
    <x:row r="1169">
      <x:c r="A1169" s="49" t="str">
        <x:v>2025-26</x:v>
      </x:c>
      <x:c r="B1169" s="63" t="n">
        <x:v>5181</x:v>
      </x:c>
      <x:c r="C1169" s="49" t="str">
        <x:v>Gokhale Education Society's, R.H. Sapat College of Engineering, Management Studies and Research, Nashik</x:v>
      </x:c>
      <x:c r="D1169" s="72" t="n">
        <x:v>518119110</x:v>
      </x:c>
      <x:c r="E1169" s="49" t="str">
        <x:v>Civil Engineering</x:v>
      </x:c>
      <x:c r="F1169" s="73" t="n">
        <x:v>18</x:v>
      </x:c>
      <x:c r="G1169" s="73" t="n">
        <x:v>12</x:v>
      </x:c>
      <x:c r="H1169" s="73" t="n">
        <x:v>6</x:v>
      </x:c>
      <x:c r="I1169" s="73"/>
      <x:c r="J1169" s="73" t="n">
        <x:v>0</x:v>
      </x:c>
      <x:c r="K1169" s="49" t="str">
        <x:v>Un-Aided</x:v>
      </x:c>
      <x:c r="L1169" s="49" t="str">
        <x:v>MS Seats : 12+ EWS : 6</x:v>
      </x:c>
      <x:c r="M1169" s="49" t="str">
        <x:v>https://dse2025.mahacet.org.in/dse25/admin/allotment/cap2/5181_4.pdf</x:v>
      </x:c>
    </x:row>
    <x:row r="1170">
      <x:c r="A1170" s="49" t="str">
        <x:v>2025-26</x:v>
      </x:c>
      <x:c r="B1170" s="63" t="n">
        <x:v>5181</x:v>
      </x:c>
      <x:c r="C1170" s="49" t="str">
        <x:v>Gokhale Education Society's, R.H. Sapat College of Engineering, Management Studies and Research, Nashik</x:v>
      </x:c>
      <x:c r="D1170" s="72" t="n">
        <x:v>518124510</x:v>
      </x:c>
      <x:c r="E1170" s="49" t="str">
        <x:v>Computer Engineering</x:v>
      </x:c>
      <x:c r="F1170" s="73" t="n">
        <x:v>16</x:v>
      </x:c>
      <x:c r="G1170" s="73" t="n">
        <x:v>14</x:v>
      </x:c>
      <x:c r="H1170" s="73" t="n">
        <x:v>2</x:v>
      </x:c>
      <x:c r="I1170" s="73"/>
      <x:c r="J1170" s="73" t="n">
        <x:v>0</x:v>
      </x:c>
      <x:c r="K1170" s="49" t="str">
        <x:v>Un-Aided</x:v>
      </x:c>
      <x:c r="L1170" s="49" t="str">
        <x:v>MS Seats : 14+ EWS : 2</x:v>
      </x:c>
      <x:c r="M1170" s="49" t="str">
        <x:v>https://dse2025.mahacet.org.in/dse25/admin/allotment/cap2/5181_4.pdf</x:v>
      </x:c>
    </x:row>
    <x:row r="1171">
      <x:c r="A1171" s="49" t="str">
        <x:v>2025-26</x:v>
      </x:c>
      <x:c r="B1171" s="63" t="n">
        <x:v>5181</x:v>
      </x:c>
      <x:c r="C1171" s="49" t="str">
        <x:v>Gokhale Education Society's, R.H. Sapat College of Engineering, Management Studies and Research, Nashik</x:v>
      </x:c>
      <x:c r="D1171" s="72" t="n">
        <x:v>518129310</x:v>
      </x:c>
      <x:c r="E1171" s="49" t="str">
        <x:v>Electrical Engineering</x:v>
      </x:c>
      <x:c r="F1171" s="73" t="n">
        <x:v>41</x:v>
      </x:c>
      <x:c r="G1171" s="73" t="n">
        <x:v>27</x:v>
      </x:c>
      <x:c r="H1171" s="73" t="n">
        <x:v>14</x:v>
      </x:c>
      <x:c r="I1171" s="73"/>
      <x:c r="J1171" s="73" t="n">
        <x:v>0</x:v>
      </x:c>
      <x:c r="K1171" s="49" t="str">
        <x:v>Un-Aided</x:v>
      </x:c>
      <x:c r="L1171" s="49" t="str">
        <x:v>MS Seats : 27+ EWS : 14</x:v>
      </x:c>
      <x:c r="M1171" s="49" t="str">
        <x:v>https://dse2025.mahacet.org.in/dse25/admin/allotment/cap2/5181_4.pdf</x:v>
      </x:c>
    </x:row>
    <x:row r="1172">
      <x:c r="A1172" s="49" t="str">
        <x:v>2025-26</x:v>
      </x:c>
      <x:c r="B1172" s="63" t="n">
        <x:v>5181</x:v>
      </x:c>
      <x:c r="C1172" s="49" t="str">
        <x:v>Gokhale Education Society's, R.H. Sapat College of Engineering, Management Studies and Research, Nashik</x:v>
      </x:c>
      <x:c r="D1172" s="72" t="n">
        <x:v>518137210</x:v>
      </x:c>
      <x:c r="E1172" s="49" t="str">
        <x:v>Electronics and Telecommunication Engg</x:v>
      </x:c>
      <x:c r="F1172" s="73" t="n">
        <x:v>10</x:v>
      </x:c>
      <x:c r="G1172" s="73" t="n">
        <x:v>8</x:v>
      </x:c>
      <x:c r="H1172" s="73" t="n">
        <x:v>2</x:v>
      </x:c>
      <x:c r="I1172" s="73"/>
      <x:c r="J1172" s="73" t="n">
        <x:v>0</x:v>
      </x:c>
      <x:c r="K1172" s="49" t="str">
        <x:v>Un-Aided</x:v>
      </x:c>
      <x:c r="L1172" s="49" t="str">
        <x:v>MS Seats : 8+ EWS : 2</x:v>
      </x:c>
      <x:c r="M1172" s="49" t="str">
        <x:v>https://dse2025.mahacet.org.in/dse25/admin/allotment/cap2/5181_4.pdf</x:v>
      </x:c>
    </x:row>
    <x:row r="1173">
      <x:c r="A1173" s="49" t="str">
        <x:v>2025-26</x:v>
      </x:c>
      <x:c r="B1173" s="63" t="n">
        <x:v>5181</x:v>
      </x:c>
      <x:c r="C1173" s="49" t="str">
        <x:v>Gokhale Education Society's, R.H. Sapat College of Engineering, Management Studies and Research, Nashik</x:v>
      </x:c>
      <x:c r="D1173" s="72" t="n">
        <x:v>518161210</x:v>
      </x:c>
      <x:c r="E1173" s="49" t="str">
        <x:v>Mechanical Engineering</x:v>
      </x:c>
      <x:c r="F1173" s="73" t="n">
        <x:v>42</x:v>
      </x:c>
      <x:c r="G1173" s="73" t="n">
        <x:v>29</x:v>
      </x:c>
      <x:c r="H1173" s="73" t="n">
        <x:v>13</x:v>
      </x:c>
      <x:c r="I1173" s="73"/>
      <x:c r="J1173" s="73" t="n">
        <x:v>0</x:v>
      </x:c>
      <x:c r="K1173" s="49" t="str">
        <x:v>Un-Aided</x:v>
      </x:c>
      <x:c r="L1173" s="49" t="str">
        <x:v>MS Seats : 29+ EWS : 13</x:v>
      </x:c>
      <x:c r="M1173" s="49" t="str">
        <x:v>https://dse2025.mahacet.org.in/dse25/admin/allotment/cap2/5181_4.pdf</x:v>
      </x:c>
    </x:row>
    <x:row r="1174">
      <x:c r="A1174" s="49" t="str">
        <x:v>2025-26</x:v>
      </x:c>
      <x:c r="B1174" s="63" t="n">
        <x:v>5181</x:v>
      </x:c>
      <x:c r="C1174" s="49" t="str">
        <x:v>Gokhale Education Society's, R.H. Sapat College of Engineering, Management Studies and Research, Nashik</x:v>
      </x:c>
      <x:c r="D1174" s="72" t="n">
        <x:v>518199510</x:v>
      </x:c>
      <x:c r="E1174" s="49" t="str">
        <x:v>Artificial Intelligence and Data Science</x:v>
      </x:c>
      <x:c r="F1174" s="73" t="n">
        <x:v>9</x:v>
      </x:c>
      <x:c r="G1174" s="73" t="n">
        <x:v>7</x:v>
      </x:c>
      <x:c r="H1174" s="73" t="n">
        <x:v>2</x:v>
      </x:c>
      <x:c r="I1174" s="73"/>
      <x:c r="J1174" s="73" t="n">
        <x:v>0</x:v>
      </x:c>
      <x:c r="K1174" s="49" t="str">
        <x:v>Un-Aided</x:v>
      </x:c>
      <x:c r="L1174" s="49" t="str">
        <x:v>MS Seats : 7+ EWS : 2</x:v>
      </x:c>
      <x:c r="M1174" s="49" t="str">
        <x:v>https://dse2025.mahacet.org.in/dse25/admin/allotment/cap2/5181_4.pdf</x:v>
      </x:c>
    </x:row>
    <x:row r="1175">
      <x:c r="A1175" s="49" t="str">
        <x:v>2025-26</x:v>
      </x:c>
      <x:c r="B1175" s="63" t="n">
        <x:v>5182</x:v>
      </x:c>
      <x:c r="C1175" s="49" t="str">
        <x:v>Kalyani Charitable Trust, Late Gambhirrao Natuba Sapkal College of Engineering, Anjaneri, Trimbakeshwar Road, Nashik</x:v>
      </x:c>
      <x:c r="D1175" s="72" t="n">
        <x:v>518219110</x:v>
      </x:c>
      <x:c r="E1175" s="49" t="str">
        <x:v>Civil Engineering</x:v>
      </x:c>
      <x:c r="F1175" s="73" t="n">
        <x:v>45</x:v>
      </x:c>
      <x:c r="G1175" s="73" t="n">
        <x:v>38</x:v>
      </x:c>
      <x:c r="H1175" s="73" t="n">
        <x:v>7</x:v>
      </x:c>
      <x:c r="I1175" s="73"/>
      <x:c r="J1175" s="73" t="n">
        <x:v>0</x:v>
      </x:c>
      <x:c r="K1175" s="49" t="str">
        <x:v>Un-Aided</x:v>
      </x:c>
      <x:c r="L1175" s="49" t="str">
        <x:v>MS Seats : 38+ EWS : 7</x:v>
      </x:c>
      <x:c r="M1175" s="49" t="str">
        <x:v>https://dse2025.mahacet.org.in/dse25/admin/allotment/cap2/5182_4.pdf</x:v>
      </x:c>
    </x:row>
    <x:row r="1176">
      <x:c r="A1176" s="49" t="str">
        <x:v>2025-26</x:v>
      </x:c>
      <x:c r="B1176" s="63" t="n">
        <x:v>5182</x:v>
      </x:c>
      <x:c r="C1176" s="49" t="str">
        <x:v>Kalyani Charitable Trust, Late Gambhirrao Natuba Sapkal College of Engineering, Anjaneri, Trimbakeshwar Road, Nashik</x:v>
      </x:c>
      <x:c r="D1176" s="72" t="n">
        <x:v>518224510</x:v>
      </x:c>
      <x:c r="E1176" s="49" t="str">
        <x:v>Computer Engineering</x:v>
      </x:c>
      <x:c r="F1176" s="73" t="n">
        <x:v>33</x:v>
      </x:c>
      <x:c r="G1176" s="73" t="n">
        <x:v>25</x:v>
      </x:c>
      <x:c r="H1176" s="73" t="n">
        <x:v>8</x:v>
      </x:c>
      <x:c r="I1176" s="73"/>
      <x:c r="J1176" s="73" t="n">
        <x:v>0</x:v>
      </x:c>
      <x:c r="K1176" s="49" t="str">
        <x:v>Un-Aided</x:v>
      </x:c>
      <x:c r="L1176" s="49" t="str">
        <x:v>MS Seats : 25+ EWS : 8</x:v>
      </x:c>
      <x:c r="M1176" s="49" t="str">
        <x:v>https://dse2025.mahacet.org.in/dse25/admin/allotment/cap2/5182_4.pdf</x:v>
      </x:c>
    </x:row>
    <x:row r="1177">
      <x:c r="A1177" s="49" t="str">
        <x:v>2025-26</x:v>
      </x:c>
      <x:c r="B1177" s="63" t="n">
        <x:v>5182</x:v>
      </x:c>
      <x:c r="C1177" s="49" t="str">
        <x:v>Kalyani Charitable Trust, Late Gambhirrao Natuba Sapkal College of Engineering, Anjaneri, Trimbakeshwar Road, Nashik</x:v>
      </x:c>
      <x:c r="D1177" s="72" t="n">
        <x:v>518226310</x:v>
      </x:c>
      <x:c r="E1177" s="49" t="str">
        <x:v>Artificial Intelligence (AI) and Data Science</x:v>
      </x:c>
      <x:c r="F1177" s="73" t="n">
        <x:v>16</x:v>
      </x:c>
      <x:c r="G1177" s="73" t="n">
        <x:v>12</x:v>
      </x:c>
      <x:c r="H1177" s="73" t="n">
        <x:v>4</x:v>
      </x:c>
      <x:c r="I1177" s="73"/>
      <x:c r="J1177" s="73" t="n">
        <x:v>0</x:v>
      </x:c>
      <x:c r="K1177" s="49" t="str">
        <x:v>Un-Aided</x:v>
      </x:c>
      <x:c r="L1177" s="49" t="str">
        <x:v>MS Seats : 12+ EWS : 4</x:v>
      </x:c>
      <x:c r="M1177" s="49" t="str">
        <x:v>https://dse2025.mahacet.org.in/dse25/admin/allotment/cap2/5182_4.pdf</x:v>
      </x:c>
    </x:row>
    <x:row r="1178">
      <x:c r="A1178" s="49" t="str">
        <x:v>2025-26</x:v>
      </x:c>
      <x:c r="B1178" s="63" t="n">
        <x:v>5182</x:v>
      </x:c>
      <x:c r="C1178" s="49" t="str">
        <x:v>Kalyani Charitable Trust, Late Gambhirrao Natuba Sapkal College of Engineering, Anjaneri, Trimbakeshwar Road, Nashik</x:v>
      </x:c>
      <x:c r="D1178" s="72" t="n">
        <x:v>518229310</x:v>
      </x:c>
      <x:c r="E1178" s="49" t="str">
        <x:v>Electrical Engineering</x:v>
      </x:c>
      <x:c r="F1178" s="73" t="n">
        <x:v>12</x:v>
      </x:c>
      <x:c r="G1178" s="73" t="n">
        <x:v>9</x:v>
      </x:c>
      <x:c r="H1178" s="73" t="n">
        <x:v>3</x:v>
      </x:c>
      <x:c r="I1178" s="73"/>
      <x:c r="J1178" s="73" t="n">
        <x:v>0</x:v>
      </x:c>
      <x:c r="K1178" s="49" t="str">
        <x:v>Un-Aided</x:v>
      </x:c>
      <x:c r="L1178" s="49" t="str">
        <x:v>MS Seats : 9+ EWS : 3</x:v>
      </x:c>
      <x:c r="M1178" s="49" t="str">
        <x:v>https://dse2025.mahacet.org.in/dse25/admin/allotment/cap2/5182_4.pdf</x:v>
      </x:c>
    </x:row>
    <x:row r="1179">
      <x:c r="A1179" s="49" t="str">
        <x:v>2025-26</x:v>
      </x:c>
      <x:c r="B1179" s="63" t="n">
        <x:v>5182</x:v>
      </x:c>
      <x:c r="C1179" s="49" t="str">
        <x:v>Kalyani Charitable Trust, Late Gambhirrao Natuba Sapkal College of Engineering, Anjaneri, Trimbakeshwar Road, Nashik</x:v>
      </x:c>
      <x:c r="D1179" s="72" t="n">
        <x:v>518237210</x:v>
      </x:c>
      <x:c r="E1179" s="49" t="str">
        <x:v>Electronics and Telecommunication Engg</x:v>
      </x:c>
      <x:c r="F1179" s="73" t="n">
        <x:v>20</x:v>
      </x:c>
      <x:c r="G1179" s="73" t="n">
        <x:v>13</x:v>
      </x:c>
      <x:c r="H1179" s="73" t="n">
        <x:v>7</x:v>
      </x:c>
      <x:c r="I1179" s="73"/>
      <x:c r="J1179" s="73" t="n">
        <x:v>0</x:v>
      </x:c>
      <x:c r="K1179" s="49" t="str">
        <x:v>Un-Aided</x:v>
      </x:c>
      <x:c r="L1179" s="49" t="str">
        <x:v>MS Seats : 13+ EWS : 7</x:v>
      </x:c>
      <x:c r="M1179" s="49" t="str">
        <x:v>https://dse2025.mahacet.org.in/dse25/admin/allotment/cap2/5182_4.pdf</x:v>
      </x:c>
    </x:row>
    <x:row r="1180">
      <x:c r="A1180" s="49" t="str">
        <x:v>2025-26</x:v>
      </x:c>
      <x:c r="B1180" s="63" t="n">
        <x:v>5182</x:v>
      </x:c>
      <x:c r="C1180" s="49" t="str">
        <x:v>Kalyani Charitable Trust, Late Gambhirrao Natuba Sapkal College of Engineering, Anjaneri, Trimbakeshwar Road, Nashik</x:v>
      </x:c>
      <x:c r="D1180" s="72" t="n">
        <x:v>518261210</x:v>
      </x:c>
      <x:c r="E1180" s="49" t="str">
        <x:v>Mechanical Engineering</x:v>
      </x:c>
      <x:c r="F1180" s="73" t="n">
        <x:v>26</x:v>
      </x:c>
      <x:c r="G1180" s="73" t="n">
        <x:v>19</x:v>
      </x:c>
      <x:c r="H1180" s="73" t="n">
        <x:v>7</x:v>
      </x:c>
      <x:c r="I1180" s="73"/>
      <x:c r="J1180" s="73" t="n">
        <x:v>0</x:v>
      </x:c>
      <x:c r="K1180" s="49" t="str">
        <x:v>Un-Aided</x:v>
      </x:c>
      <x:c r="L1180" s="49" t="str">
        <x:v>MS Seats : 19+ EWS : 7</x:v>
      </x:c>
      <x:c r="M1180" s="49" t="str">
        <x:v>https://dse2025.mahacet.org.in/dse25/admin/allotment/cap2/5182_4.pdf</x:v>
      </x:c>
    </x:row>
    <x:row r="1181">
      <x:c r="A1181" s="49" t="str">
        <x:v>2025-26</x:v>
      </x:c>
      <x:c r="B1181" s="63" t="n">
        <x:v>5184</x:v>
      </x:c>
      <x:c r="C1181" s="49" t="str">
        <x:v>Amruta Vaishnavi Education &amp; Welfare Trust's Shatabdi Institute of Engineering &amp; Research, Agaskhind Tal. Sinnar</x:v>
      </x:c>
      <x:c r="D1181" s="72" t="n">
        <x:v>518419110</x:v>
      </x:c>
      <x:c r="E1181" s="49" t="str">
        <x:v>Civil Engineering</x:v>
      </x:c>
      <x:c r="F1181" s="73" t="n">
        <x:v>25</x:v>
      </x:c>
      <x:c r="G1181" s="73" t="n">
        <x:v>12</x:v>
      </x:c>
      <x:c r="H1181" s="73"/>
      <x:c r="I1181" s="73" t="n">
        <x:v>13</x:v>
      </x:c>
      <x:c r="J1181" s="73" t="n">
        <x:v>0</x:v>
      </x:c>
      <x:c r="K1181" s="49" t="str">
        <x:v>Un-Aided Religious Minority - Christian</x:v>
      </x:c>
      <x:c r="L1181" s="49" t="str">
        <x:v>MS Seats : 12 + Minority Seats : 13</x:v>
      </x:c>
      <x:c r="M1181" s="49" t="str">
        <x:v>https://dse2025.mahacet.org.in/dse25/admin/allotment/cap2/5184_4.pdf</x:v>
      </x:c>
    </x:row>
    <x:row r="1182">
      <x:c r="A1182" s="49" t="str">
        <x:v>2025-26</x:v>
      </x:c>
      <x:c r="B1182" s="63" t="n">
        <x:v>5184</x:v>
      </x:c>
      <x:c r="C1182" s="49" t="str">
        <x:v>Amruta Vaishnavi Education &amp; Welfare Trust's Shatabdi Institute of Engineering &amp; Research, Agaskhind Tal. Sinnar</x:v>
      </x:c>
      <x:c r="D1182" s="72" t="n">
        <x:v>518424510</x:v>
      </x:c>
      <x:c r="E1182" s="49" t="str">
        <x:v>Computer Engineering</x:v>
      </x:c>
      <x:c r="F1182" s="73" t="n">
        <x:v>13</x:v>
      </x:c>
      <x:c r="G1182" s="73" t="n">
        <x:v>6</x:v>
      </x:c>
      <x:c r="H1182" s="73"/>
      <x:c r="I1182" s="73" t="n">
        <x:v>7</x:v>
      </x:c>
      <x:c r="J1182" s="73" t="n">
        <x:v>0</x:v>
      </x:c>
      <x:c r="K1182" s="49" t="str">
        <x:v>Un-Aided Religious Minority - Christian</x:v>
      </x:c>
      <x:c r="L1182" s="49" t="str">
        <x:v>MS Seats : 6 + Minority Seats : 7</x:v>
      </x:c>
      <x:c r="M1182" s="49" t="str">
        <x:v>https://dse2025.mahacet.org.in/dse25/admin/allotment/cap2/5184_4.pdf</x:v>
      </x:c>
    </x:row>
    <x:row r="1183">
      <x:c r="A1183" s="49" t="str">
        <x:v>2025-26</x:v>
      </x:c>
      <x:c r="B1183" s="63" t="n">
        <x:v>5184</x:v>
      </x:c>
      <x:c r="C1183" s="49" t="str">
        <x:v>Amruta Vaishnavi Education &amp; Welfare Trust's Shatabdi Institute of Engineering &amp; Research, Agaskhind Tal. Sinnar</x:v>
      </x:c>
      <x:c r="D1183" s="72" t="n">
        <x:v>518429310</x:v>
      </x:c>
      <x:c r="E1183" s="49" t="str">
        <x:v>Electrical Engineering</x:v>
      </x:c>
      <x:c r="F1183" s="73" t="n">
        <x:v>21</x:v>
      </x:c>
      <x:c r="G1183" s="73" t="n">
        <x:v>10</x:v>
      </x:c>
      <x:c r="H1183" s="73"/>
      <x:c r="I1183" s="73" t="n">
        <x:v>11</x:v>
      </x:c>
      <x:c r="J1183" s="73" t="n">
        <x:v>0</x:v>
      </x:c>
      <x:c r="K1183" s="49" t="str">
        <x:v>Un-Aided Religious Minority - Christian</x:v>
      </x:c>
      <x:c r="L1183" s="49" t="str">
        <x:v>MS Seats : 10 + Minority Seats : 11</x:v>
      </x:c>
      <x:c r="M1183" s="49" t="str">
        <x:v>https://dse2025.mahacet.org.in/dse25/admin/allotment/cap2/5184_4.pdf</x:v>
      </x:c>
    </x:row>
    <x:row r="1184">
      <x:c r="A1184" s="49" t="str">
        <x:v>2025-26</x:v>
      </x:c>
      <x:c r="B1184" s="63" t="n">
        <x:v>5184</x:v>
      </x:c>
      <x:c r="C1184" s="49" t="str">
        <x:v>Amruta Vaishnavi Education &amp; Welfare Trust's Shatabdi Institute of Engineering &amp; Research, Agaskhind Tal. Sinnar</x:v>
      </x:c>
      <x:c r="D1184" s="72" t="n">
        <x:v>518437210</x:v>
      </x:c>
      <x:c r="E1184" s="49" t="str">
        <x:v>Electronics and Telecommunication Engg</x:v>
      </x:c>
      <x:c r="F1184" s="73" t="n">
        <x:v>20</x:v>
      </x:c>
      <x:c r="G1184" s="73" t="n">
        <x:v>9</x:v>
      </x:c>
      <x:c r="H1184" s="73"/>
      <x:c r="I1184" s="73" t="n">
        <x:v>11</x:v>
      </x:c>
      <x:c r="J1184" s="73" t="n">
        <x:v>0</x:v>
      </x:c>
      <x:c r="K1184" s="49" t="str">
        <x:v>Un-Aided Religious Minority - Christian</x:v>
      </x:c>
      <x:c r="L1184" s="49" t="str">
        <x:v>MS Seats : 9 + Minority Seats : 11</x:v>
      </x:c>
      <x:c r="M1184" s="49" t="str">
        <x:v>https://dse2025.mahacet.org.in/dse25/admin/allotment/cap2/5184_4.pdf</x:v>
      </x:c>
    </x:row>
    <x:row r="1185">
      <x:c r="A1185" s="49" t="str">
        <x:v>2025-26</x:v>
      </x:c>
      <x:c r="B1185" s="63" t="n">
        <x:v>5184</x:v>
      </x:c>
      <x:c r="C1185" s="49" t="str">
        <x:v>Amruta Vaishnavi Education &amp; Welfare Trust's Shatabdi Institute of Engineering &amp; Research, Agaskhind Tal. Sinnar</x:v>
      </x:c>
      <x:c r="D1185" s="72" t="n">
        <x:v>518461210</x:v>
      </x:c>
      <x:c r="E1185" s="49" t="str">
        <x:v>Mechanical Engineering</x:v>
      </x:c>
      <x:c r="F1185" s="73" t="n">
        <x:v>22</x:v>
      </x:c>
      <x:c r="G1185" s="73" t="n">
        <x:v>10</x:v>
      </x:c>
      <x:c r="H1185" s="73"/>
      <x:c r="I1185" s="73" t="n">
        <x:v>12</x:v>
      </x:c>
      <x:c r="J1185" s="73" t="n">
        <x:v>0</x:v>
      </x:c>
      <x:c r="K1185" s="49" t="str">
        <x:v>Un-Aided Religious Minority - Christian</x:v>
      </x:c>
      <x:c r="L1185" s="49" t="str">
        <x:v>MS Seats : 10 + Minority Seats : 12</x:v>
      </x:c>
      <x:c r="M1185" s="49" t="str">
        <x:v>https://dse2025.mahacet.org.in/dse25/admin/allotment/cap2/5184_4.pdf</x:v>
      </x:c>
    </x:row>
    <x:row r="1186">
      <x:c r="A1186" s="49" t="str">
        <x:v>2025-26</x:v>
      </x:c>
      <x:c r="B1186" s="63" t="n">
        <x:v>5244</x:v>
      </x:c>
      <x:c r="C1186" s="49" t="str">
        <x:v>MET's Institute of Technology Polytechnic, Bhujbal Knowledge City, Adgaon Nashik</x:v>
      </x:c>
      <x:c r="D1186" s="72" t="n">
        <x:v>524425710</x:v>
      </x:c>
      <x:c r="E1186" s="49" t="str">
        <x:v>Computer Science and Design</x:v>
      </x:c>
      <x:c r="F1186" s="73" t="n">
        <x:v>9</x:v>
      </x:c>
      <x:c r="G1186" s="73" t="n">
        <x:v>7</x:v>
      </x:c>
      <x:c r="H1186" s="73" t="n">
        <x:v>2</x:v>
      </x:c>
      <x:c r="I1186" s="73"/>
      <x:c r="J1186" s="73" t="n">
        <x:v>0</x:v>
      </x:c>
      <x:c r="K1186" s="49" t="str">
        <x:v>Un-Aided</x:v>
      </x:c>
      <x:c r="L1186" s="49" t="str">
        <x:v>MS Seats : 7+ EWS : 2</x:v>
      </x:c>
      <x:c r="M1186" s="49" t="str">
        <x:v>https://dse2025.mahacet.org.in/dse25/admin/allotment/cap2/5244_4.pdf</x:v>
      </x:c>
    </x:row>
    <x:row r="1187">
      <x:c r="A1187" s="49" t="str">
        <x:v>2025-26</x:v>
      </x:c>
      <x:c r="B1187" s="63" t="n">
        <x:v>5244</x:v>
      </x:c>
      <x:c r="C1187" s="49" t="str">
        <x:v>MET's Institute of Technology Polytechnic, Bhujbal Knowledge City, Adgaon Nashik</x:v>
      </x:c>
      <x:c r="D1187" s="72" t="n">
        <x:v>524491610</x:v>
      </x:c>
      <x:c r="E1187" s="49" t="str">
        <x:v>Automation and Robotics</x:v>
      </x:c>
      <x:c r="F1187" s="73" t="n">
        <x:v>9</x:v>
      </x:c>
      <x:c r="G1187" s="73" t="n">
        <x:v>7</x:v>
      </x:c>
      <x:c r="H1187" s="73" t="n">
        <x:v>2</x:v>
      </x:c>
      <x:c r="I1187" s="73"/>
      <x:c r="J1187" s="73" t="n">
        <x:v>0</x:v>
      </x:c>
      <x:c r="K1187" s="49" t="str">
        <x:v>Un-Aided</x:v>
      </x:c>
      <x:c r="L1187" s="49" t="str">
        <x:v>MS Seats : 7+ EWS : 2</x:v>
      </x:c>
      <x:c r="M1187" s="49" t="str">
        <x:v>https://dse2025.mahacet.org.in/dse25/admin/allotment/cap2/5244_4.pdf</x:v>
      </x:c>
    </x:row>
    <x:row r="1188">
      <x:c r="A1188" s="49" t="str">
        <x:v>2025-26</x:v>
      </x:c>
      <x:c r="B1188" s="63" t="n">
        <x:v>5244</x:v>
      </x:c>
      <x:c r="C1188" s="49" t="str">
        <x:v>MET's Institute of Technology Polytechnic, Bhujbal Knowledge City, Adgaon Nashik</x:v>
      </x:c>
      <x:c r="D1188" s="72" t="n">
        <x:v>524492210</x:v>
      </x:c>
      <x:c r="E1188" s="49" t="str">
        <x:v>Civil and Environmental Engineering</x:v>
      </x:c>
      <x:c r="F1188" s="73" t="n">
        <x:v>15</x:v>
      </x:c>
      <x:c r="G1188" s="73" t="n">
        <x:v>8</x:v>
      </x:c>
      <x:c r="H1188" s="73" t="n">
        <x:v>7</x:v>
      </x:c>
      <x:c r="I1188" s="73"/>
      <x:c r="J1188" s="73" t="n">
        <x:v>0</x:v>
      </x:c>
      <x:c r="K1188" s="49" t="str">
        <x:v>Un-Aided</x:v>
      </x:c>
      <x:c r="L1188" s="49" t="str">
        <x:v>MS Seats : 8+ EWS : 7</x:v>
      </x:c>
      <x:c r="M1188" s="49" t="str">
        <x:v>https://dse2025.mahacet.org.in/dse25/admin/allotment/cap2/5244_4.pdf</x:v>
      </x:c>
    </x:row>
    <x:row r="1189">
      <x:c r="A1189" s="49" t="str">
        <x:v>2025-26</x:v>
      </x:c>
      <x:c r="B1189" s="63" t="n">
        <x:v>5249</x:v>
      </x:c>
      <x:c r="C1189" s="49" t="str">
        <x:v>Trimurti Shikshan Prasarak Mandal, Trimurti Institute Of Technology, Paladhi Bk, Jalgaon</x:v>
      </x:c>
      <x:c r="D1189" s="72" t="n">
        <x:v>524924510</x:v>
      </x:c>
      <x:c r="E1189" s="49" t="str">
        <x:v>Computer Engineering</x:v>
      </x:c>
      <x:c r="F1189" s="73" t="n">
        <x:v>62</x:v>
      </x:c>
      <x:c r="G1189" s="73" t="n">
        <x:v>55</x:v>
      </x:c>
      <x:c r="H1189" s="73" t="n">
        <x:v>7</x:v>
      </x:c>
      <x:c r="I1189" s="73"/>
      <x:c r="J1189" s="73" t="n">
        <x:v>0</x:v>
      </x:c>
      <x:c r="K1189" s="49" t="str">
        <x:v>Un-Aided</x:v>
      </x:c>
      <x:c r="L1189" s="49" t="str">
        <x:v>MS Seats : 55+ EWS : 7</x:v>
      </x:c>
      <x:c r="M1189" s="49" t="str">
        <x:v>https://dse2025.mahacet.org.in/dse25/admin/allotment/cap2/5249_4.pdf</x:v>
      </x:c>
    </x:row>
    <x:row r="1190">
      <x:c r="A1190" s="49" t="str">
        <x:v>2025-26</x:v>
      </x:c>
      <x:c r="B1190" s="63" t="n">
        <x:v>5249</x:v>
      </x:c>
      <x:c r="C1190" s="49" t="str">
        <x:v>Trimurti Shikshan Prasarak Mandal, Trimurti Institute Of Technology, Paladhi Bk, Jalgaon</x:v>
      </x:c>
      <x:c r="D1190" s="72" t="n">
        <x:v>524929310</x:v>
      </x:c>
      <x:c r="E1190" s="49" t="str">
        <x:v>Electrical Engineering</x:v>
      </x:c>
      <x:c r="F1190" s="73" t="n">
        <x:v>71</x:v>
      </x:c>
      <x:c r="G1190" s="73" t="n">
        <x:v>64</x:v>
      </x:c>
      <x:c r="H1190" s="73" t="n">
        <x:v>7</x:v>
      </x:c>
      <x:c r="I1190" s="73"/>
      <x:c r="J1190" s="73" t="n">
        <x:v>0</x:v>
      </x:c>
      <x:c r="K1190" s="49" t="str">
        <x:v>Un-Aided</x:v>
      </x:c>
      <x:c r="L1190" s="49" t="str">
        <x:v>MS Seats : 64+ EWS : 7</x:v>
      </x:c>
      <x:c r="M1190" s="49" t="str">
        <x:v>https://dse2025.mahacet.org.in/dse25/admin/allotment/cap2/5249_4.pdf</x:v>
      </x:c>
    </x:row>
    <x:row r="1191">
      <x:c r="A1191" s="49" t="str">
        <x:v>2025-26</x:v>
      </x:c>
      <x:c r="B1191" s="63" t="n">
        <x:v>5256</x:v>
      </x:c>
      <x:c r="C1191" s="49" t="str">
        <x:v>Matoshri Aasarabai Institute of Technology and Research Centre</x:v>
      </x:c>
      <x:c r="D1191" s="72" t="n">
        <x:v>525624510</x:v>
      </x:c>
      <x:c r="E1191" s="49" t="str">
        <x:v>Computer Engineering</x:v>
      </x:c>
      <x:c r="F1191" s="73" t="n">
        <x:v>26</x:v>
      </x:c>
      <x:c r="G1191" s="73" t="n">
        <x:v>19</x:v>
      </x:c>
      <x:c r="H1191" s="73" t="n">
        <x:v>7</x:v>
      </x:c>
      <x:c r="I1191" s="73"/>
      <x:c r="J1191" s="73" t="n">
        <x:v>0</x:v>
      </x:c>
      <x:c r="K1191" s="49" t="str">
        <x:v>Un-Aided</x:v>
      </x:c>
      <x:c r="L1191" s="49" t="str">
        <x:v>MS Seats : 19+ EWS : 7</x:v>
      </x:c>
      <x:c r="M1191" s="49" t="str">
        <x:v>https://dse2025.mahacet.org.in/dse25/admin/allotment/cap2/5256_4.pdf</x:v>
      </x:c>
    </x:row>
    <x:row r="1192">
      <x:c r="A1192" s="49" t="str">
        <x:v>2025-26</x:v>
      </x:c>
      <x:c r="B1192" s="63" t="n">
        <x:v>5256</x:v>
      </x:c>
      <x:c r="C1192" s="49" t="str">
        <x:v>Matoshri Aasarabai Institute of Technology and Research Centre</x:v>
      </x:c>
      <x:c r="D1192" s="72" t="n">
        <x:v>525624610</x:v>
      </x:c>
      <x:c r="E1192" s="49" t="str">
        <x:v>Information Technology</x:v>
      </x:c>
      <x:c r="F1192" s="73" t="n">
        <x:v>32</x:v>
      </x:c>
      <x:c r="G1192" s="73" t="n">
        <x:v>25</x:v>
      </x:c>
      <x:c r="H1192" s="73" t="n">
        <x:v>7</x:v>
      </x:c>
      <x:c r="I1192" s="73"/>
      <x:c r="J1192" s="73" t="n">
        <x:v>0</x:v>
      </x:c>
      <x:c r="K1192" s="49" t="str">
        <x:v>Un-Aided</x:v>
      </x:c>
      <x:c r="L1192" s="49" t="str">
        <x:v>MS Seats : 25+ EWS : 7</x:v>
      </x:c>
      <x:c r="M1192" s="49" t="str">
        <x:v>https://dse2025.mahacet.org.in/dse25/admin/allotment/cap2/5256_4.pdf</x:v>
      </x:c>
    </x:row>
    <x:row r="1193">
      <x:c r="A1193" s="49" t="str">
        <x:v>2025-26</x:v>
      </x:c>
      <x:c r="B1193" s="63" t="n">
        <x:v>5263</x:v>
      </x:c>
      <x:c r="C1193" s="49" t="str">
        <x:v>Matoshri Education Soceity, Matoshri Institute Of Technology, Dhanore, Nashik</x:v>
      </x:c>
      <x:c r="D1193" s="72" t="n">
        <x:v>526324510</x:v>
      </x:c>
      <x:c r="E1193" s="49" t="str">
        <x:v>Computer Engineering</x:v>
      </x:c>
      <x:c r="F1193" s="73" t="n">
        <x:v>21</x:v>
      </x:c>
      <x:c r="G1193" s="73" t="n">
        <x:v>15</x:v>
      </x:c>
      <x:c r="H1193" s="73" t="n">
        <x:v>6</x:v>
      </x:c>
      <x:c r="I1193" s="73"/>
      <x:c r="J1193" s="73" t="n">
        <x:v>0</x:v>
      </x:c>
      <x:c r="K1193" s="49" t="str">
        <x:v>Un-Aided</x:v>
      </x:c>
      <x:c r="L1193" s="49" t="str">
        <x:v>MS Seats : 15+ EWS : 6</x:v>
      </x:c>
      <x:c r="M1193" s="49" t="str">
        <x:v>https://dse2025.mahacet.org.in/dse25/admin/allotment/cap2/5263_4.pdf</x:v>
      </x:c>
    </x:row>
    <x:row r="1194">
      <x:c r="A1194" s="49" t="str">
        <x:v>2025-26</x:v>
      </x:c>
      <x:c r="B1194" s="63" t="n">
        <x:v>5263</x:v>
      </x:c>
      <x:c r="C1194" s="49" t="str">
        <x:v>Matoshri Education Soceity, Matoshri Institute Of Technology, Dhanore, Nashik</x:v>
      </x:c>
      <x:c r="D1194" s="72" t="n">
        <x:v>526329310</x:v>
      </x:c>
      <x:c r="E1194" s="49" t="str">
        <x:v>Electrical Engineering</x:v>
      </x:c>
      <x:c r="F1194" s="73" t="n">
        <x:v>48</x:v>
      </x:c>
      <x:c r="G1194" s="73" t="n">
        <x:v>42</x:v>
      </x:c>
      <x:c r="H1194" s="73" t="n">
        <x:v>6</x:v>
      </x:c>
      <x:c r="I1194" s="73"/>
      <x:c r="J1194" s="73" t="n">
        <x:v>0</x:v>
      </x:c>
      <x:c r="K1194" s="49" t="str">
        <x:v>Un-Aided</x:v>
      </x:c>
      <x:c r="L1194" s="49" t="str">
        <x:v>MS Seats : 42+ EWS : 6</x:v>
      </x:c>
      <x:c r="M1194" s="49" t="str">
        <x:v>https://dse2025.mahacet.org.in/dse25/admin/allotment/cap2/5263_4.pdf</x:v>
      </x:c>
    </x:row>
    <x:row r="1195">
      <x:c r="A1195" s="49" t="str">
        <x:v>2025-26</x:v>
      </x:c>
      <x:c r="B1195" s="63" t="n">
        <x:v>5263</x:v>
      </x:c>
      <x:c r="C1195" s="49" t="str">
        <x:v>Matoshri Education Soceity, Matoshri Institute Of Technology, Dhanore, Nashik</x:v>
      </x:c>
      <x:c r="D1195" s="72" t="n">
        <x:v>526337210</x:v>
      </x:c>
      <x:c r="E1195" s="49" t="str">
        <x:v>Electronics and Telecommunication Engg</x:v>
      </x:c>
      <x:c r="F1195" s="73" t="n">
        <x:v>45</x:v>
      </x:c>
      <x:c r="G1195" s="73" t="n">
        <x:v>38</x:v>
      </x:c>
      <x:c r="H1195" s="73" t="n">
        <x:v>7</x:v>
      </x:c>
      <x:c r="I1195" s="73"/>
      <x:c r="J1195" s="73" t="n">
        <x:v>0</x:v>
      </x:c>
      <x:c r="K1195" s="49" t="str">
        <x:v>Un-Aided</x:v>
      </x:c>
      <x:c r="L1195" s="49" t="str">
        <x:v>MS Seats : 38+ EWS : 7</x:v>
      </x:c>
      <x:c r="M1195" s="49" t="str">
        <x:v>https://dse2025.mahacet.org.in/dse25/admin/allotment/cap2/5263_4.pdf</x:v>
      </x:c>
    </x:row>
    <x:row r="1196">
      <x:c r="A1196" s="49" t="str">
        <x:v>2025-26</x:v>
      </x:c>
      <x:c r="B1196" s="63" t="n">
        <x:v>5303</x:v>
      </x:c>
      <x:c r="C1196" s="49" t="str">
        <x:v>Hon. Shri. Babanrao Pachpute Vichardhara Trust, Group of Institutions (Integrated Campus)-Parikrama, Kashti Shrigondha,</x:v>
      </x:c>
      <x:c r="D1196" s="72" t="n">
        <x:v>530319110</x:v>
      </x:c>
      <x:c r="E1196" s="49" t="str">
        <x:v>Civil Engineering</x:v>
      </x:c>
      <x:c r="F1196" s="73" t="n">
        <x:v>37</x:v>
      </x:c>
      <x:c r="G1196" s="73" t="n">
        <x:v>33</x:v>
      </x:c>
      <x:c r="H1196" s="73" t="n">
        <x:v>4</x:v>
      </x:c>
      <x:c r="I1196" s="73"/>
      <x:c r="J1196" s="73" t="n">
        <x:v>0</x:v>
      </x:c>
      <x:c r="K1196" s="49" t="str">
        <x:v>Un-Aided</x:v>
      </x:c>
      <x:c r="L1196" s="49" t="str">
        <x:v>MS Seats : 33+ EWS : 4</x:v>
      </x:c>
      <x:c r="M1196" s="49" t="str">
        <x:v>https://dse2025.mahacet.org.in/dse25/admin/allotment/cap2/5303_4.pdf</x:v>
      </x:c>
    </x:row>
    <x:row r="1197">
      <x:c r="A1197" s="49" t="str">
        <x:v>2025-26</x:v>
      </x:c>
      <x:c r="B1197" s="63" t="n">
        <x:v>5303</x:v>
      </x:c>
      <x:c r="C1197" s="49" t="str">
        <x:v>Hon. Shri. Babanrao Pachpute Vichardhara Trust, Group of Institutions (Integrated Campus)-Parikrama, Kashti Shrigondha,</x:v>
      </x:c>
      <x:c r="D1197" s="72" t="n">
        <x:v>530324510</x:v>
      </x:c>
      <x:c r="E1197" s="49" t="str">
        <x:v>Computer Engineering</x:v>
      </x:c>
      <x:c r="F1197" s="73" t="n">
        <x:v>17</x:v>
      </x:c>
      <x:c r="G1197" s="73" t="n">
        <x:v>13</x:v>
      </x:c>
      <x:c r="H1197" s="73" t="n">
        <x:v>4</x:v>
      </x:c>
      <x:c r="I1197" s="73"/>
      <x:c r="J1197" s="73" t="n">
        <x:v>0</x:v>
      </x:c>
      <x:c r="K1197" s="49" t="str">
        <x:v>Un-Aided</x:v>
      </x:c>
      <x:c r="L1197" s="49" t="str">
        <x:v>MS Seats : 13+ EWS : 4</x:v>
      </x:c>
      <x:c r="M1197" s="49" t="str">
        <x:v>https://dse2025.mahacet.org.in/dse25/admin/allotment/cap2/5303_4.pdf</x:v>
      </x:c>
    </x:row>
    <x:row r="1198">
      <x:c r="A1198" s="49" t="str">
        <x:v>2025-26</x:v>
      </x:c>
      <x:c r="B1198" s="63" t="n">
        <x:v>5303</x:v>
      </x:c>
      <x:c r="C1198" s="49" t="str">
        <x:v>Hon. Shri. Babanrao Pachpute Vichardhara Trust, Group of Institutions (Integrated Campus)-Parikrama, Kashti Shrigondha,</x:v>
      </x:c>
      <x:c r="D1198" s="72" t="n">
        <x:v>530329310</x:v>
      </x:c>
      <x:c r="E1198" s="49" t="str">
        <x:v>Electrical Engineering</x:v>
      </x:c>
      <x:c r="F1198" s="73" t="n">
        <x:v>22</x:v>
      </x:c>
      <x:c r="G1198" s="73" t="n">
        <x:v>17</x:v>
      </x:c>
      <x:c r="H1198" s="73" t="n">
        <x:v>5</x:v>
      </x:c>
      <x:c r="I1198" s="73"/>
      <x:c r="J1198" s="73" t="n">
        <x:v>0</x:v>
      </x:c>
      <x:c r="K1198" s="49" t="str">
        <x:v>Un-Aided</x:v>
      </x:c>
      <x:c r="L1198" s="49" t="str">
        <x:v>MS Seats : 17+ EWS : 5</x:v>
      </x:c>
      <x:c r="M1198" s="49" t="str">
        <x:v>https://dse2025.mahacet.org.in/dse25/admin/allotment/cap2/5303_4.pdf</x:v>
      </x:c>
    </x:row>
    <x:row r="1199">
      <x:c r="A1199" s="49" t="str">
        <x:v>2025-26</x:v>
      </x:c>
      <x:c r="B1199" s="63" t="n">
        <x:v>5303</x:v>
      </x:c>
      <x:c r="C1199" s="49" t="str">
        <x:v>Hon. Shri. Babanrao Pachpute Vichardhara Trust, Group of Institutions (Integrated Campus)-Parikrama, Kashti Shrigondha,</x:v>
      </x:c>
      <x:c r="D1199" s="72" t="n">
        <x:v>530361210</x:v>
      </x:c>
      <x:c r="E1199" s="49" t="str">
        <x:v>Mechanical Engineering</x:v>
      </x:c>
      <x:c r="F1199" s="73" t="n">
        <x:v>23</x:v>
      </x:c>
      <x:c r="G1199" s="73" t="n">
        <x:v>18</x:v>
      </x:c>
      <x:c r="H1199" s="73" t="n">
        <x:v>5</x:v>
      </x:c>
      <x:c r="I1199" s="73"/>
      <x:c r="J1199" s="73" t="n">
        <x:v>0</x:v>
      </x:c>
      <x:c r="K1199" s="49" t="str">
        <x:v>Un-Aided</x:v>
      </x:c>
      <x:c r="L1199" s="49" t="str">
        <x:v>MS Seats : 18+ EWS : 5</x:v>
      </x:c>
      <x:c r="M1199" s="49" t="str">
        <x:v>https://dse2025.mahacet.org.in/dse25/admin/allotment/cap2/5303_4.pdf</x:v>
      </x:c>
    </x:row>
    <x:row r="1200">
      <x:c r="A1200" s="49" t="str">
        <x:v>2025-26</x:v>
      </x:c>
      <x:c r="B1200" s="63" t="n">
        <x:v>5303</x:v>
      </x:c>
      <x:c r="C1200" s="49" t="str">
        <x:v>Hon. Shri. Babanrao Pachpute Vichardhara Trust, Group of Institutions (Integrated Campus)-Parikrama, Kashti Shrigondha,</x:v>
      </x:c>
      <x:c r="D1200" s="72" t="n">
        <x:v>530384410</x:v>
      </x:c>
      <x:c r="E1200" s="49" t="str">
        <x:v>Electronics and Computer Engineering</x:v>
      </x:c>
      <x:c r="F1200" s="73" t="n">
        <x:v>13</x:v>
      </x:c>
      <x:c r="G1200" s="73" t="n">
        <x:v>11</x:v>
      </x:c>
      <x:c r="H1200" s="73" t="n">
        <x:v>2</x:v>
      </x:c>
      <x:c r="I1200" s="73"/>
      <x:c r="J1200" s="73" t="n">
        <x:v>0</x:v>
      </x:c>
      <x:c r="K1200" s="49" t="str">
        <x:v>Un-Aided</x:v>
      </x:c>
      <x:c r="L1200" s="49" t="str">
        <x:v>MS Seats : 11+ EWS : 2</x:v>
      </x:c>
      <x:c r="M1200" s="49" t="str">
        <x:v>https://dse2025.mahacet.org.in/dse25/admin/allotment/cap2/5303_4.pdf</x:v>
      </x:c>
    </x:row>
    <x:row r="1201">
      <x:c r="A1201" s="49" t="str">
        <x:v>2025-26</x:v>
      </x:c>
      <x:c r="B1201" s="63" t="n">
        <x:v>5322</x:v>
      </x:c>
      <x:c r="C1201" s="49" t="str">
        <x:v>Jamia Institute Of Engineering And Management Studies, Akkalkuwa</x:v>
      </x:c>
      <x:c r="D1201" s="72" t="n">
        <x:v>532219110</x:v>
      </x:c>
      <x:c r="E1201" s="49" t="str">
        <x:v>Civil Engineering</x:v>
      </x:c>
      <x:c r="F1201" s="73" t="n">
        <x:v>62</x:v>
      </x:c>
      <x:c r="G1201" s="73" t="n">
        <x:v>30</x:v>
      </x:c>
      <x:c r="H1201" s="73"/>
      <x:c r="I1201" s="73" t="n">
        <x:v>32</x:v>
      </x:c>
      <x:c r="J1201" s="73" t="n">
        <x:v>0</x:v>
      </x:c>
      <x:c r="K1201" s="49" t="str">
        <x:v>Un-Aided Religious Minority - Muslim</x:v>
      </x:c>
      <x:c r="L1201" s="49" t="str">
        <x:v>MS Seats : 30 + Minority Seats : 32</x:v>
      </x:c>
      <x:c r="M1201" s="49" t="str">
        <x:v>https://dse2025.mahacet.org.in/dse25/admin/allotment/cap2/5322_4.pdf</x:v>
      </x:c>
    </x:row>
    <x:row r="1202">
      <x:c r="A1202" s="49" t="str">
        <x:v>2025-26</x:v>
      </x:c>
      <x:c r="B1202" s="63" t="n">
        <x:v>5322</x:v>
      </x:c>
      <x:c r="C1202" s="49" t="str">
        <x:v>Jamia Institute Of Engineering And Management Studies, Akkalkuwa</x:v>
      </x:c>
      <x:c r="D1202" s="72" t="n">
        <x:v>532229310</x:v>
      </x:c>
      <x:c r="E1202" s="49" t="str">
        <x:v>Electrical Engineering</x:v>
      </x:c>
      <x:c r="F1202" s="73" t="n">
        <x:v>30</x:v>
      </x:c>
      <x:c r="G1202" s="73" t="n">
        <x:v>14</x:v>
      </x:c>
      <x:c r="H1202" s="73"/>
      <x:c r="I1202" s="73" t="n">
        <x:v>16</x:v>
      </x:c>
      <x:c r="J1202" s="73" t="n">
        <x:v>0</x:v>
      </x:c>
      <x:c r="K1202" s="49" t="str">
        <x:v>Un-Aided Religious Minority - Muslim</x:v>
      </x:c>
      <x:c r="L1202" s="49" t="str">
        <x:v>MS Seats : 14 + Minority Seats : 16</x:v>
      </x:c>
      <x:c r="M1202" s="49" t="str">
        <x:v>https://dse2025.mahacet.org.in/dse25/admin/allotment/cap2/5322_4.pdf</x:v>
      </x:c>
    </x:row>
    <x:row r="1203">
      <x:c r="A1203" s="49" t="str">
        <x:v>2025-26</x:v>
      </x:c>
      <x:c r="B1203" s="63" t="n">
        <x:v>5322</x:v>
      </x:c>
      <x:c r="C1203" s="49" t="str">
        <x:v>Jamia Institute Of Engineering And Management Studies, Akkalkuwa</x:v>
      </x:c>
      <x:c r="D1203" s="72" t="n">
        <x:v>532261210</x:v>
      </x:c>
      <x:c r="E1203" s="49" t="str">
        <x:v>Mechanical Engineering</x:v>
      </x:c>
      <x:c r="F1203" s="73" t="n">
        <x:v>29</x:v>
      </x:c>
      <x:c r="G1203" s="73" t="n">
        <x:v>14</x:v>
      </x:c>
      <x:c r="H1203" s="73"/>
      <x:c r="I1203" s="73" t="n">
        <x:v>15</x:v>
      </x:c>
      <x:c r="J1203" s="73" t="n">
        <x:v>0</x:v>
      </x:c>
      <x:c r="K1203" s="49" t="str">
        <x:v>Un-Aided Religious Minority - Muslim</x:v>
      </x:c>
      <x:c r="L1203" s="49" t="str">
        <x:v>MS Seats : 14 + Minority Seats : 15</x:v>
      </x:c>
      <x:c r="M1203" s="49" t="str">
        <x:v>https://dse2025.mahacet.org.in/dse25/admin/allotment/cap2/5322_4.pdf</x:v>
      </x:c>
    </x:row>
    <x:row r="1204">
      <x:c r="A1204" s="49" t="str">
        <x:v>2025-26</x:v>
      </x:c>
      <x:c r="B1204" s="63" t="n">
        <x:v>5330</x:v>
      </x:c>
      <x:c r="C1204" s="49" t="str">
        <x:v>PUNE VIDYARTHI GRIHAS COLLEGE OF ENGINEERING &amp; SHRIKRUSHNA S. DHAMANKAR INSTITUTE OF MANAGEMENT, NASHIK</x:v>
      </x:c>
      <x:c r="D1204" s="72" t="n">
        <x:v>533024510</x:v>
      </x:c>
      <x:c r="E1204" s="49" t="str">
        <x:v>Computer Engineering</x:v>
      </x:c>
      <x:c r="F1204" s="73" t="n">
        <x:v>9</x:v>
      </x:c>
      <x:c r="G1204" s="73" t="n">
        <x:v>7</x:v>
      </x:c>
      <x:c r="H1204" s="73" t="n">
        <x:v>2</x:v>
      </x:c>
      <x:c r="I1204" s="73"/>
      <x:c r="J1204" s="73" t="n">
        <x:v>0</x:v>
      </x:c>
      <x:c r="K1204" s="49" t="str">
        <x:v>Un-Aided</x:v>
      </x:c>
      <x:c r="L1204" s="49" t="str">
        <x:v>MS Seats : 7+ EWS : 2</x:v>
      </x:c>
      <x:c r="M1204" s="49" t="str">
        <x:v>https://dse2025.mahacet.org.in/dse25/admin/allotment/cap2/5330_4.pdf</x:v>
      </x:c>
    </x:row>
    <x:row r="1205">
      <x:c r="A1205" s="49" t="str">
        <x:v>2025-26</x:v>
      </x:c>
      <x:c r="B1205" s="63" t="n">
        <x:v>5330</x:v>
      </x:c>
      <x:c r="C1205" s="49" t="str">
        <x:v>PUNE VIDYARTHI GRIHAS COLLEGE OF ENGINEERING &amp; SHRIKRUSHNA S. DHAMANKAR INSTITUTE OF MANAGEMENT, NASHIK</x:v>
      </x:c>
      <x:c r="D1205" s="72" t="n">
        <x:v>533024610</x:v>
      </x:c>
      <x:c r="E1205" s="49" t="str">
        <x:v>Information Technology</x:v>
      </x:c>
      <x:c r="F1205" s="73" t="n">
        <x:v>11</x:v>
      </x:c>
      <x:c r="G1205" s="73" t="n">
        <x:v>9</x:v>
      </x:c>
      <x:c r="H1205" s="73" t="n">
        <x:v>2</x:v>
      </x:c>
      <x:c r="I1205" s="73"/>
      <x:c r="J1205" s="73" t="n">
        <x:v>0</x:v>
      </x:c>
      <x:c r="K1205" s="49" t="str">
        <x:v>Un-Aided</x:v>
      </x:c>
      <x:c r="L1205" s="49" t="str">
        <x:v>MS Seats : 9+ EWS : 2</x:v>
      </x:c>
      <x:c r="M1205" s="49" t="str">
        <x:v>https://dse2025.mahacet.org.in/dse25/admin/allotment/cap2/5330_4.pdf</x:v>
      </x:c>
    </x:row>
    <x:row r="1206">
      <x:c r="A1206" s="49" t="str">
        <x:v>2025-26</x:v>
      </x:c>
      <x:c r="B1206" s="63" t="n">
        <x:v>5330</x:v>
      </x:c>
      <x:c r="C1206" s="49" t="str">
        <x:v>PUNE VIDYARTHI GRIHAS COLLEGE OF ENGINEERING &amp; SHRIKRUSHNA S. DHAMANKAR INSTITUTE OF MANAGEMENT, NASHIK</x:v>
      </x:c>
      <x:c r="D1206" s="72" t="n">
        <x:v>533037210</x:v>
      </x:c>
      <x:c r="E1206" s="49" t="str">
        <x:v>Electronics and Telecommunication Engg</x:v>
      </x:c>
      <x:c r="F1206" s="73" t="n">
        <x:v>17</x:v>
      </x:c>
      <x:c r="G1206" s="73" t="n">
        <x:v>13</x:v>
      </x:c>
      <x:c r="H1206" s="73" t="n">
        <x:v>4</x:v>
      </x:c>
      <x:c r="I1206" s="73"/>
      <x:c r="J1206" s="73" t="n">
        <x:v>0</x:v>
      </x:c>
      <x:c r="K1206" s="49" t="str">
        <x:v>Un-Aided</x:v>
      </x:c>
      <x:c r="L1206" s="49" t="str">
        <x:v>MS Seats : 13+ EWS : 4</x:v>
      </x:c>
      <x:c r="M1206" s="49" t="str">
        <x:v>https://dse2025.mahacet.org.in/dse25/admin/allotment/cap2/5330_4.pdf</x:v>
      </x:c>
    </x:row>
    <x:row r="1207">
      <x:c r="A1207" s="49" t="str">
        <x:v>2025-26</x:v>
      </x:c>
      <x:c r="B1207" s="63" t="n">
        <x:v>5330</x:v>
      </x:c>
      <x:c r="C1207" s="49" t="str">
        <x:v>PUNE VIDYARTHI GRIHAS COLLEGE OF ENGINEERING &amp; SHRIKRUSHNA S. DHAMANKAR INSTITUTE OF MANAGEMENT, NASHIK</x:v>
      </x:c>
      <x:c r="D1207" s="72" t="n">
        <x:v>533061210</x:v>
      </x:c>
      <x:c r="E1207" s="49" t="str">
        <x:v>Mechanical Engineering</x:v>
      </x:c>
      <x:c r="F1207" s="73" t="n">
        <x:v>20</x:v>
      </x:c>
      <x:c r="G1207" s="73" t="n">
        <x:v>13</x:v>
      </x:c>
      <x:c r="H1207" s="73" t="n">
        <x:v>7</x:v>
      </x:c>
      <x:c r="I1207" s="73"/>
      <x:c r="J1207" s="73" t="n">
        <x:v>0</x:v>
      </x:c>
      <x:c r="K1207" s="49" t="str">
        <x:v>Un-Aided</x:v>
      </x:c>
      <x:c r="L1207" s="49" t="str">
        <x:v>MS Seats : 13+ EWS : 7</x:v>
      </x:c>
      <x:c r="M1207" s="49" t="str">
        <x:v>https://dse2025.mahacet.org.in/dse25/admin/allotment/cap2/5330_4.pdf</x:v>
      </x:c>
    </x:row>
    <x:row r="1208">
      <x:c r="A1208" s="49" t="str">
        <x:v>2025-26</x:v>
      </x:c>
      <x:c r="B1208" s="63" t="n">
        <x:v>5330</x:v>
      </x:c>
      <x:c r="C1208" s="49" t="str">
        <x:v>PUNE VIDYARTHI GRIHAS COLLEGE OF ENGINEERING &amp; SHRIKRUSHNA S. DHAMANKAR INSTITUTE OF MANAGEMENT, NASHIK</x:v>
      </x:c>
      <x:c r="D1208" s="72" t="n">
        <x:v>533099510</x:v>
      </x:c>
      <x:c r="E1208" s="49" t="str">
        <x:v>Artificial Intelligence and Data Science</x:v>
      </x:c>
      <x:c r="F1208" s="73" t="n">
        <x:v>9</x:v>
      </x:c>
      <x:c r="G1208" s="73" t="n">
        <x:v>7</x:v>
      </x:c>
      <x:c r="H1208" s="73" t="n">
        <x:v>2</x:v>
      </x:c>
      <x:c r="I1208" s="73"/>
      <x:c r="J1208" s="73" t="n">
        <x:v>0</x:v>
      </x:c>
      <x:c r="K1208" s="49" t="str">
        <x:v>Un-Aided</x:v>
      </x:c>
      <x:c r="L1208" s="49" t="str">
        <x:v>MS Seats : 7+ EWS : 2</x:v>
      </x:c>
      <x:c r="M1208" s="49" t="str">
        <x:v>https://dse2025.mahacet.org.in/dse25/admin/allotment/cap2/5330_4.pdf</x:v>
      </x:c>
    </x:row>
    <x:row r="1209">
      <x:c r="A1209" s="49" t="str">
        <x:v>2025-26</x:v>
      </x:c>
      <x:c r="B1209" s="63" t="n">
        <x:v>5331</x:v>
      </x:c>
      <x:c r="C1209" s="49" t="str">
        <x:v>Sandip Foundation's, Sandip Institute of Engineering &amp; Management, Nashik</x:v>
      </x:c>
      <x:c r="D1209" s="72" t="n">
        <x:v>533119110</x:v>
      </x:c>
      <x:c r="E1209" s="49" t="str">
        <x:v>Civil Engineering</x:v>
      </x:c>
      <x:c r="F1209" s="73" t="n">
        <x:v>38</x:v>
      </x:c>
      <x:c r="G1209" s="73" t="n">
        <x:v>31</x:v>
      </x:c>
      <x:c r="H1209" s="73" t="n">
        <x:v>7</x:v>
      </x:c>
      <x:c r="I1209" s="73"/>
      <x:c r="J1209" s="73" t="n">
        <x:v>0</x:v>
      </x:c>
      <x:c r="K1209" s="49" t="str">
        <x:v>Un-Aided</x:v>
      </x:c>
      <x:c r="L1209" s="49" t="str">
        <x:v>MS Seats : 31+ EWS : 7</x:v>
      </x:c>
      <x:c r="M1209" s="49" t="str">
        <x:v>https://dse2025.mahacet.org.in/dse25/admin/allotment/cap2/5331_4.pdf</x:v>
      </x:c>
    </x:row>
    <x:row r="1210">
      <x:c r="A1210" s="49" t="str">
        <x:v>2025-26</x:v>
      </x:c>
      <x:c r="B1210" s="63" t="n">
        <x:v>5331</x:v>
      </x:c>
      <x:c r="C1210" s="49" t="str">
        <x:v>Sandip Foundation's, Sandip Institute of Engineering &amp; Management, Nashik</x:v>
      </x:c>
      <x:c r="D1210" s="72" t="n">
        <x:v>533124510</x:v>
      </x:c>
      <x:c r="E1210" s="49" t="str">
        <x:v>Computer Engineering</x:v>
      </x:c>
      <x:c r="F1210" s="73" t="n">
        <x:v>27</x:v>
      </x:c>
      <x:c r="G1210" s="73" t="n">
        <x:v>21</x:v>
      </x:c>
      <x:c r="H1210" s="73" t="n">
        <x:v>6</x:v>
      </x:c>
      <x:c r="I1210" s="73"/>
      <x:c r="J1210" s="73" t="n">
        <x:v>0</x:v>
      </x:c>
      <x:c r="K1210" s="49" t="str">
        <x:v>Un-Aided</x:v>
      </x:c>
      <x:c r="L1210" s="49" t="str">
        <x:v>MS Seats : 21+ EWS : 6</x:v>
      </x:c>
      <x:c r="M1210" s="49" t="str">
        <x:v>https://dse2025.mahacet.org.in/dse25/admin/allotment/cap2/5331_4.pdf</x:v>
      </x:c>
    </x:row>
    <x:row r="1211">
      <x:c r="A1211" s="49" t="str">
        <x:v>2025-26</x:v>
      </x:c>
      <x:c r="B1211" s="63" t="n">
        <x:v>5331</x:v>
      </x:c>
      <x:c r="C1211" s="49" t="str">
        <x:v>Sandip Foundation's, Sandip Institute of Engineering &amp; Management, Nashik</x:v>
      </x:c>
      <x:c r="D1211" s="72" t="n">
        <x:v>533129310</x:v>
      </x:c>
      <x:c r="E1211" s="49" t="str">
        <x:v>Electrical Engineering</x:v>
      </x:c>
      <x:c r="F1211" s="73" t="n">
        <x:v>29</x:v>
      </x:c>
      <x:c r="G1211" s="73" t="n">
        <x:v>23</x:v>
      </x:c>
      <x:c r="H1211" s="73" t="n">
        <x:v>6</x:v>
      </x:c>
      <x:c r="I1211" s="73"/>
      <x:c r="J1211" s="73" t="n">
        <x:v>0</x:v>
      </x:c>
      <x:c r="K1211" s="49" t="str">
        <x:v>Un-Aided</x:v>
      </x:c>
      <x:c r="L1211" s="49" t="str">
        <x:v>MS Seats : 23+ EWS : 6</x:v>
      </x:c>
      <x:c r="M1211" s="49" t="str">
        <x:v>https://dse2025.mahacet.org.in/dse25/admin/allotment/cap2/5331_4.pdf</x:v>
      </x:c>
    </x:row>
    <x:row r="1212">
      <x:c r="A1212" s="49" t="str">
        <x:v>2025-26</x:v>
      </x:c>
      <x:c r="B1212" s="63" t="n">
        <x:v>5331</x:v>
      </x:c>
      <x:c r="C1212" s="49" t="str">
        <x:v>Sandip Foundation's, Sandip Institute of Engineering &amp; Management, Nashik</x:v>
      </x:c>
      <x:c r="D1212" s="72" t="n">
        <x:v>533137210</x:v>
      </x:c>
      <x:c r="E1212" s="49" t="str">
        <x:v>Electronics and Telecommunication Engg</x:v>
      </x:c>
      <x:c r="F1212" s="73" t="n">
        <x:v>22</x:v>
      </x:c>
      <x:c r="G1212" s="73" t="n">
        <x:v>17</x:v>
      </x:c>
      <x:c r="H1212" s="73" t="n">
        <x:v>5</x:v>
      </x:c>
      <x:c r="I1212" s="73"/>
      <x:c r="J1212" s="73" t="n">
        <x:v>0</x:v>
      </x:c>
      <x:c r="K1212" s="49" t="str">
        <x:v>Un-Aided</x:v>
      </x:c>
      <x:c r="L1212" s="49" t="str">
        <x:v>MS Seats : 17+ EWS : 5</x:v>
      </x:c>
      <x:c r="M1212" s="49" t="str">
        <x:v>https://dse2025.mahacet.org.in/dse25/admin/allotment/cap2/5331_4.pdf</x:v>
      </x:c>
    </x:row>
    <x:row r="1213">
      <x:c r="A1213" s="49" t="str">
        <x:v>2025-26</x:v>
      </x:c>
      <x:c r="B1213" s="63" t="n">
        <x:v>5331</x:v>
      </x:c>
      <x:c r="C1213" s="49" t="str">
        <x:v>Sandip Foundation's, Sandip Institute of Engineering &amp; Management, Nashik</x:v>
      </x:c>
      <x:c r="D1213" s="72" t="n">
        <x:v>533161210</x:v>
      </x:c>
      <x:c r="E1213" s="49" t="str">
        <x:v>Mechanical Engineering</x:v>
      </x:c>
      <x:c r="F1213" s="73" t="n">
        <x:v>26</x:v>
      </x:c>
      <x:c r="G1213" s="73" t="n">
        <x:v>21</x:v>
      </x:c>
      <x:c r="H1213" s="73" t="n">
        <x:v>5</x:v>
      </x:c>
      <x:c r="I1213" s="73"/>
      <x:c r="J1213" s="73" t="n">
        <x:v>0</x:v>
      </x:c>
      <x:c r="K1213" s="49" t="str">
        <x:v>Un-Aided</x:v>
      </x:c>
      <x:c r="L1213" s="49" t="str">
        <x:v>MS Seats : 21+ EWS : 5</x:v>
      </x:c>
      <x:c r="M1213" s="49" t="str">
        <x:v>https://dse2025.mahacet.org.in/dse25/admin/allotment/cap2/5331_4.pdf</x:v>
      </x:c>
    </x:row>
    <x:row r="1214">
      <x:c r="A1214" s="49" t="str">
        <x:v>2025-26</x:v>
      </x:c>
      <x:c r="B1214" s="63" t="n">
        <x:v>5365</x:v>
      </x:c>
      <x:c r="C1214" s="49" t="str">
        <x:v>Vardhaman Education &amp; Welfare Society, Ahinsa Institute of Technology, Post. Dondaicha, Dhule</x:v>
      </x:c>
      <x:c r="D1214" s="72" t="n">
        <x:v>536525110</x:v>
      </x:c>
      <x:c r="E1214" s="49" t="str">
        <x:v>Computer Technology</x:v>
      </x:c>
      <x:c r="F1214" s="73" t="n">
        <x:v>9</x:v>
      </x:c>
      <x:c r="G1214" s="73" t="n">
        <x:v>4</x:v>
      </x:c>
      <x:c r="H1214" s="73"/>
      <x:c r="I1214" s="73" t="n">
        <x:v>5</x:v>
      </x:c>
      <x:c r="J1214" s="73" t="n">
        <x:v>0</x:v>
      </x:c>
      <x:c r="K1214" s="49" t="str">
        <x:v>Un-Aided Religious Minority - Jain</x:v>
      </x:c>
      <x:c r="L1214" s="49" t="str">
        <x:v>MS Seats : 4 + Minority Seats : 5</x:v>
      </x:c>
      <x:c r="M1214" s="49" t="str">
        <x:v>https://dse2025.mahacet.org.in/dse25/admin/allotment/cap2/5365_4.pdf</x:v>
      </x:c>
    </x:row>
    <x:row r="1215">
      <x:c r="A1215" s="49" t="str">
        <x:v>2025-26</x:v>
      </x:c>
      <x:c r="B1215" s="63" t="n">
        <x:v>5365</x:v>
      </x:c>
      <x:c r="C1215" s="49" t="str">
        <x:v>Vardhaman Education &amp; Welfare Society, Ahinsa Institute of Technology, Post. Dondaicha, Dhule</x:v>
      </x:c>
      <x:c r="D1215" s="72" t="n">
        <x:v>536529310</x:v>
      </x:c>
      <x:c r="E1215" s="49" t="str">
        <x:v>Electrical Engineering</x:v>
      </x:c>
      <x:c r="F1215" s="73" t="n">
        <x:v>52</x:v>
      </x:c>
      <x:c r="G1215" s="73" t="n">
        <x:v>24</x:v>
      </x:c>
      <x:c r="H1215" s="73"/>
      <x:c r="I1215" s="73" t="n">
        <x:v>28</x:v>
      </x:c>
      <x:c r="J1215" s="73" t="n">
        <x:v>0</x:v>
      </x:c>
      <x:c r="K1215" s="49" t="str">
        <x:v>Un-Aided Religious Minority - Jain</x:v>
      </x:c>
      <x:c r="L1215" s="49" t="str">
        <x:v>MS Seats : 24 + Minority Seats : 28</x:v>
      </x:c>
      <x:c r="M1215" s="49" t="str">
        <x:v>https://dse2025.mahacet.org.in/dse25/admin/allotment/cap2/5365_4.pdf</x:v>
      </x:c>
    </x:row>
    <x:row r="1216">
      <x:c r="A1216" s="49" t="str">
        <x:v>2025-26</x:v>
      </x:c>
      <x:c r="B1216" s="63" t="n">
        <x:v>5365</x:v>
      </x:c>
      <x:c r="C1216" s="49" t="str">
        <x:v>Vardhaman Education &amp; Welfare Society, Ahinsa Institute of Technology, Post. Dondaicha, Dhule</x:v>
      </x:c>
      <x:c r="D1216" s="72" t="n">
        <x:v>536561210</x:v>
      </x:c>
      <x:c r="E1216" s="49" t="str">
        <x:v>Mechanical Engineering</x:v>
      </x:c>
      <x:c r="F1216" s="73" t="n">
        <x:v>60</x:v>
      </x:c>
      <x:c r="G1216" s="73" t="n">
        <x:v>28</x:v>
      </x:c>
      <x:c r="H1216" s="73"/>
      <x:c r="I1216" s="73" t="n">
        <x:v>32</x:v>
      </x:c>
      <x:c r="J1216" s="73" t="n">
        <x:v>0</x:v>
      </x:c>
      <x:c r="K1216" s="49" t="str">
        <x:v>Un-Aided Religious Minority - Jain</x:v>
      </x:c>
      <x:c r="L1216" s="49" t="str">
        <x:v>MS Seats : 28 + Minority Seats : 32</x:v>
      </x:c>
      <x:c r="M1216" s="49" t="str">
        <x:v>https://dse2025.mahacet.org.in/dse25/admin/allotment/cap2/5365_4.pdf</x:v>
      </x:c>
    </x:row>
    <x:row r="1217">
      <x:c r="A1217" s="49" t="str">
        <x:v>2025-26</x:v>
      </x:c>
      <x:c r="B1217" s="63" t="n">
        <x:v>5370</x:v>
      </x:c>
      <x:c r="C1217" s="49" t="str">
        <x:v>Kedareshwar Gramin Vikas Pratishthan, Samajbhushan Eknathrao Dhakane College, of Engineering, Shevgaon</x:v>
      </x:c>
      <x:c r="D1217" s="72" t="n">
        <x:v>537019110</x:v>
      </x:c>
      <x:c r="E1217" s="49" t="str">
        <x:v>Civil Engineering</x:v>
      </x:c>
      <x:c r="F1217" s="73" t="n">
        <x:v>66</x:v>
      </x:c>
      <x:c r="G1217" s="73" t="n">
        <x:v>59</x:v>
      </x:c>
      <x:c r="H1217" s="73" t="n">
        <x:v>7</x:v>
      </x:c>
      <x:c r="I1217" s="73"/>
      <x:c r="J1217" s="73" t="n">
        <x:v>0</x:v>
      </x:c>
      <x:c r="K1217" s="49" t="str">
        <x:v>Un-Aided</x:v>
      </x:c>
      <x:c r="L1217" s="49" t="str">
        <x:v>MS Seats : 59+ EWS : 7</x:v>
      </x:c>
      <x:c r="M1217" s="49" t="str">
        <x:v>https://dse2025.mahacet.org.in/dse25/admin/allotment/cap2/5370_4.pdf</x:v>
      </x:c>
    </x:row>
    <x:row r="1218">
      <x:c r="A1218" s="49" t="str">
        <x:v>2025-26</x:v>
      </x:c>
      <x:c r="B1218" s="63" t="n">
        <x:v>5370</x:v>
      </x:c>
      <x:c r="C1218" s="49" t="str">
        <x:v>Kedareshwar Gramin Vikas Pratishthan, Samajbhushan Eknathrao Dhakane College, of Engineering, Shevgaon</x:v>
      </x:c>
      <x:c r="D1218" s="72" t="n">
        <x:v>537024510</x:v>
      </x:c>
      <x:c r="E1218" s="49" t="str">
        <x:v>Computer Engineering</x:v>
      </x:c>
      <x:c r="F1218" s="73" t="n">
        <x:v>49</x:v>
      </x:c>
      <x:c r="G1218" s="73" t="n">
        <x:v>43</x:v>
      </x:c>
      <x:c r="H1218" s="73" t="n">
        <x:v>6</x:v>
      </x:c>
      <x:c r="I1218" s="73"/>
      <x:c r="J1218" s="73" t="n">
        <x:v>0</x:v>
      </x:c>
      <x:c r="K1218" s="49" t="str">
        <x:v>Un-Aided</x:v>
      </x:c>
      <x:c r="L1218" s="49" t="str">
        <x:v>MS Seats : 43+ EWS : 6</x:v>
      </x:c>
      <x:c r="M1218" s="49" t="str">
        <x:v>https://dse2025.mahacet.org.in/dse25/admin/allotment/cap2/5370_4.pdf</x:v>
      </x:c>
    </x:row>
    <x:row r="1219">
      <x:c r="A1219" s="49" t="str">
        <x:v>2025-26</x:v>
      </x:c>
      <x:c r="B1219" s="63" t="n">
        <x:v>5370</x:v>
      </x:c>
      <x:c r="C1219" s="49" t="str">
        <x:v>Kedareshwar Gramin Vikas Pratishthan, Samajbhushan Eknathrao Dhakane College, of Engineering, Shevgaon</x:v>
      </x:c>
      <x:c r="D1219" s="72" t="n">
        <x:v>537029310</x:v>
      </x:c>
      <x:c r="E1219" s="49" t="str">
        <x:v>Electrical Engineering</x:v>
      </x:c>
      <x:c r="F1219" s="73" t="n">
        <x:v>64</x:v>
      </x:c>
      <x:c r="G1219" s="73" t="n">
        <x:v>57</x:v>
      </x:c>
      <x:c r="H1219" s="73" t="n">
        <x:v>7</x:v>
      </x:c>
      <x:c r="I1219" s="73"/>
      <x:c r="J1219" s="73" t="n">
        <x:v>0</x:v>
      </x:c>
      <x:c r="K1219" s="49" t="str">
        <x:v>Un-Aided</x:v>
      </x:c>
      <x:c r="L1219" s="49" t="str">
        <x:v>MS Seats : 57+ EWS : 7</x:v>
      </x:c>
      <x:c r="M1219" s="49" t="str">
        <x:v>https://dse2025.mahacet.org.in/dse25/admin/allotment/cap2/5370_4.pdf</x:v>
      </x:c>
    </x:row>
    <x:row r="1220">
      <x:c r="A1220" s="49" t="str">
        <x:v>2025-26</x:v>
      </x:c>
      <x:c r="B1220" s="63" t="n">
        <x:v>5370</x:v>
      </x:c>
      <x:c r="C1220" s="49" t="str">
        <x:v>Kedareshwar Gramin Vikas Pratishthan, Samajbhushan Eknathrao Dhakane College, of Engineering, Shevgaon</x:v>
      </x:c>
      <x:c r="D1220" s="72" t="n">
        <x:v>537061210</x:v>
      </x:c>
      <x:c r="E1220" s="49" t="str">
        <x:v>Mechanical Engineering</x:v>
      </x:c>
      <x:c r="F1220" s="73" t="n">
        <x:v>63</x:v>
      </x:c>
      <x:c r="G1220" s="73" t="n">
        <x:v>56</x:v>
      </x:c>
      <x:c r="H1220" s="73" t="n">
        <x:v>7</x:v>
      </x:c>
      <x:c r="I1220" s="73"/>
      <x:c r="J1220" s="73" t="n">
        <x:v>0</x:v>
      </x:c>
      <x:c r="K1220" s="49" t="str">
        <x:v>Un-Aided</x:v>
      </x:c>
      <x:c r="L1220" s="49" t="str">
        <x:v>MS Seats : 56+ EWS : 7</x:v>
      </x:c>
      <x:c r="M1220" s="49" t="str">
        <x:v>https://dse2025.mahacet.org.in/dse25/admin/allotment/cap2/5370_4.pdf</x:v>
      </x:c>
    </x:row>
    <x:row r="1221">
      <x:c r="A1221" s="49" t="str">
        <x:v>2025-26</x:v>
      </x:c>
      <x:c r="B1221" s="63" t="n">
        <x:v>5370</x:v>
      </x:c>
      <x:c r="C1221" s="49" t="str">
        <x:v>Kedareshwar Gramin Vikas Pratishthan, Samajbhushan Eknathrao Dhakane College, of Engineering, Shevgaon</x:v>
      </x:c>
      <x:c r="D1221" s="72" t="n">
        <x:v>537099510</x:v>
      </x:c>
      <x:c r="E1221" s="49" t="str">
        <x:v>Artificial Intelligence and Data Science</x:v>
      </x:c>
      <x:c r="F1221" s="73" t="n">
        <x:v>69</x:v>
      </x:c>
      <x:c r="G1221" s="73" t="n">
        <x:v>62</x:v>
      </x:c>
      <x:c r="H1221" s="73" t="n">
        <x:v>7</x:v>
      </x:c>
      <x:c r="I1221" s="73"/>
      <x:c r="J1221" s="73" t="n">
        <x:v>0</x:v>
      </x:c>
      <x:c r="K1221" s="49" t="str">
        <x:v>Un-Aided</x:v>
      </x:c>
      <x:c r="L1221" s="49" t="str">
        <x:v>MS Seats : 62+ EWS : 7</x:v>
      </x:c>
      <x:c r="M1221" s="49" t="str">
        <x:v>https://dse2025.mahacet.org.in/dse25/admin/allotment/cap2/5370_4.pdf</x:v>
      </x:c>
    </x:row>
    <x:row r="1222">
      <x:c r="A1222" s="49" t="str">
        <x:v>2025-26</x:v>
      </x:c>
      <x:c r="B1222" s="63" t="n">
        <x:v>5380</x:v>
      </x:c>
      <x:c r="C1222" s="49" t="str">
        <x:v>Adsul's Technical Campus, Chas Dist. Ahmednagar</x:v>
      </x:c>
      <x:c r="D1222" s="72" t="n">
        <x:v>538019110</x:v>
      </x:c>
      <x:c r="E1222" s="49" t="str">
        <x:v>Civil Engineering</x:v>
      </x:c>
      <x:c r="F1222" s="73" t="n">
        <x:v>48</x:v>
      </x:c>
      <x:c r="G1222" s="73" t="n">
        <x:v>41</x:v>
      </x:c>
      <x:c r="H1222" s="73" t="n">
        <x:v>7</x:v>
      </x:c>
      <x:c r="I1222" s="73"/>
      <x:c r="J1222" s="73" t="n">
        <x:v>0</x:v>
      </x:c>
      <x:c r="K1222" s="49" t="str">
        <x:v>Un-Aided</x:v>
      </x:c>
      <x:c r="L1222" s="49" t="str">
        <x:v>MS Seats : 41+ EWS : 7</x:v>
      </x:c>
      <x:c r="M1222" s="49" t="str">
        <x:v>https://dse2025.mahacet.org.in/dse25/admin/allotment/cap2/5380_4.pdf</x:v>
      </x:c>
    </x:row>
    <x:row r="1223">
      <x:c r="A1223" s="49" t="str">
        <x:v>2025-26</x:v>
      </x:c>
      <x:c r="B1223" s="63" t="n">
        <x:v>5380</x:v>
      </x:c>
      <x:c r="C1223" s="49" t="str">
        <x:v>Adsul's Technical Campus, Chas Dist. Ahmednagar</x:v>
      </x:c>
      <x:c r="D1223" s="72" t="n">
        <x:v>538024510</x:v>
      </x:c>
      <x:c r="E1223" s="49" t="str">
        <x:v>Computer Engineering</x:v>
      </x:c>
      <x:c r="F1223" s="73" t="n">
        <x:v>50</x:v>
      </x:c>
      <x:c r="G1223" s="73" t="n">
        <x:v>34</x:v>
      </x:c>
      <x:c r="H1223" s="73" t="n">
        <x:v>16</x:v>
      </x:c>
      <x:c r="I1223" s="73"/>
      <x:c r="J1223" s="73" t="n">
        <x:v>0</x:v>
      </x:c>
      <x:c r="K1223" s="49" t="str">
        <x:v>Un-Aided</x:v>
      </x:c>
      <x:c r="L1223" s="49" t="str">
        <x:v>MS Seats : 34+ EWS : 16</x:v>
      </x:c>
      <x:c r="M1223" s="49" t="str">
        <x:v>https://dse2025.mahacet.org.in/dse25/admin/allotment/cap2/5380_4.pdf</x:v>
      </x:c>
    </x:row>
    <x:row r="1224">
      <x:c r="A1224" s="49" t="str">
        <x:v>2025-26</x:v>
      </x:c>
      <x:c r="B1224" s="63" t="n">
        <x:v>5380</x:v>
      </x:c>
      <x:c r="C1224" s="49" t="str">
        <x:v>Adsul's Technical Campus, Chas Dist. Ahmednagar</x:v>
      </x:c>
      <x:c r="D1224" s="72" t="n">
        <x:v>538024610</x:v>
      </x:c>
      <x:c r="E1224" s="49" t="str">
        <x:v>Information Technology</x:v>
      </x:c>
      <x:c r="F1224" s="73" t="n">
        <x:v>22</x:v>
      </x:c>
      <x:c r="G1224" s="73" t="n">
        <x:v>16</x:v>
      </x:c>
      <x:c r="H1224" s="73" t="n">
        <x:v>6</x:v>
      </x:c>
      <x:c r="I1224" s="73"/>
      <x:c r="J1224" s="73" t="n">
        <x:v>0</x:v>
      </x:c>
      <x:c r="K1224" s="49" t="str">
        <x:v>Un-Aided</x:v>
      </x:c>
      <x:c r="L1224" s="49" t="str">
        <x:v>MS Seats : 16+ EWS : 6</x:v>
      </x:c>
      <x:c r="M1224" s="49" t="str">
        <x:v>https://dse2025.mahacet.org.in/dse25/admin/allotment/cap2/5380_4.pdf</x:v>
      </x:c>
    </x:row>
    <x:row r="1225">
      <x:c r="A1225" s="49" t="str">
        <x:v>2025-26</x:v>
      </x:c>
      <x:c r="B1225" s="63" t="n">
        <x:v>5380</x:v>
      </x:c>
      <x:c r="C1225" s="49" t="str">
        <x:v>Adsul's Technical Campus, Chas Dist. Ahmednagar</x:v>
      </x:c>
      <x:c r="D1225" s="72" t="n">
        <x:v>538029310</x:v>
      </x:c>
      <x:c r="E1225" s="49" t="str">
        <x:v>Electrical Engineering</x:v>
      </x:c>
      <x:c r="F1225" s="73" t="n">
        <x:v>45</x:v>
      </x:c>
      <x:c r="G1225" s="73" t="n">
        <x:v>38</x:v>
      </x:c>
      <x:c r="H1225" s="73" t="n">
        <x:v>7</x:v>
      </x:c>
      <x:c r="I1225" s="73"/>
      <x:c r="J1225" s="73" t="n">
        <x:v>0</x:v>
      </x:c>
      <x:c r="K1225" s="49" t="str">
        <x:v>Un-Aided</x:v>
      </x:c>
      <x:c r="L1225" s="49" t="str">
        <x:v>MS Seats : 38+ EWS : 7</x:v>
      </x:c>
      <x:c r="M1225" s="49" t="str">
        <x:v>https://dse2025.mahacet.org.in/dse25/admin/allotment/cap2/5380_4.pdf</x:v>
      </x:c>
    </x:row>
    <x:row r="1226">
      <x:c r="A1226" s="49" t="str">
        <x:v>2025-26</x:v>
      </x:c>
      <x:c r="B1226" s="63" t="n">
        <x:v>5380</x:v>
      </x:c>
      <x:c r="C1226" s="49" t="str">
        <x:v>Adsul's Technical Campus, Chas Dist. Ahmednagar</x:v>
      </x:c>
      <x:c r="D1226" s="72" t="n">
        <x:v>538037210</x:v>
      </x:c>
      <x:c r="E1226" s="49" t="str">
        <x:v>Electronics and Telecommunication Engg</x:v>
      </x:c>
      <x:c r="F1226" s="73" t="n">
        <x:v>31</x:v>
      </x:c>
      <x:c r="G1226" s="73" t="n">
        <x:v>24</x:v>
      </x:c>
      <x:c r="H1226" s="73" t="n">
        <x:v>7</x:v>
      </x:c>
      <x:c r="I1226" s="73"/>
      <x:c r="J1226" s="73" t="n">
        <x:v>0</x:v>
      </x:c>
      <x:c r="K1226" s="49" t="str">
        <x:v>Un-Aided</x:v>
      </x:c>
      <x:c r="L1226" s="49" t="str">
        <x:v>MS Seats : 24+ EWS : 7</x:v>
      </x:c>
      <x:c r="M1226" s="49" t="str">
        <x:v>https://dse2025.mahacet.org.in/dse25/admin/allotment/cap2/5380_4.pdf</x:v>
      </x:c>
    </x:row>
    <x:row r="1227">
      <x:c r="A1227" s="49" t="str">
        <x:v>2025-26</x:v>
      </x:c>
      <x:c r="B1227" s="63" t="n">
        <x:v>5380</x:v>
      </x:c>
      <x:c r="C1227" s="49" t="str">
        <x:v>Adsul's Technical Campus, Chas Dist. Ahmednagar</x:v>
      </x:c>
      <x:c r="D1227" s="72" t="n">
        <x:v>538061210</x:v>
      </x:c>
      <x:c r="E1227" s="49" t="str">
        <x:v>Mechanical Engineering</x:v>
      </x:c>
      <x:c r="F1227" s="73" t="n">
        <x:v>39</x:v>
      </x:c>
      <x:c r="G1227" s="73" t="n">
        <x:v>32</x:v>
      </x:c>
      <x:c r="H1227" s="73" t="n">
        <x:v>7</x:v>
      </x:c>
      <x:c r="I1227" s="73"/>
      <x:c r="J1227" s="73" t="n">
        <x:v>0</x:v>
      </x:c>
      <x:c r="K1227" s="49" t="str">
        <x:v>Un-Aided</x:v>
      </x:c>
      <x:c r="L1227" s="49" t="str">
        <x:v>MS Seats : 32+ EWS : 7</x:v>
      </x:c>
      <x:c r="M1227" s="49" t="str">
        <x:v>https://dse2025.mahacet.org.in/dse25/admin/allotment/cap2/5380_4.pdf</x:v>
      </x:c>
    </x:row>
    <x:row r="1228">
      <x:c r="A1228" s="49" t="str">
        <x:v>2025-26</x:v>
      </x:c>
      <x:c r="B1228" s="63" t="n">
        <x:v>5380</x:v>
      </x:c>
      <x:c r="C1228" s="49" t="str">
        <x:v>Adsul's Technical Campus, Chas Dist. Ahmednagar</x:v>
      </x:c>
      <x:c r="D1228" s="72" t="n">
        <x:v>538099510</x:v>
      </x:c>
      <x:c r="E1228" s="49" t="str">
        <x:v>Artificial Intelligence and Data Science</x:v>
      </x:c>
      <x:c r="F1228" s="73" t="n">
        <x:v>19</x:v>
      </x:c>
      <x:c r="G1228" s="73" t="n">
        <x:v>14</x:v>
      </x:c>
      <x:c r="H1228" s="73" t="n">
        <x:v>5</x:v>
      </x:c>
      <x:c r="I1228" s="73"/>
      <x:c r="J1228" s="73" t="n">
        <x:v>0</x:v>
      </x:c>
      <x:c r="K1228" s="49" t="str">
        <x:v>Un-Aided</x:v>
      </x:c>
      <x:c r="L1228" s="49" t="str">
        <x:v>MS Seats : 14+ EWS : 5</x:v>
      </x:c>
      <x:c r="M1228" s="49" t="str">
        <x:v>https://dse2025.mahacet.org.in/dse25/admin/allotment/cap2/5380_4.pdf</x:v>
      </x:c>
    </x:row>
    <x:row r="1229">
      <x:c r="A1229" s="49" t="str">
        <x:v>2025-26</x:v>
      </x:c>
      <x:c r="B1229" s="63" t="n">
        <x:v>5381</x:v>
      </x:c>
      <x:c r="C1229" s="49" t="str">
        <x:v>Shri. Jaykumar Rawal Institute of Technology, Dondaicha.</x:v>
      </x:c>
      <x:c r="D1229" s="72" t="n">
        <x:v>538119110</x:v>
      </x:c>
      <x:c r="E1229" s="49" t="str">
        <x:v>Civil Engineering</x:v>
      </x:c>
      <x:c r="F1229" s="73" t="n">
        <x:v>37</x:v>
      </x:c>
      <x:c r="G1229" s="73" t="n">
        <x:v>32</x:v>
      </x:c>
      <x:c r="H1229" s="73" t="n">
        <x:v>5</x:v>
      </x:c>
      <x:c r="I1229" s="73"/>
      <x:c r="J1229" s="73" t="n">
        <x:v>0</x:v>
      </x:c>
      <x:c r="K1229" s="49" t="str">
        <x:v>Un-Aided</x:v>
      </x:c>
      <x:c r="L1229" s="49" t="str">
        <x:v>MS Seats : 32+ EWS : 5</x:v>
      </x:c>
      <x:c r="M1229" s="49" t="str">
        <x:v>https://dse2025.mahacet.org.in/dse25/admin/allotment/cap2/5381_4.pdf</x:v>
      </x:c>
    </x:row>
    <x:row r="1230">
      <x:c r="A1230" s="49" t="str">
        <x:v>2025-26</x:v>
      </x:c>
      <x:c r="B1230" s="63" t="n">
        <x:v>5381</x:v>
      </x:c>
      <x:c r="C1230" s="49" t="str">
        <x:v>Shri. Jaykumar Rawal Institute of Technology, Dondaicha.</x:v>
      </x:c>
      <x:c r="D1230" s="72" t="n">
        <x:v>538124210</x:v>
      </x:c>
      <x:c r="E1230" s="49" t="str">
        <x:v>Computer Science and Engineering</x:v>
      </x:c>
      <x:c r="F1230" s="73" t="n">
        <x:v>13</x:v>
      </x:c>
      <x:c r="G1230" s="73" t="n">
        <x:v>12</x:v>
      </x:c>
      <x:c r="H1230" s="73" t="n">
        <x:v>1</x:v>
      </x:c>
      <x:c r="I1230" s="73"/>
      <x:c r="J1230" s="73" t="n">
        <x:v>0</x:v>
      </x:c>
      <x:c r="K1230" s="49" t="str">
        <x:v>Un-Aided</x:v>
      </x:c>
      <x:c r="L1230" s="49" t="str">
        <x:v>MS Seats : 12+ EWS : 1</x:v>
      </x:c>
      <x:c r="M1230" s="49" t="str">
        <x:v>https://dse2025.mahacet.org.in/dse25/admin/allotment/cap2/5381_4.pdf</x:v>
      </x:c>
    </x:row>
    <x:row r="1231">
      <x:c r="A1231" s="49" t="str">
        <x:v>2025-26</x:v>
      </x:c>
      <x:c r="B1231" s="63" t="n">
        <x:v>5381</x:v>
      </x:c>
      <x:c r="C1231" s="49" t="str">
        <x:v>Shri. Jaykumar Rawal Institute of Technology, Dondaicha.</x:v>
      </x:c>
      <x:c r="D1231" s="72" t="n">
        <x:v>538129310</x:v>
      </x:c>
      <x:c r="E1231" s="49" t="str">
        <x:v>Electrical Engineering</x:v>
      </x:c>
      <x:c r="F1231" s="73" t="n">
        <x:v>37</x:v>
      </x:c>
      <x:c r="G1231" s="73" t="n">
        <x:v>35</x:v>
      </x:c>
      <x:c r="H1231" s="73" t="n">
        <x:v>2</x:v>
      </x:c>
      <x:c r="I1231" s="73"/>
      <x:c r="J1231" s="73" t="n">
        <x:v>0</x:v>
      </x:c>
      <x:c r="K1231" s="49" t="str">
        <x:v>Un-Aided</x:v>
      </x:c>
      <x:c r="L1231" s="49" t="str">
        <x:v>MS Seats : 35+ EWS : 2</x:v>
      </x:c>
      <x:c r="M1231" s="49" t="str">
        <x:v>https://dse2025.mahacet.org.in/dse25/admin/allotment/cap2/5381_4.pdf</x:v>
      </x:c>
    </x:row>
    <x:row r="1232">
      <x:c r="A1232" s="49" t="str">
        <x:v>2025-26</x:v>
      </x:c>
      <x:c r="B1232" s="63" t="n">
        <x:v>5381</x:v>
      </x:c>
      <x:c r="C1232" s="49" t="str">
        <x:v>Shri. Jaykumar Rawal Institute of Technology, Dondaicha.</x:v>
      </x:c>
      <x:c r="D1232" s="72" t="n">
        <x:v>538161210</x:v>
      </x:c>
      <x:c r="E1232" s="49" t="str">
        <x:v>Mechanical Engineering</x:v>
      </x:c>
      <x:c r="F1232" s="73" t="n">
        <x:v>57</x:v>
      </x:c>
      <x:c r="G1232" s="73" t="n">
        <x:v>53</x:v>
      </x:c>
      <x:c r="H1232" s="73" t="n">
        <x:v>4</x:v>
      </x:c>
      <x:c r="I1232" s="73"/>
      <x:c r="J1232" s="73" t="n">
        <x:v>0</x:v>
      </x:c>
      <x:c r="K1232" s="49" t="str">
        <x:v>Un-Aided</x:v>
      </x:c>
      <x:c r="L1232" s="49" t="str">
        <x:v>MS Seats : 53+ EWS : 4</x:v>
      </x:c>
      <x:c r="M1232" s="49" t="str">
        <x:v>https://dse2025.mahacet.org.in/dse25/admin/allotment/cap2/5381_4.pdf</x:v>
      </x:c>
    </x:row>
    <x:row r="1233">
      <x:c r="A1233" s="49" t="str">
        <x:v>2025-26</x:v>
      </x:c>
      <x:c r="B1233" s="63" t="n">
        <x:v>5381</x:v>
      </x:c>
      <x:c r="C1233" s="49" t="str">
        <x:v>Shri. Jaykumar Rawal Institute of Technology, Dondaicha.</x:v>
      </x:c>
      <x:c r="D1233" s="72" t="n">
        <x:v>538199510</x:v>
      </x:c>
      <x:c r="E1233" s="49" t="str">
        <x:v>Artificial Intelligence and Data Science</x:v>
      </x:c>
      <x:c r="F1233" s="73" t="n">
        <x:v>30</x:v>
      </x:c>
      <x:c r="G1233" s="73" t="n">
        <x:v>27</x:v>
      </x:c>
      <x:c r="H1233" s="73" t="n">
        <x:v>3</x:v>
      </x:c>
      <x:c r="I1233" s="73"/>
      <x:c r="J1233" s="73" t="n">
        <x:v>0</x:v>
      </x:c>
      <x:c r="K1233" s="49" t="str">
        <x:v>Un-Aided</x:v>
      </x:c>
      <x:c r="L1233" s="49" t="str">
        <x:v>MS Seats : 27+ EWS : 3</x:v>
      </x:c>
      <x:c r="M1233" s="49" t="str">
        <x:v>https://dse2025.mahacet.org.in/dse25/admin/allotment/cap2/5381_4.pdf</x:v>
      </x:c>
    </x:row>
    <x:row r="1234">
      <x:c r="A1234" s="49" t="str">
        <x:v>2025-26</x:v>
      </x:c>
      <x:c r="B1234" s="63" t="n">
        <x:v>5382</x:v>
      </x:c>
      <x:c r="C1234" s="49" t="str">
        <x:v>Ahmednagar Jilha Maratha Vidya Prasarak Samajache, Shri. Chhatrapati Shivaji Maharaj College of Engineering, Nepti</x:v>
      </x:c>
      <x:c r="D1234" s="72" t="n">
        <x:v>538219110</x:v>
      </x:c>
      <x:c r="E1234" s="49" t="str">
        <x:v>Civil Engineering</x:v>
      </x:c>
      <x:c r="F1234" s="73" t="n">
        <x:v>33</x:v>
      </x:c>
      <x:c r="G1234" s="73" t="n">
        <x:v>27</x:v>
      </x:c>
      <x:c r="H1234" s="73" t="n">
        <x:v>6</x:v>
      </x:c>
      <x:c r="I1234" s="73"/>
      <x:c r="J1234" s="73" t="n">
        <x:v>0</x:v>
      </x:c>
      <x:c r="K1234" s="49" t="str">
        <x:v>Un-Aided</x:v>
      </x:c>
      <x:c r="L1234" s="49" t="str">
        <x:v>MS Seats : 27+ EWS : 6</x:v>
      </x:c>
      <x:c r="M1234" s="49" t="str">
        <x:v>https://dse2025.mahacet.org.in/dse25/admin/allotment/cap2/5382_4.pdf</x:v>
      </x:c>
    </x:row>
    <x:row r="1235">
      <x:c r="A1235" s="49" t="str">
        <x:v>2025-26</x:v>
      </x:c>
      <x:c r="B1235" s="63" t="n">
        <x:v>5382</x:v>
      </x:c>
      <x:c r="C1235" s="49" t="str">
        <x:v>Ahmednagar Jilha Maratha Vidya Prasarak Samajache, Shri. Chhatrapati Shivaji Maharaj College of Engineering, Nepti</x:v>
      </x:c>
      <x:c r="D1235" s="72" t="n">
        <x:v>538224510</x:v>
      </x:c>
      <x:c r="E1235" s="49" t="str">
        <x:v>Computer Engineering</x:v>
      </x:c>
      <x:c r="F1235" s="73" t="n">
        <x:v>9</x:v>
      </x:c>
      <x:c r="G1235" s="73" t="n">
        <x:v>7</x:v>
      </x:c>
      <x:c r="H1235" s="73" t="n">
        <x:v>2</x:v>
      </x:c>
      <x:c r="I1235" s="73"/>
      <x:c r="J1235" s="73" t="n">
        <x:v>0</x:v>
      </x:c>
      <x:c r="K1235" s="49" t="str">
        <x:v>Un-Aided</x:v>
      </x:c>
      <x:c r="L1235" s="49" t="str">
        <x:v>MS Seats : 7+ EWS : 2</x:v>
      </x:c>
      <x:c r="M1235" s="49" t="str">
        <x:v>https://dse2025.mahacet.org.in/dse25/admin/allotment/cap2/5382_4.pdf</x:v>
      </x:c>
    </x:row>
    <x:row r="1236">
      <x:c r="A1236" s="49" t="str">
        <x:v>2025-26</x:v>
      </x:c>
      <x:c r="B1236" s="63" t="n">
        <x:v>5382</x:v>
      </x:c>
      <x:c r="C1236" s="49" t="str">
        <x:v>Ahmednagar Jilha Maratha Vidya Prasarak Samajache, Shri. Chhatrapati Shivaji Maharaj College of Engineering, Nepti</x:v>
      </x:c>
      <x:c r="D1236" s="72" t="n">
        <x:v>538226310</x:v>
      </x:c>
      <x:c r="E1236" s="49" t="str">
        <x:v>Artificial Intelligence (AI) and Data Science</x:v>
      </x:c>
      <x:c r="F1236" s="73" t="n">
        <x:v>14</x:v>
      </x:c>
      <x:c r="G1236" s="73" t="n">
        <x:v>7</x:v>
      </x:c>
      <x:c r="H1236" s="73" t="n">
        <x:v>7</x:v>
      </x:c>
      <x:c r="I1236" s="73"/>
      <x:c r="J1236" s="73" t="n">
        <x:v>0</x:v>
      </x:c>
      <x:c r="K1236" s="49" t="str">
        <x:v>Un-Aided</x:v>
      </x:c>
      <x:c r="L1236" s="49" t="str">
        <x:v>MS Seats : 7+ EWS : 7</x:v>
      </x:c>
      <x:c r="M1236" s="49" t="str">
        <x:v>https://dse2025.mahacet.org.in/dse25/admin/allotment/cap2/5382_4.pdf</x:v>
      </x:c>
    </x:row>
    <x:row r="1237">
      <x:c r="A1237" s="49" t="str">
        <x:v>2025-26</x:v>
      </x:c>
      <x:c r="B1237" s="63" t="n">
        <x:v>5382</x:v>
      </x:c>
      <x:c r="C1237" s="49" t="str">
        <x:v>Ahmednagar Jilha Maratha Vidya Prasarak Samajache, Shri. Chhatrapati Shivaji Maharaj College of Engineering, Nepti</x:v>
      </x:c>
      <x:c r="D1237" s="72" t="n">
        <x:v>538237210</x:v>
      </x:c>
      <x:c r="E1237" s="49" t="str">
        <x:v>Electronics and Telecommunication Engg</x:v>
      </x:c>
      <x:c r="F1237" s="73" t="n">
        <x:v>22</x:v>
      </x:c>
      <x:c r="G1237" s="73" t="n">
        <x:v>15</x:v>
      </x:c>
      <x:c r="H1237" s="73" t="n">
        <x:v>7</x:v>
      </x:c>
      <x:c r="I1237" s="73"/>
      <x:c r="J1237" s="73" t="n">
        <x:v>0</x:v>
      </x:c>
      <x:c r="K1237" s="49" t="str">
        <x:v>Un-Aided</x:v>
      </x:c>
      <x:c r="L1237" s="49" t="str">
        <x:v>MS Seats : 15+ EWS : 7</x:v>
      </x:c>
      <x:c r="M1237" s="49" t="str">
        <x:v>https://dse2025.mahacet.org.in/dse25/admin/allotment/cap2/5382_4.pdf</x:v>
      </x:c>
    </x:row>
    <x:row r="1238">
      <x:c r="A1238" s="49" t="str">
        <x:v>2025-26</x:v>
      </x:c>
      <x:c r="B1238" s="63" t="n">
        <x:v>5382</x:v>
      </x:c>
      <x:c r="C1238" s="49" t="str">
        <x:v>Ahmednagar Jilha Maratha Vidya Prasarak Samajache, Shri. Chhatrapati Shivaji Maharaj College of Engineering, Nepti</x:v>
      </x:c>
      <x:c r="D1238" s="72" t="n">
        <x:v>538261210</x:v>
      </x:c>
      <x:c r="E1238" s="49" t="str">
        <x:v>Mechanical Engineering</x:v>
      </x:c>
      <x:c r="F1238" s="73" t="n">
        <x:v>17</x:v>
      </x:c>
      <x:c r="G1238" s="73" t="n">
        <x:v>11</x:v>
      </x:c>
      <x:c r="H1238" s="73" t="n">
        <x:v>6</x:v>
      </x:c>
      <x:c r="I1238" s="73"/>
      <x:c r="J1238" s="73" t="n">
        <x:v>0</x:v>
      </x:c>
      <x:c r="K1238" s="49" t="str">
        <x:v>Un-Aided</x:v>
      </x:c>
      <x:c r="L1238" s="49" t="str">
        <x:v>MS Seats : 11+ EWS : 6</x:v>
      </x:c>
      <x:c r="M1238" s="49" t="str">
        <x:v>https://dse2025.mahacet.org.in/dse25/admin/allotment/cap2/5382_4.pdf</x:v>
      </x:c>
    </x:row>
    <x:row r="1239">
      <x:c r="A1239" s="49" t="str">
        <x:v>2025-26</x:v>
      </x:c>
      <x:c r="B1239" s="63" t="n">
        <x:v>5390</x:v>
      </x:c>
      <x:c r="C1239" s="49" t="str">
        <x:v>K.V.N. Naik S. P. Sansth's Loknete Gopinathji Munde Institute of Engineering Education &amp; Research, Nashik.</x:v>
      </x:c>
      <x:c r="D1239" s="72" t="n">
        <x:v>539019110</x:v>
      </x:c>
      <x:c r="E1239" s="49" t="str">
        <x:v>Civil Engineering</x:v>
      </x:c>
      <x:c r="F1239" s="73" t="n">
        <x:v>28</x:v>
      </x:c>
      <x:c r="G1239" s="73" t="n">
        <x:v>21</x:v>
      </x:c>
      <x:c r="H1239" s="73" t="n">
        <x:v>7</x:v>
      </x:c>
      <x:c r="I1239" s="73"/>
      <x:c r="J1239" s="73" t="n">
        <x:v>0</x:v>
      </x:c>
      <x:c r="K1239" s="49" t="str">
        <x:v>Un-Aided</x:v>
      </x:c>
      <x:c r="L1239" s="49" t="str">
        <x:v>MS Seats : 21+ EWS : 7</x:v>
      </x:c>
      <x:c r="M1239" s="49" t="str">
        <x:v>https://dse2025.mahacet.org.in/dse25/admin/allotment/cap2/5390_4.pdf</x:v>
      </x:c>
    </x:row>
    <x:row r="1240">
      <x:c r="A1240" s="49" t="str">
        <x:v>2025-26</x:v>
      </x:c>
      <x:c r="B1240" s="63" t="n">
        <x:v>5390</x:v>
      </x:c>
      <x:c r="C1240" s="49" t="str">
        <x:v>K.V.N. Naik S. P. Sansth's Loknete Gopinathji Munde Institute of Engineering Education &amp; Research, Nashik.</x:v>
      </x:c>
      <x:c r="D1240" s="72" t="n">
        <x:v>539024510</x:v>
      </x:c>
      <x:c r="E1240" s="49" t="str">
        <x:v>Computer Engineering</x:v>
      </x:c>
      <x:c r="F1240" s="73" t="n">
        <x:v>11</x:v>
      </x:c>
      <x:c r="G1240" s="73" t="n">
        <x:v>8</x:v>
      </x:c>
      <x:c r="H1240" s="73" t="n">
        <x:v>3</x:v>
      </x:c>
      <x:c r="I1240" s="73"/>
      <x:c r="J1240" s="73" t="n">
        <x:v>0</x:v>
      </x:c>
      <x:c r="K1240" s="49" t="str">
        <x:v>Un-Aided</x:v>
      </x:c>
      <x:c r="L1240" s="49" t="str">
        <x:v>MS Seats : 8+ EWS : 3</x:v>
      </x:c>
      <x:c r="M1240" s="49" t="str">
        <x:v>https://dse2025.mahacet.org.in/dse25/admin/allotment/cap2/5390_4.pdf</x:v>
      </x:c>
    </x:row>
    <x:row r="1241">
      <x:c r="A1241" s="49" t="str">
        <x:v>2025-26</x:v>
      </x:c>
      <x:c r="B1241" s="63" t="n">
        <x:v>5390</x:v>
      </x:c>
      <x:c r="C1241" s="49" t="str">
        <x:v>K.V.N. Naik S. P. Sansth's Loknete Gopinathji Munde Institute of Engineering Education &amp; Research, Nashik.</x:v>
      </x:c>
      <x:c r="D1241" s="72" t="n">
        <x:v>539024610</x:v>
      </x:c>
      <x:c r="E1241" s="49" t="str">
        <x:v>Information Technology</x:v>
      </x:c>
      <x:c r="F1241" s="73" t="n">
        <x:v>5</x:v>
      </x:c>
      <x:c r="G1241" s="73" t="n">
        <x:v>4</x:v>
      </x:c>
      <x:c r="H1241" s="73" t="n">
        <x:v>1</x:v>
      </x:c>
      <x:c r="I1241" s="73"/>
      <x:c r="J1241" s="73" t="n">
        <x:v>0</x:v>
      </x:c>
      <x:c r="K1241" s="49" t="str">
        <x:v>Un-Aided</x:v>
      </x:c>
      <x:c r="L1241" s="49" t="str">
        <x:v>MS Seats : 4+ EWS : 1</x:v>
      </x:c>
      <x:c r="M1241" s="49" t="str">
        <x:v>https://dse2025.mahacet.org.in/dse25/admin/allotment/cap2/5390_4.pdf</x:v>
      </x:c>
    </x:row>
    <x:row r="1242">
      <x:c r="A1242" s="49" t="str">
        <x:v>2025-26</x:v>
      </x:c>
      <x:c r="B1242" s="63" t="n">
        <x:v>5390</x:v>
      </x:c>
      <x:c r="C1242" s="49" t="str">
        <x:v>K.V.N. Naik S. P. Sansth's Loknete Gopinathji Munde Institute of Engineering Education &amp; Research, Nashik.</x:v>
      </x:c>
      <x:c r="D1242" s="72" t="n">
        <x:v>539029310</x:v>
      </x:c>
      <x:c r="E1242" s="49" t="str">
        <x:v>Electrical Engineering</x:v>
      </x:c>
      <x:c r="F1242" s="73" t="n">
        <x:v>26</x:v>
      </x:c>
      <x:c r="G1242" s="73" t="n">
        <x:v>20</x:v>
      </x:c>
      <x:c r="H1242" s="73" t="n">
        <x:v>6</x:v>
      </x:c>
      <x:c r="I1242" s="73"/>
      <x:c r="J1242" s="73" t="n">
        <x:v>0</x:v>
      </x:c>
      <x:c r="K1242" s="49" t="str">
        <x:v>Un-Aided</x:v>
      </x:c>
      <x:c r="L1242" s="49" t="str">
        <x:v>MS Seats : 20+ EWS : 6</x:v>
      </x:c>
      <x:c r="M1242" s="49" t="str">
        <x:v>https://dse2025.mahacet.org.in/dse25/admin/allotment/cap2/5390_4.pdf</x:v>
      </x:c>
    </x:row>
    <x:row r="1243">
      <x:c r="A1243" s="49" t="str">
        <x:v>2025-26</x:v>
      </x:c>
      <x:c r="B1243" s="63" t="n">
        <x:v>5390</x:v>
      </x:c>
      <x:c r="C1243" s="49" t="str">
        <x:v>K.V.N. Naik S. P. Sansth's Loknete Gopinathji Munde Institute of Engineering Education &amp; Research, Nashik.</x:v>
      </x:c>
      <x:c r="D1243" s="72" t="n">
        <x:v>539061210</x:v>
      </x:c>
      <x:c r="E1243" s="49" t="str">
        <x:v>Mechanical Engineering</x:v>
      </x:c>
      <x:c r="F1243" s="73" t="n">
        <x:v>22</x:v>
      </x:c>
      <x:c r="G1243" s="73" t="n">
        <x:v>15</x:v>
      </x:c>
      <x:c r="H1243" s="73" t="n">
        <x:v>7</x:v>
      </x:c>
      <x:c r="I1243" s="73"/>
      <x:c r="J1243" s="73" t="n">
        <x:v>0</x:v>
      </x:c>
      <x:c r="K1243" s="49" t="str">
        <x:v>Un-Aided</x:v>
      </x:c>
      <x:c r="L1243" s="49" t="str">
        <x:v>MS Seats : 15+ EWS : 7</x:v>
      </x:c>
      <x:c r="M1243" s="49" t="str">
        <x:v>https://dse2025.mahacet.org.in/dse25/admin/allotment/cap2/5390_4.pdf</x:v>
      </x:c>
    </x:row>
    <x:row r="1244">
      <x:c r="A1244" s="49" t="str">
        <x:v>2025-26</x:v>
      </x:c>
      <x:c r="B1244" s="63" t="n">
        <x:v>5390</x:v>
      </x:c>
      <x:c r="C1244" s="49" t="str">
        <x:v>K.V.N. Naik S. P. Sansth's Loknete Gopinathji Munde Institute of Engineering Education &amp; Research, Nashik.</x:v>
      </x:c>
      <x:c r="D1244" s="72" t="n">
        <x:v>539092110</x:v>
      </x:c>
      <x:c r="E1244" s="49" t="str">
        <x:v>Artificial Intelligence and Machine Learning</x:v>
      </x:c>
      <x:c r="F1244" s="73" t="n">
        <x:v>12</x:v>
      </x:c>
      <x:c r="G1244" s="73" t="n">
        <x:v>7</x:v>
      </x:c>
      <x:c r="H1244" s="73" t="n">
        <x:v>5</x:v>
      </x:c>
      <x:c r="I1244" s="73"/>
      <x:c r="J1244" s="73" t="n">
        <x:v>0</x:v>
      </x:c>
      <x:c r="K1244" s="49" t="str">
        <x:v>Un-Aided</x:v>
      </x:c>
      <x:c r="L1244" s="49" t="str">
        <x:v>MS Seats : 7+ EWS : 5</x:v>
      </x:c>
      <x:c r="M1244" s="49" t="str">
        <x:v>https://dse2025.mahacet.org.in/dse25/admin/allotment/cap2/5390_4.pdf</x:v>
      </x:c>
    </x:row>
    <x:row r="1245">
      <x:c r="A1245" s="49" t="str">
        <x:v>2025-26</x:v>
      </x:c>
      <x:c r="B1245" s="63" t="n">
        <x:v>5396</x:v>
      </x:c>
      <x:c r="C1245" s="49" t="str">
        <x:v>College of Engineering and Technology ,North Maharashtra Knowledge City, Jalgaon</x:v>
      </x:c>
      <x:c r="D1245" s="72" t="n">
        <x:v>539619110</x:v>
      </x:c>
      <x:c r="E1245" s="49" t="str">
        <x:v>Civil Engineering</x:v>
      </x:c>
      <x:c r="F1245" s="73" t="n">
        <x:v>29</x:v>
      </x:c>
      <x:c r="G1245" s="73" t="n">
        <x:v>26</x:v>
      </x:c>
      <x:c r="H1245" s="73" t="n">
        <x:v>3</x:v>
      </x:c>
      <x:c r="I1245" s="73"/>
      <x:c r="J1245" s="73" t="n">
        <x:v>0</x:v>
      </x:c>
      <x:c r="K1245" s="49" t="str">
        <x:v>Un-Aided</x:v>
      </x:c>
      <x:c r="L1245" s="49" t="str">
        <x:v>MS Seats : 26+ EWS : 3</x:v>
      </x:c>
      <x:c r="M1245" s="49" t="str">
        <x:v>https://dse2025.mahacet.org.in/dse25/admin/allotment/cap2/5396_4.pdf</x:v>
      </x:c>
    </x:row>
    <x:row r="1246">
      <x:c r="A1246" s="49" t="str">
        <x:v>2025-26</x:v>
      </x:c>
      <x:c r="B1246" s="63" t="n">
        <x:v>5396</x:v>
      </x:c>
      <x:c r="C1246" s="49" t="str">
        <x:v>College of Engineering and Technology ,North Maharashtra Knowledge City, Jalgaon</x:v>
      </x:c>
      <x:c r="D1246" s="72" t="n">
        <x:v>539624510</x:v>
      </x:c>
      <x:c r="E1246" s="49" t="str">
        <x:v>Computer Engineering</x:v>
      </x:c>
      <x:c r="F1246" s="73" t="n">
        <x:v>12</x:v>
      </x:c>
      <x:c r="G1246" s="73" t="n">
        <x:v>9</x:v>
      </x:c>
      <x:c r="H1246" s="73" t="n">
        <x:v>3</x:v>
      </x:c>
      <x:c r="I1246" s="73"/>
      <x:c r="J1246" s="73" t="n">
        <x:v>0</x:v>
      </x:c>
      <x:c r="K1246" s="49" t="str">
        <x:v>Un-Aided</x:v>
      </x:c>
      <x:c r="L1246" s="49" t="str">
        <x:v>MS Seats : 9+ EWS : 3</x:v>
      </x:c>
      <x:c r="M1246" s="49" t="str">
        <x:v>https://dse2025.mahacet.org.in/dse25/admin/allotment/cap2/5396_4.pdf</x:v>
      </x:c>
    </x:row>
    <x:row r="1247">
      <x:c r="A1247" s="49" t="str">
        <x:v>2025-26</x:v>
      </x:c>
      <x:c r="B1247" s="63" t="n">
        <x:v>5396</x:v>
      </x:c>
      <x:c r="C1247" s="49" t="str">
        <x:v>College of Engineering and Technology ,North Maharashtra Knowledge City, Jalgaon</x:v>
      </x:c>
      <x:c r="D1247" s="72" t="n">
        <x:v>539629310</x:v>
      </x:c>
      <x:c r="E1247" s="49" t="str">
        <x:v>Electrical Engineering</x:v>
      </x:c>
      <x:c r="F1247" s="73" t="n">
        <x:v>25</x:v>
      </x:c>
      <x:c r="G1247" s="73" t="n">
        <x:v>22</x:v>
      </x:c>
      <x:c r="H1247" s="73" t="n">
        <x:v>3</x:v>
      </x:c>
      <x:c r="I1247" s="73"/>
      <x:c r="J1247" s="73" t="n">
        <x:v>0</x:v>
      </x:c>
      <x:c r="K1247" s="49" t="str">
        <x:v>Un-Aided</x:v>
      </x:c>
      <x:c r="L1247" s="49" t="str">
        <x:v>MS Seats : 22+ EWS : 3</x:v>
      </x:c>
      <x:c r="M1247" s="49" t="str">
        <x:v>https://dse2025.mahacet.org.in/dse25/admin/allotment/cap2/5396_4.pdf</x:v>
      </x:c>
    </x:row>
    <x:row r="1248">
      <x:c r="A1248" s="49" t="str">
        <x:v>2025-26</x:v>
      </x:c>
      <x:c r="B1248" s="63" t="n">
        <x:v>5396</x:v>
      </x:c>
      <x:c r="C1248" s="49" t="str">
        <x:v>College of Engineering and Technology ,North Maharashtra Knowledge City, Jalgaon</x:v>
      </x:c>
      <x:c r="D1248" s="72" t="n">
        <x:v>539661210</x:v>
      </x:c>
      <x:c r="E1248" s="49" t="str">
        <x:v>Mechanical Engineering</x:v>
      </x:c>
      <x:c r="F1248" s="73" t="n">
        <x:v>29</x:v>
      </x:c>
      <x:c r="G1248" s="73" t="n">
        <x:v>25</x:v>
      </x:c>
      <x:c r="H1248" s="73" t="n">
        <x:v>4</x:v>
      </x:c>
      <x:c r="I1248" s="73"/>
      <x:c r="J1248" s="73" t="n">
        <x:v>0</x:v>
      </x:c>
      <x:c r="K1248" s="49" t="str">
        <x:v>Un-Aided</x:v>
      </x:c>
      <x:c r="L1248" s="49" t="str">
        <x:v>MS Seats : 25+ EWS : 4</x:v>
      </x:c>
      <x:c r="M1248" s="49" t="str">
        <x:v>https://dse2025.mahacet.org.in/dse25/admin/allotment/cap2/5396_4.pdf</x:v>
      </x:c>
    </x:row>
    <x:row r="1249">
      <x:c r="A1249" s="49" t="str">
        <x:v>2025-26</x:v>
      </x:c>
      <x:c r="B1249" s="63" t="n">
        <x:v>5399</x:v>
      </x:c>
      <x:c r="C1249" s="49" t="str">
        <x:v>Sanghavi College of Engineering, Varvandi, Nashik.</x:v>
      </x:c>
      <x:c r="D1249" s="72" t="n">
        <x:v>539919110</x:v>
      </x:c>
      <x:c r="E1249" s="49" t="str">
        <x:v>Civil Engineering</x:v>
      </x:c>
      <x:c r="F1249" s="73" t="n">
        <x:v>53</x:v>
      </x:c>
      <x:c r="G1249" s="73" t="n">
        <x:v>46</x:v>
      </x:c>
      <x:c r="H1249" s="73" t="n">
        <x:v>7</x:v>
      </x:c>
      <x:c r="I1249" s="73"/>
      <x:c r="J1249" s="73" t="n">
        <x:v>0</x:v>
      </x:c>
      <x:c r="K1249" s="49" t="str">
        <x:v>Un-Aided</x:v>
      </x:c>
      <x:c r="L1249" s="49" t="str">
        <x:v>MS Seats : 46+ EWS : 7</x:v>
      </x:c>
      <x:c r="M1249" s="49" t="str">
        <x:v>https://dse2025.mahacet.org.in/dse25/admin/allotment/cap2/5399_4.pdf</x:v>
      </x:c>
    </x:row>
    <x:row r="1250">
      <x:c r="A1250" s="49" t="str">
        <x:v>2025-26</x:v>
      </x:c>
      <x:c r="B1250" s="63" t="n">
        <x:v>5399</x:v>
      </x:c>
      <x:c r="C1250" s="49" t="str">
        <x:v>Sanghavi College of Engineering, Varvandi, Nashik.</x:v>
      </x:c>
      <x:c r="D1250" s="72" t="n">
        <x:v>539924510</x:v>
      </x:c>
      <x:c r="E1250" s="49" t="str">
        <x:v>Computer Engineering</x:v>
      </x:c>
      <x:c r="F1250" s="73" t="n">
        <x:v>30</x:v>
      </x:c>
      <x:c r="G1250" s="73" t="n">
        <x:v>24</x:v>
      </x:c>
      <x:c r="H1250" s="73" t="n">
        <x:v>6</x:v>
      </x:c>
      <x:c r="I1250" s="73"/>
      <x:c r="J1250" s="73" t="n">
        <x:v>0</x:v>
      </x:c>
      <x:c r="K1250" s="49" t="str">
        <x:v>Un-Aided</x:v>
      </x:c>
      <x:c r="L1250" s="49" t="str">
        <x:v>MS Seats : 24+ EWS : 6</x:v>
      </x:c>
      <x:c r="M1250" s="49" t="str">
        <x:v>https://dse2025.mahacet.org.in/dse25/admin/allotment/cap2/5399_4.pdf</x:v>
      </x:c>
    </x:row>
    <x:row r="1251">
      <x:c r="A1251" s="49" t="str">
        <x:v>2025-26</x:v>
      </x:c>
      <x:c r="B1251" s="63" t="n">
        <x:v>5399</x:v>
      </x:c>
      <x:c r="C1251" s="49" t="str">
        <x:v>Sanghavi College of Engineering, Varvandi, Nashik.</x:v>
      </x:c>
      <x:c r="D1251" s="72" t="n">
        <x:v>539924610</x:v>
      </x:c>
      <x:c r="E1251" s="49" t="str">
        <x:v>Information Technology</x:v>
      </x:c>
      <x:c r="F1251" s="73" t="n">
        <x:v>35</x:v>
      </x:c>
      <x:c r="G1251" s="73" t="n">
        <x:v>28</x:v>
      </x:c>
      <x:c r="H1251" s="73" t="n">
        <x:v>7</x:v>
      </x:c>
      <x:c r="I1251" s="73"/>
      <x:c r="J1251" s="73" t="n">
        <x:v>0</x:v>
      </x:c>
      <x:c r="K1251" s="49" t="str">
        <x:v>Un-Aided</x:v>
      </x:c>
      <x:c r="L1251" s="49" t="str">
        <x:v>MS Seats : 28+ EWS : 7</x:v>
      </x:c>
      <x:c r="M1251" s="49" t="str">
        <x:v>https://dse2025.mahacet.org.in/dse25/admin/allotment/cap2/5399_4.pdf</x:v>
      </x:c>
    </x:row>
    <x:row r="1252">
      <x:c r="A1252" s="49" t="str">
        <x:v>2025-26</x:v>
      </x:c>
      <x:c r="B1252" s="63" t="n">
        <x:v>5399</x:v>
      </x:c>
      <x:c r="C1252" s="49" t="str">
        <x:v>Sanghavi College of Engineering, Varvandi, Nashik.</x:v>
      </x:c>
      <x:c r="D1252" s="72" t="n">
        <x:v>539929310</x:v>
      </x:c>
      <x:c r="E1252" s="49" t="str">
        <x:v>Electrical Engineering</x:v>
      </x:c>
      <x:c r="F1252" s="73" t="n">
        <x:v>42</x:v>
      </x:c>
      <x:c r="G1252" s="73" t="n">
        <x:v>35</x:v>
      </x:c>
      <x:c r="H1252" s="73" t="n">
        <x:v>7</x:v>
      </x:c>
      <x:c r="I1252" s="73"/>
      <x:c r="J1252" s="73" t="n">
        <x:v>0</x:v>
      </x:c>
      <x:c r="K1252" s="49" t="str">
        <x:v>Un-Aided</x:v>
      </x:c>
      <x:c r="L1252" s="49" t="str">
        <x:v>MS Seats : 35+ EWS : 7</x:v>
      </x:c>
      <x:c r="M1252" s="49" t="str">
        <x:v>https://dse2025.mahacet.org.in/dse25/admin/allotment/cap2/5399_4.pdf</x:v>
      </x:c>
    </x:row>
    <x:row r="1253">
      <x:c r="A1253" s="49" t="str">
        <x:v>2025-26</x:v>
      </x:c>
      <x:c r="B1253" s="63" t="n">
        <x:v>5399</x:v>
      </x:c>
      <x:c r="C1253" s="49" t="str">
        <x:v>Sanghavi College of Engineering, Varvandi, Nashik.</x:v>
      </x:c>
      <x:c r="D1253" s="72" t="n">
        <x:v>539961210</x:v>
      </x:c>
      <x:c r="E1253" s="49" t="str">
        <x:v>Mechanical Engineering</x:v>
      </x:c>
      <x:c r="F1253" s="73" t="n">
        <x:v>52</x:v>
      </x:c>
      <x:c r="G1253" s="73" t="n">
        <x:v>45</x:v>
      </x:c>
      <x:c r="H1253" s="73" t="n">
        <x:v>7</x:v>
      </x:c>
      <x:c r="I1253" s="73"/>
      <x:c r="J1253" s="73" t="n">
        <x:v>0</x:v>
      </x:c>
      <x:c r="K1253" s="49" t="str">
        <x:v>Un-Aided</x:v>
      </x:c>
      <x:c r="L1253" s="49" t="str">
        <x:v>MS Seats : 45+ EWS : 7</x:v>
      </x:c>
      <x:c r="M1253" s="49" t="str">
        <x:v>https://dse2025.mahacet.org.in/dse25/admin/allotment/cap2/5399_4.pdf</x:v>
      </x:c>
    </x:row>
    <x:row r="1254">
      <x:c r="A1254" s="49" t="str">
        <x:v>2025-26</x:v>
      </x:c>
      <x:c r="B1254" s="63" t="n">
        <x:v>5399</x:v>
      </x:c>
      <x:c r="C1254" s="49" t="str">
        <x:v>Sanghavi College of Engineering, Varvandi, Nashik.</x:v>
      </x:c>
      <x:c r="D1254" s="72" t="n">
        <x:v>539992110</x:v>
      </x:c>
      <x:c r="E1254" s="49" t="str">
        <x:v>Artificial Intelligence and Machine Learning</x:v>
      </x:c>
      <x:c r="F1254" s="73" t="n">
        <x:v>38</x:v>
      </x:c>
      <x:c r="G1254" s="73" t="n">
        <x:v>31</x:v>
      </x:c>
      <x:c r="H1254" s="73" t="n">
        <x:v>7</x:v>
      </x:c>
      <x:c r="I1254" s="73"/>
      <x:c r="J1254" s="73" t="n">
        <x:v>0</x:v>
      </x:c>
      <x:c r="K1254" s="49" t="str">
        <x:v>Un-Aided</x:v>
      </x:c>
      <x:c r="L1254" s="49" t="str">
        <x:v>MS Seats : 31+ EWS : 7</x:v>
      </x:c>
      <x:c r="M1254" s="49" t="str">
        <x:v>https://dse2025.mahacet.org.in/dse25/admin/allotment/cap2/5399_4.pdf</x:v>
      </x:c>
    </x:row>
    <x:row r="1255">
      <x:c r="A1255" s="49" t="str">
        <x:v>2025-26</x:v>
      </x:c>
      <x:c r="B1255" s="63" t="n">
        <x:v>5401</x:v>
      </x:c>
      <x:c r="C1255" s="49" t="str">
        <x:v>Jawahar Education Society's Institute of Technology, Management &amp; Research, Nashik.</x:v>
      </x:c>
      <x:c r="D1255" s="72" t="n">
        <x:v>540119110</x:v>
      </x:c>
      <x:c r="E1255" s="49" t="str">
        <x:v>Civil Engineering</x:v>
      </x:c>
      <x:c r="F1255" s="73" t="n">
        <x:v>22</x:v>
      </x:c>
      <x:c r="G1255" s="73" t="n">
        <x:v>20</x:v>
      </x:c>
      <x:c r="H1255" s="73" t="n">
        <x:v>2</x:v>
      </x:c>
      <x:c r="I1255" s="73"/>
      <x:c r="J1255" s="73" t="n">
        <x:v>0</x:v>
      </x:c>
      <x:c r="K1255" s="49" t="str">
        <x:v>Un-Aided</x:v>
      </x:c>
      <x:c r="L1255" s="49" t="str">
        <x:v>MS Seats : 20+ EWS : 2</x:v>
      </x:c>
      <x:c r="M1255" s="49" t="str">
        <x:v>https://dse2025.mahacet.org.in/dse25/admin/allotment/cap2/5401_4.pdf</x:v>
      </x:c>
    </x:row>
    <x:row r="1256">
      <x:c r="A1256" s="49" t="str">
        <x:v>2025-26</x:v>
      </x:c>
      <x:c r="B1256" s="63" t="n">
        <x:v>5401</x:v>
      </x:c>
      <x:c r="C1256" s="49" t="str">
        <x:v>Jawahar Education Society's Institute of Technology, Management &amp; Research, Nashik.</x:v>
      </x:c>
      <x:c r="D1256" s="72" t="n">
        <x:v>540124510</x:v>
      </x:c>
      <x:c r="E1256" s="49" t="str">
        <x:v>Computer Engineering</x:v>
      </x:c>
      <x:c r="F1256" s="73" t="n">
        <x:v>48</x:v>
      </x:c>
      <x:c r="G1256" s="73" t="n">
        <x:v>40</x:v>
      </x:c>
      <x:c r="H1256" s="73" t="n">
        <x:v>8</x:v>
      </x:c>
      <x:c r="I1256" s="73"/>
      <x:c r="J1256" s="73" t="n">
        <x:v>0</x:v>
      </x:c>
      <x:c r="K1256" s="49" t="str">
        <x:v>Un-Aided</x:v>
      </x:c>
      <x:c r="L1256" s="49" t="str">
        <x:v>MS Seats : 40+ EWS : 8</x:v>
      </x:c>
      <x:c r="M1256" s="49" t="str">
        <x:v>https://dse2025.mahacet.org.in/dse25/admin/allotment/cap2/5401_4.pdf</x:v>
      </x:c>
    </x:row>
    <x:row r="1257">
      <x:c r="A1257" s="49" t="str">
        <x:v>2025-26</x:v>
      </x:c>
      <x:c r="B1257" s="63" t="n">
        <x:v>5401</x:v>
      </x:c>
      <x:c r="C1257" s="49" t="str">
        <x:v>Jawahar Education Society's Institute of Technology, Management &amp; Research, Nashik.</x:v>
      </x:c>
      <x:c r="D1257" s="72" t="n">
        <x:v>540124610</x:v>
      </x:c>
      <x:c r="E1257" s="49" t="str">
        <x:v>Information Technology</x:v>
      </x:c>
      <x:c r="F1257" s="73" t="n">
        <x:v>45</x:v>
      </x:c>
      <x:c r="G1257" s="73" t="n">
        <x:v>37</x:v>
      </x:c>
      <x:c r="H1257" s="73" t="n">
        <x:v>8</x:v>
      </x:c>
      <x:c r="I1257" s="73"/>
      <x:c r="J1257" s="73" t="n">
        <x:v>0</x:v>
      </x:c>
      <x:c r="K1257" s="49" t="str">
        <x:v>Un-Aided</x:v>
      </x:c>
      <x:c r="L1257" s="49" t="str">
        <x:v>MS Seats : 37+ EWS : 8</x:v>
      </x:c>
      <x:c r="M1257" s="49" t="str">
        <x:v>https://dse2025.mahacet.org.in/dse25/admin/allotment/cap2/5401_4.pdf</x:v>
      </x:c>
    </x:row>
    <x:row r="1258">
      <x:c r="A1258" s="49" t="str">
        <x:v>2025-26</x:v>
      </x:c>
      <x:c r="B1258" s="63" t="n">
        <x:v>5401</x:v>
      </x:c>
      <x:c r="C1258" s="49" t="str">
        <x:v>Jawahar Education Society's Institute of Technology, Management &amp; Research, Nashik.</x:v>
      </x:c>
      <x:c r="D1258" s="72" t="n">
        <x:v>540126310</x:v>
      </x:c>
      <x:c r="E1258" s="49" t="str">
        <x:v>Artificial Intelligence (AI) and Data Science</x:v>
      </x:c>
      <x:c r="F1258" s="73" t="n">
        <x:v>46</x:v>
      </x:c>
      <x:c r="G1258" s="73" t="n">
        <x:v>36</x:v>
      </x:c>
      <x:c r="H1258" s="73" t="n">
        <x:v>10</x:v>
      </x:c>
      <x:c r="I1258" s="73"/>
      <x:c r="J1258" s="73" t="n">
        <x:v>0</x:v>
      </x:c>
      <x:c r="K1258" s="49" t="str">
        <x:v>Un-Aided</x:v>
      </x:c>
      <x:c r="L1258" s="49" t="str">
        <x:v>MS Seats : 36+ EWS : 10</x:v>
      </x:c>
      <x:c r="M1258" s="49" t="str">
        <x:v>https://dse2025.mahacet.org.in/dse25/admin/allotment/cap2/5401_4.pdf</x:v>
      </x:c>
    </x:row>
    <x:row r="1259">
      <x:c r="A1259" s="49" t="str">
        <x:v>2025-26</x:v>
      </x:c>
      <x:c r="B1259" s="63" t="n">
        <x:v>5401</x:v>
      </x:c>
      <x:c r="C1259" s="49" t="str">
        <x:v>Jawahar Education Society's Institute of Technology, Management &amp; Research, Nashik.</x:v>
      </x:c>
      <x:c r="D1259" s="72" t="n">
        <x:v>540129310</x:v>
      </x:c>
      <x:c r="E1259" s="49" t="str">
        <x:v>Electrical Engineering</x:v>
      </x:c>
      <x:c r="F1259" s="73" t="n">
        <x:v>47</x:v>
      </x:c>
      <x:c r="G1259" s="73" t="n">
        <x:v>40</x:v>
      </x:c>
      <x:c r="H1259" s="73" t="n">
        <x:v>7</x:v>
      </x:c>
      <x:c r="I1259" s="73"/>
      <x:c r="J1259" s="73" t="n">
        <x:v>0</x:v>
      </x:c>
      <x:c r="K1259" s="49" t="str">
        <x:v>Un-Aided</x:v>
      </x:c>
      <x:c r="L1259" s="49" t="str">
        <x:v>MS Seats : 40+ EWS : 7</x:v>
      </x:c>
      <x:c r="M1259" s="49" t="str">
        <x:v>https://dse2025.mahacet.org.in/dse25/admin/allotment/cap2/5401_4.pdf</x:v>
      </x:c>
    </x:row>
    <x:row r="1260">
      <x:c r="A1260" s="49" t="str">
        <x:v>2025-26</x:v>
      </x:c>
      <x:c r="B1260" s="63" t="n">
        <x:v>5401</x:v>
      </x:c>
      <x:c r="C1260" s="49" t="str">
        <x:v>Jawahar Education Society's Institute of Technology, Management &amp; Research, Nashik.</x:v>
      </x:c>
      <x:c r="D1260" s="72" t="n">
        <x:v>540161210</x:v>
      </x:c>
      <x:c r="E1260" s="49" t="str">
        <x:v>Mechanical Engineering</x:v>
      </x:c>
      <x:c r="F1260" s="73" t="n">
        <x:v>15</x:v>
      </x:c>
      <x:c r="G1260" s="73" t="n">
        <x:v>13</x:v>
      </x:c>
      <x:c r="H1260" s="73" t="n">
        <x:v>2</x:v>
      </x:c>
      <x:c r="I1260" s="73"/>
      <x:c r="J1260" s="73" t="n">
        <x:v>0</x:v>
      </x:c>
      <x:c r="K1260" s="49" t="str">
        <x:v>Un-Aided</x:v>
      </x:c>
      <x:c r="L1260" s="49" t="str">
        <x:v>MS Seats : 13+ EWS : 2</x:v>
      </x:c>
      <x:c r="M1260" s="49" t="str">
        <x:v>https://dse2025.mahacet.org.in/dse25/admin/allotment/cap2/5401_4.pdf</x:v>
      </x:c>
    </x:row>
    <x:row r="1261">
      <x:c r="A1261" s="49" t="str">
        <x:v>2025-26</x:v>
      </x:c>
      <x:c r="B1261" s="63" t="n">
        <x:v>5401</x:v>
      </x:c>
      <x:c r="C1261" s="49" t="str">
        <x:v>Jawahar Education Society's Institute of Technology, Management &amp; Research, Nashik.</x:v>
      </x:c>
      <x:c r="D1261" s="72" t="n">
        <x:v>540184410</x:v>
      </x:c>
      <x:c r="E1261" s="49" t="str">
        <x:v>Electronics and Computer Engineering</x:v>
      </x:c>
      <x:c r="F1261" s="73" t="n">
        <x:v>35</x:v>
      </x:c>
      <x:c r="G1261" s="73" t="n">
        <x:v>28</x:v>
      </x:c>
      <x:c r="H1261" s="73" t="n">
        <x:v>7</x:v>
      </x:c>
      <x:c r="I1261" s="73"/>
      <x:c r="J1261" s="73" t="n">
        <x:v>0</x:v>
      </x:c>
      <x:c r="K1261" s="49" t="str">
        <x:v>Un-Aided</x:v>
      </x:c>
      <x:c r="L1261" s="49" t="str">
        <x:v>MS Seats : 28+ EWS : 7</x:v>
      </x:c>
      <x:c r="M1261" s="49" t="str">
        <x:v>https://dse2025.mahacet.org.in/dse25/admin/allotment/cap2/5401_4.pdf</x:v>
      </x:c>
    </x:row>
    <x:row r="1262">
      <x:c r="A1262" s="49" t="str">
        <x:v>2025-26</x:v>
      </x:c>
      <x:c r="B1262" s="63" t="n">
        <x:v>5408</x:v>
      </x:c>
      <x:c r="C1262" s="49" t="str">
        <x:v>Vidya Niketan College of Engineering, Bota Sangamner</x:v>
      </x:c>
      <x:c r="D1262" s="72" t="n">
        <x:v>540819110</x:v>
      </x:c>
      <x:c r="E1262" s="49" t="str">
        <x:v>Civil Engineering</x:v>
      </x:c>
      <x:c r="F1262" s="73" t="n">
        <x:v>67</x:v>
      </x:c>
      <x:c r="G1262" s="73" t="n">
        <x:v>60</x:v>
      </x:c>
      <x:c r="H1262" s="73" t="n">
        <x:v>7</x:v>
      </x:c>
      <x:c r="I1262" s="73"/>
      <x:c r="J1262" s="73" t="n">
        <x:v>0</x:v>
      </x:c>
      <x:c r="K1262" s="49" t="str">
        <x:v>Un-Aided</x:v>
      </x:c>
      <x:c r="L1262" s="49" t="str">
        <x:v>MS Seats : 60+ EWS : 7</x:v>
      </x:c>
      <x:c r="M1262" s="49" t="str">
        <x:v>https://dse2025.mahacet.org.in/dse25/admin/allotment/cap2/5408_4.pdf</x:v>
      </x:c>
    </x:row>
    <x:row r="1263">
      <x:c r="A1263" s="49" t="str">
        <x:v>2025-26</x:v>
      </x:c>
      <x:c r="B1263" s="63" t="n">
        <x:v>5408</x:v>
      </x:c>
      <x:c r="C1263" s="49" t="str">
        <x:v>Vidya Niketan College of Engineering, Bota Sangamner</x:v>
      </x:c>
      <x:c r="D1263" s="72" t="n">
        <x:v>540824510</x:v>
      </x:c>
      <x:c r="E1263" s="49" t="str">
        <x:v>Computer Engineering</x:v>
      </x:c>
      <x:c r="F1263" s="73" t="n">
        <x:v>57</x:v>
      </x:c>
      <x:c r="G1263" s="73" t="n">
        <x:v>50</x:v>
      </x:c>
      <x:c r="H1263" s="73" t="n">
        <x:v>7</x:v>
      </x:c>
      <x:c r="I1263" s="73"/>
      <x:c r="J1263" s="73" t="n">
        <x:v>0</x:v>
      </x:c>
      <x:c r="K1263" s="49" t="str">
        <x:v>Un-Aided</x:v>
      </x:c>
      <x:c r="L1263" s="49" t="str">
        <x:v>MS Seats : 50+ EWS : 7</x:v>
      </x:c>
      <x:c r="M1263" s="49" t="str">
        <x:v>https://dse2025.mahacet.org.in/dse25/admin/allotment/cap2/5408_4.pdf</x:v>
      </x:c>
    </x:row>
    <x:row r="1264">
      <x:c r="A1264" s="49" t="str">
        <x:v>2025-26</x:v>
      </x:c>
      <x:c r="B1264" s="63" t="n">
        <x:v>5408</x:v>
      </x:c>
      <x:c r="C1264" s="49" t="str">
        <x:v>Vidya Niketan College of Engineering, Bota Sangamner</x:v>
      </x:c>
      <x:c r="D1264" s="72" t="n">
        <x:v>540829310</x:v>
      </x:c>
      <x:c r="E1264" s="49" t="str">
        <x:v>Electrical Engineering</x:v>
      </x:c>
      <x:c r="F1264" s="73" t="n">
        <x:v>31</x:v>
      </x:c>
      <x:c r="G1264" s="73" t="n">
        <x:v>29</x:v>
      </x:c>
      <x:c r="H1264" s="73" t="n">
        <x:v>2</x:v>
      </x:c>
      <x:c r="I1264" s="73"/>
      <x:c r="J1264" s="73" t="n">
        <x:v>0</x:v>
      </x:c>
      <x:c r="K1264" s="49" t="str">
        <x:v>Un-Aided</x:v>
      </x:c>
      <x:c r="L1264" s="49" t="str">
        <x:v>MS Seats : 29+ EWS : 2</x:v>
      </x:c>
      <x:c r="M1264" s="49" t="str">
        <x:v>https://dse2025.mahacet.org.in/dse25/admin/allotment/cap2/5408_4.pdf</x:v>
      </x:c>
    </x:row>
    <x:row r="1265">
      <x:c r="A1265" s="49" t="str">
        <x:v>2025-26</x:v>
      </x:c>
      <x:c r="B1265" s="63" t="n">
        <x:v>5408</x:v>
      </x:c>
      <x:c r="C1265" s="49" t="str">
        <x:v>Vidya Niketan College of Engineering, Bota Sangamner</x:v>
      </x:c>
      <x:c r="D1265" s="72" t="n">
        <x:v>540837210</x:v>
      </x:c>
      <x:c r="E1265" s="49" t="str">
        <x:v>Electronics and Telecommunication Engg</x:v>
      </x:c>
      <x:c r="F1265" s="73" t="n">
        <x:v>71</x:v>
      </x:c>
      <x:c r="G1265" s="73" t="n">
        <x:v>64</x:v>
      </x:c>
      <x:c r="H1265" s="73" t="n">
        <x:v>7</x:v>
      </x:c>
      <x:c r="I1265" s="73"/>
      <x:c r="J1265" s="73" t="n">
        <x:v>0</x:v>
      </x:c>
      <x:c r="K1265" s="49" t="str">
        <x:v>Un-Aided</x:v>
      </x:c>
      <x:c r="L1265" s="49" t="str">
        <x:v>MS Seats : 64+ EWS : 7</x:v>
      </x:c>
      <x:c r="M1265" s="49" t="str">
        <x:v>https://dse2025.mahacet.org.in/dse25/admin/allotment/cap2/5408_4.pdf</x:v>
      </x:c>
    </x:row>
    <x:row r="1266">
      <x:c r="A1266" s="49" t="str">
        <x:v>2025-26</x:v>
      </x:c>
      <x:c r="B1266" s="63" t="n">
        <x:v>5408</x:v>
      </x:c>
      <x:c r="C1266" s="49" t="str">
        <x:v>Vidya Niketan College of Engineering, Bota Sangamner</x:v>
      </x:c>
      <x:c r="D1266" s="72" t="n">
        <x:v>540861210</x:v>
      </x:c>
      <x:c r="E1266" s="49" t="str">
        <x:v>Mechanical Engineering</x:v>
      </x:c>
      <x:c r="F1266" s="73" t="n">
        <x:v>72</x:v>
      </x:c>
      <x:c r="G1266" s="73" t="n">
        <x:v>65</x:v>
      </x:c>
      <x:c r="H1266" s="73" t="n">
        <x:v>7</x:v>
      </x:c>
      <x:c r="I1266" s="73"/>
      <x:c r="J1266" s="73" t="n">
        <x:v>0</x:v>
      </x:c>
      <x:c r="K1266" s="49" t="str">
        <x:v>Un-Aided</x:v>
      </x:c>
      <x:c r="L1266" s="49" t="str">
        <x:v>MS Seats : 65+ EWS : 7</x:v>
      </x:c>
      <x:c r="M1266" s="49" t="str">
        <x:v>https://dse2025.mahacet.org.in/dse25/admin/allotment/cap2/5408_4.pdf</x:v>
      </x:c>
    </x:row>
    <x:row r="1267">
      <x:c r="A1267" s="49" t="str">
        <x:v>2025-26</x:v>
      </x:c>
      <x:c r="B1267" s="63" t="n">
        <x:v>5409</x:v>
      </x:c>
      <x:c r="C1267" s="49" t="str">
        <x:v>Rajiv Gandhi College of Engineering, At Post Karjule Hariya Tal.Parner, Dist.Ahmednagar</x:v>
      </x:c>
      <x:c r="D1267" s="72" t="n">
        <x:v>540924510</x:v>
      </x:c>
      <x:c r="E1267" s="49" t="str">
        <x:v>Computer Engineering</x:v>
      </x:c>
      <x:c r="F1267" s="73" t="n">
        <x:v>116</x:v>
      </x:c>
      <x:c r="G1267" s="73" t="n">
        <x:v>102</x:v>
      </x:c>
      <x:c r="H1267" s="73" t="n">
        <x:v>14</x:v>
      </x:c>
      <x:c r="I1267" s="73"/>
      <x:c r="J1267" s="73" t="n">
        <x:v>0</x:v>
      </x:c>
      <x:c r="K1267" s="49" t="str">
        <x:v>Un-Aided</x:v>
      </x:c>
      <x:c r="L1267" s="49" t="str">
        <x:v>MS Seats : 102+ EWS : 14</x:v>
      </x:c>
      <x:c r="M1267" s="49" t="str">
        <x:v>https://dse2025.mahacet.org.in/dse25/admin/allotment/cap2/5409_4.pdf</x:v>
      </x:c>
    </x:row>
    <x:row r="1268">
      <x:c r="A1268" s="49" t="str">
        <x:v>2025-26</x:v>
      </x:c>
      <x:c r="B1268" s="63" t="n">
        <x:v>5409</x:v>
      </x:c>
      <x:c r="C1268" s="49" t="str">
        <x:v>Rajiv Gandhi College of Engineering, At Post Karjule Hariya Tal.Parner, Dist.Ahmednagar</x:v>
      </x:c>
      <x:c r="D1268" s="72" t="n">
        <x:v>540929310</x:v>
      </x:c>
      <x:c r="E1268" s="49" t="str">
        <x:v>Electrical Engineering</x:v>
      </x:c>
      <x:c r="F1268" s="73" t="n">
        <x:v>70</x:v>
      </x:c>
      <x:c r="G1268" s="73" t="n">
        <x:v>63</x:v>
      </x:c>
      <x:c r="H1268" s="73" t="n">
        <x:v>7</x:v>
      </x:c>
      <x:c r="I1268" s="73"/>
      <x:c r="J1268" s="73" t="n">
        <x:v>0</x:v>
      </x:c>
      <x:c r="K1268" s="49" t="str">
        <x:v>Un-Aided</x:v>
      </x:c>
      <x:c r="L1268" s="49" t="str">
        <x:v>MS Seats : 63+ EWS : 7</x:v>
      </x:c>
      <x:c r="M1268" s="49" t="str">
        <x:v>https://dse2025.mahacet.org.in/dse25/admin/allotment/cap2/5409_4.pdf</x:v>
      </x:c>
    </x:row>
    <x:row r="1269">
      <x:c r="A1269" s="49" t="str">
        <x:v>2025-26</x:v>
      </x:c>
      <x:c r="B1269" s="63" t="n">
        <x:v>5409</x:v>
      </x:c>
      <x:c r="C1269" s="49" t="str">
        <x:v>Rajiv Gandhi College of Engineering, At Post Karjule Hariya Tal.Parner, Dist.Ahmednagar</x:v>
      </x:c>
      <x:c r="D1269" s="72" t="n">
        <x:v>540937210</x:v>
      </x:c>
      <x:c r="E1269" s="49" t="str">
        <x:v>Electronics and Telecommunication Engg</x:v>
      </x:c>
      <x:c r="F1269" s="73" t="n">
        <x:v>69</x:v>
      </x:c>
      <x:c r="G1269" s="73" t="n">
        <x:v>62</x:v>
      </x:c>
      <x:c r="H1269" s="73" t="n">
        <x:v>7</x:v>
      </x:c>
      <x:c r="I1269" s="73"/>
      <x:c r="J1269" s="73" t="n">
        <x:v>0</x:v>
      </x:c>
      <x:c r="K1269" s="49" t="str">
        <x:v>Un-Aided</x:v>
      </x:c>
      <x:c r="L1269" s="49" t="str">
        <x:v>MS Seats : 62+ EWS : 7</x:v>
      </x:c>
      <x:c r="M1269" s="49" t="str">
        <x:v>https://dse2025.mahacet.org.in/dse25/admin/allotment/cap2/5409_4.pdf</x:v>
      </x:c>
    </x:row>
    <x:row r="1270">
      <x:c r="A1270" s="49" t="str">
        <x:v>2025-26</x:v>
      </x:c>
      <x:c r="B1270" s="63" t="n">
        <x:v>5409</x:v>
      </x:c>
      <x:c r="C1270" s="49" t="str">
        <x:v>Rajiv Gandhi College of Engineering, At Post Karjule Hariya Tal.Parner, Dist.Ahmednagar</x:v>
      </x:c>
      <x:c r="D1270" s="72" t="n">
        <x:v>540961210</x:v>
      </x:c>
      <x:c r="E1270" s="49" t="str">
        <x:v>Mechanical Engineering</x:v>
      </x:c>
      <x:c r="F1270" s="73" t="n">
        <x:v>146</x:v>
      </x:c>
      <x:c r="G1270" s="73" t="n">
        <x:v>132</x:v>
      </x:c>
      <x:c r="H1270" s="73" t="n">
        <x:v>14</x:v>
      </x:c>
      <x:c r="I1270" s="73"/>
      <x:c r="J1270" s="73" t="n">
        <x:v>0</x:v>
      </x:c>
      <x:c r="K1270" s="49" t="str">
        <x:v>Un-Aided</x:v>
      </x:c>
      <x:c r="L1270" s="49" t="str">
        <x:v>MS Seats : 132+ EWS : 14</x:v>
      </x:c>
      <x:c r="M1270" s="49" t="str">
        <x:v>https://dse2025.mahacet.org.in/dse25/admin/allotment/cap2/5409_4.pdf</x:v>
      </x:c>
    </x:row>
    <x:row r="1271">
      <x:c r="A1271" s="49" t="str">
        <x:v>2025-26</x:v>
      </x:c>
      <x:c r="B1271" s="63" t="n">
        <x:v>5411</x:v>
      </x:c>
      <x:c r="C1271" s="49" t="str">
        <x:v>Maulana Mukhtar Ahmad Nadvi Technical Campus, Malegaon.</x:v>
      </x:c>
      <x:c r="D1271" s="72" t="n">
        <x:v>541119110</x:v>
      </x:c>
      <x:c r="E1271" s="49" t="str">
        <x:v>Civil Engineering</x:v>
      </x:c>
      <x:c r="F1271" s="73" t="n">
        <x:v>62</x:v>
      </x:c>
      <x:c r="G1271" s="73" t="n">
        <x:v>30</x:v>
      </x:c>
      <x:c r="H1271" s="73"/>
      <x:c r="I1271" s="73" t="n">
        <x:v>32</x:v>
      </x:c>
      <x:c r="J1271" s="73" t="n">
        <x:v>0</x:v>
      </x:c>
      <x:c r="K1271" s="49" t="str">
        <x:v>Un-Aided Religious Minority - Muslim</x:v>
      </x:c>
      <x:c r="L1271" s="49" t="str">
        <x:v>MS Seats : 30 + Minority Seats : 32</x:v>
      </x:c>
      <x:c r="M1271" s="49" t="str">
        <x:v>https://dse2025.mahacet.org.in/dse25/admin/allotment/cap2/5411_4.pdf</x:v>
      </x:c>
    </x:row>
    <x:row r="1272">
      <x:c r="A1272" s="49" t="str">
        <x:v>2025-26</x:v>
      </x:c>
      <x:c r="B1272" s="63" t="n">
        <x:v>5411</x:v>
      </x:c>
      <x:c r="C1272" s="49" t="str">
        <x:v>Maulana Mukhtar Ahmad Nadvi Technical Campus, Malegaon.</x:v>
      </x:c>
      <x:c r="D1272" s="72" t="n">
        <x:v>541124510</x:v>
      </x:c>
      <x:c r="E1272" s="49" t="str">
        <x:v>Computer Engineering</x:v>
      </x:c>
      <x:c r="F1272" s="73" t="n">
        <x:v>54</x:v>
      </x:c>
      <x:c r="G1272" s="73" t="n">
        <x:v>26</x:v>
      </x:c>
      <x:c r="H1272" s="73"/>
      <x:c r="I1272" s="73" t="n">
        <x:v>28</x:v>
      </x:c>
      <x:c r="J1272" s="73" t="n">
        <x:v>0</x:v>
      </x:c>
      <x:c r="K1272" s="49" t="str">
        <x:v>Un-Aided Religious Minority - Muslim</x:v>
      </x:c>
      <x:c r="L1272" s="49" t="str">
        <x:v>MS Seats : 26 + Minority Seats : 28</x:v>
      </x:c>
      <x:c r="M1272" s="49" t="str">
        <x:v>https://dse2025.mahacet.org.in/dse25/admin/allotment/cap2/5411_4.pdf</x:v>
      </x:c>
    </x:row>
    <x:row r="1273">
      <x:c r="A1273" s="49" t="str">
        <x:v>2025-26</x:v>
      </x:c>
      <x:c r="B1273" s="63" t="n">
        <x:v>5411</x:v>
      </x:c>
      <x:c r="C1273" s="49" t="str">
        <x:v>Maulana Mukhtar Ahmad Nadvi Technical Campus, Malegaon.</x:v>
      </x:c>
      <x:c r="D1273" s="72" t="n">
        <x:v>541129310</x:v>
      </x:c>
      <x:c r="E1273" s="49" t="str">
        <x:v>Electrical Engineering</x:v>
      </x:c>
      <x:c r="F1273" s="73" t="n">
        <x:v>31</x:v>
      </x:c>
      <x:c r="G1273" s="73" t="n">
        <x:v>15</x:v>
      </x:c>
      <x:c r="H1273" s="73"/>
      <x:c r="I1273" s="73" t="n">
        <x:v>16</x:v>
      </x:c>
      <x:c r="J1273" s="73" t="n">
        <x:v>0</x:v>
      </x:c>
      <x:c r="K1273" s="49" t="str">
        <x:v>Un-Aided Religious Minority - Muslim</x:v>
      </x:c>
      <x:c r="L1273" s="49" t="str">
        <x:v>MS Seats : 15 + Minority Seats : 16</x:v>
      </x:c>
      <x:c r="M1273" s="49" t="str">
        <x:v>https://dse2025.mahacet.org.in/dse25/admin/allotment/cap2/5411_4.pdf</x:v>
      </x:c>
    </x:row>
    <x:row r="1274">
      <x:c r="A1274" s="49" t="str">
        <x:v>2025-26</x:v>
      </x:c>
      <x:c r="B1274" s="63" t="n">
        <x:v>5411</x:v>
      </x:c>
      <x:c r="C1274" s="49" t="str">
        <x:v>Maulana Mukhtar Ahmad Nadvi Technical Campus, Malegaon.</x:v>
      </x:c>
      <x:c r="D1274" s="72" t="n">
        <x:v>541137210</x:v>
      </x:c>
      <x:c r="E1274" s="49" t="str">
        <x:v>Electronics and Telecommunication Engg</x:v>
      </x:c>
      <x:c r="F1274" s="73" t="n">
        <x:v>24</x:v>
      </x:c>
      <x:c r="G1274" s="73" t="n">
        <x:v>11</x:v>
      </x:c>
      <x:c r="H1274" s="73"/>
      <x:c r="I1274" s="73" t="n">
        <x:v>13</x:v>
      </x:c>
      <x:c r="J1274" s="73" t="n">
        <x:v>0</x:v>
      </x:c>
      <x:c r="K1274" s="49" t="str">
        <x:v>Un-Aided Religious Minority - Muslim</x:v>
      </x:c>
      <x:c r="L1274" s="49" t="str">
        <x:v>MS Seats : 11 + Minority Seats : 13</x:v>
      </x:c>
      <x:c r="M1274" s="49" t="str">
        <x:v>https://dse2025.mahacet.org.in/dse25/admin/allotment/cap2/5411_4.pdf</x:v>
      </x:c>
    </x:row>
    <x:row r="1275">
      <x:c r="A1275" s="49" t="str">
        <x:v>2025-26</x:v>
      </x:c>
      <x:c r="B1275" s="63" t="n">
        <x:v>5411</x:v>
      </x:c>
      <x:c r="C1275" s="49" t="str">
        <x:v>Maulana Mukhtar Ahmad Nadvi Technical Campus, Malegaon.</x:v>
      </x:c>
      <x:c r="D1275" s="72" t="n">
        <x:v>541161210</x:v>
      </x:c>
      <x:c r="E1275" s="49" t="str">
        <x:v>Mechanical Engineering</x:v>
      </x:c>
      <x:c r="F1275" s="73" t="n">
        <x:v>57</x:v>
      </x:c>
      <x:c r="G1275" s="73" t="n">
        <x:v>27</x:v>
      </x:c>
      <x:c r="H1275" s="73"/>
      <x:c r="I1275" s="73" t="n">
        <x:v>30</x:v>
      </x:c>
      <x:c r="J1275" s="73" t="n">
        <x:v>0</x:v>
      </x:c>
      <x:c r="K1275" s="49" t="str">
        <x:v>Un-Aided Religious Minority - Muslim</x:v>
      </x:c>
      <x:c r="L1275" s="49" t="str">
        <x:v>MS Seats : 27 + Minority Seats : 30</x:v>
      </x:c>
      <x:c r="M1275" s="49" t="str">
        <x:v>https://dse2025.mahacet.org.in/dse25/admin/allotment/cap2/5411_4.pdf</x:v>
      </x:c>
    </x:row>
    <x:row r="1276">
      <x:c r="A1276" s="49" t="str">
        <x:v>2025-26</x:v>
      </x:c>
      <x:c r="B1276" s="63" t="n">
        <x:v>5418</x:v>
      </x:c>
      <x:c r="C1276" s="49" t="str">
        <x:v>Guru Gobind Singh College of Engineering &amp; Research Centre, Nashik.</x:v>
      </x:c>
      <x:c r="D1276" s="72" t="n">
        <x:v>541819110</x:v>
      </x:c>
      <x:c r="E1276" s="49" t="str">
        <x:v>Civil Engineering</x:v>
      </x:c>
      <x:c r="F1276" s="73" t="n">
        <x:v>24</x:v>
      </x:c>
      <x:c r="G1276" s="73" t="n">
        <x:v>17</x:v>
      </x:c>
      <x:c r="H1276" s="73" t="n">
        <x:v>7</x:v>
      </x:c>
      <x:c r="I1276" s="73"/>
      <x:c r="J1276" s="73" t="n">
        <x:v>0</x:v>
      </x:c>
      <x:c r="K1276" s="49" t="str">
        <x:v>Un-Aided</x:v>
      </x:c>
      <x:c r="L1276" s="49" t="str">
        <x:v>MS Seats : 17+ EWS : 7</x:v>
      </x:c>
      <x:c r="M1276" s="49" t="str">
        <x:v>https://dse2025.mahacet.org.in/dse25/admin/allotment/cap2/5418_4.pdf</x:v>
      </x:c>
    </x:row>
    <x:row r="1277">
      <x:c r="A1277" s="49" t="str">
        <x:v>2025-26</x:v>
      </x:c>
      <x:c r="B1277" s="63" t="n">
        <x:v>5418</x:v>
      </x:c>
      <x:c r="C1277" s="49" t="str">
        <x:v>Guru Gobind Singh College of Engineering &amp; Research Centre, Nashik.</x:v>
      </x:c>
      <x:c r="D1277" s="72" t="n">
        <x:v>541824510</x:v>
      </x:c>
      <x:c r="E1277" s="49" t="str">
        <x:v>Computer Engineering</x:v>
      </x:c>
      <x:c r="F1277" s="73" t="n">
        <x:v>21</x:v>
      </x:c>
      <x:c r="G1277" s="73" t="n">
        <x:v>17</x:v>
      </x:c>
      <x:c r="H1277" s="73" t="n">
        <x:v>4</x:v>
      </x:c>
      <x:c r="I1277" s="73"/>
      <x:c r="J1277" s="73" t="n">
        <x:v>0</x:v>
      </x:c>
      <x:c r="K1277" s="49" t="str">
        <x:v>Un-Aided</x:v>
      </x:c>
      <x:c r="L1277" s="49" t="str">
        <x:v>MS Seats : 17+ EWS : 4</x:v>
      </x:c>
      <x:c r="M1277" s="49" t="str">
        <x:v>https://dse2025.mahacet.org.in/dse25/admin/allotment/cap2/5418_4.pdf</x:v>
      </x:c>
    </x:row>
    <x:row r="1278">
      <x:c r="A1278" s="49" t="str">
        <x:v>2025-26</x:v>
      </x:c>
      <x:c r="B1278" s="63" t="n">
        <x:v>5418</x:v>
      </x:c>
      <x:c r="C1278" s="49" t="str">
        <x:v>Guru Gobind Singh College of Engineering &amp; Research Centre, Nashik.</x:v>
      </x:c>
      <x:c r="D1278" s="72" t="n">
        <x:v>541826310</x:v>
      </x:c>
      <x:c r="E1278" s="49" t="str">
        <x:v>Artificial Intelligence (AI) and Data Science</x:v>
      </x:c>
      <x:c r="F1278" s="73" t="n">
        <x:v>8</x:v>
      </x:c>
      <x:c r="G1278" s="73" t="n">
        <x:v>7</x:v>
      </x:c>
      <x:c r="H1278" s="73" t="n">
        <x:v>1</x:v>
      </x:c>
      <x:c r="I1278" s="73"/>
      <x:c r="J1278" s="73" t="n">
        <x:v>0</x:v>
      </x:c>
      <x:c r="K1278" s="49" t="str">
        <x:v>Un-Aided</x:v>
      </x:c>
      <x:c r="L1278" s="49" t="str">
        <x:v>MS Seats : 7+ EWS : 1</x:v>
      </x:c>
      <x:c r="M1278" s="49" t="str">
        <x:v>https://dse2025.mahacet.org.in/dse25/admin/allotment/cap2/5418_4.pdf</x:v>
      </x:c>
    </x:row>
    <x:row r="1279">
      <x:c r="A1279" s="49" t="str">
        <x:v>2025-26</x:v>
      </x:c>
      <x:c r="B1279" s="63" t="n">
        <x:v>5418</x:v>
      </x:c>
      <x:c r="C1279" s="49" t="str">
        <x:v>Guru Gobind Singh College of Engineering &amp; Research Centre, Nashik.</x:v>
      </x:c>
      <x:c r="D1279" s="72" t="n">
        <x:v>541829310</x:v>
      </x:c>
      <x:c r="E1279" s="49" t="str">
        <x:v>Electrical Engineering</x:v>
      </x:c>
      <x:c r="F1279" s="73" t="n">
        <x:v>16</x:v>
      </x:c>
      <x:c r="G1279" s="73" t="n">
        <x:v>13</x:v>
      </x:c>
      <x:c r="H1279" s="73" t="n">
        <x:v>3</x:v>
      </x:c>
      <x:c r="I1279" s="73"/>
      <x:c r="J1279" s="73" t="n">
        <x:v>0</x:v>
      </x:c>
      <x:c r="K1279" s="49" t="str">
        <x:v>Un-Aided</x:v>
      </x:c>
      <x:c r="L1279" s="49" t="str">
        <x:v>MS Seats : 13+ EWS : 3</x:v>
      </x:c>
      <x:c r="M1279" s="49" t="str">
        <x:v>https://dse2025.mahacet.org.in/dse25/admin/allotment/cap2/5418_4.pdf</x:v>
      </x:c>
    </x:row>
    <x:row r="1280">
      <x:c r="A1280" s="49" t="str">
        <x:v>2025-26</x:v>
      </x:c>
      <x:c r="B1280" s="63" t="n">
        <x:v>5418</x:v>
      </x:c>
      <x:c r="C1280" s="49" t="str">
        <x:v>Guru Gobind Singh College of Engineering &amp; Research Centre, Nashik.</x:v>
      </x:c>
      <x:c r="D1280" s="72" t="n">
        <x:v>541861210</x:v>
      </x:c>
      <x:c r="E1280" s="49" t="str">
        <x:v>Mechanical Engineering</x:v>
      </x:c>
      <x:c r="F1280" s="73" t="n">
        <x:v>23</x:v>
      </x:c>
      <x:c r="G1280" s="73" t="n">
        <x:v>19</x:v>
      </x:c>
      <x:c r="H1280" s="73" t="n">
        <x:v>4</x:v>
      </x:c>
      <x:c r="I1280" s="73"/>
      <x:c r="J1280" s="73" t="n">
        <x:v>0</x:v>
      </x:c>
      <x:c r="K1280" s="49" t="str">
        <x:v>Un-Aided</x:v>
      </x:c>
      <x:c r="L1280" s="49" t="str">
        <x:v>MS Seats : 19+ EWS : 4</x:v>
      </x:c>
      <x:c r="M1280" s="49" t="str">
        <x:v>https://dse2025.mahacet.org.in/dse25/admin/allotment/cap2/5418_4.pdf</x:v>
      </x:c>
    </x:row>
    <x:row r="1281">
      <x:c r="A1281" s="49" t="str">
        <x:v>2025-26</x:v>
      </x:c>
      <x:c r="B1281" s="63" t="n">
        <x:v>5418</x:v>
      </x:c>
      <x:c r="C1281" s="49" t="str">
        <x:v>Guru Gobind Singh College of Engineering &amp; Research Centre, Nashik.</x:v>
      </x:c>
      <x:c r="D1281" s="72" t="n">
        <x:v>541891610</x:v>
      </x:c>
      <x:c r="E1281" s="49" t="str">
        <x:v>Automation and Robotics</x:v>
      </x:c>
      <x:c r="F1281" s="73" t="n">
        <x:v>19</x:v>
      </x:c>
      <x:c r="G1281" s="73" t="n">
        <x:v>15</x:v>
      </x:c>
      <x:c r="H1281" s="73" t="n">
        <x:v>4</x:v>
      </x:c>
      <x:c r="I1281" s="73"/>
      <x:c r="J1281" s="73" t="n">
        <x:v>0</x:v>
      </x:c>
      <x:c r="K1281" s="49" t="str">
        <x:v>Un-Aided</x:v>
      </x:c>
      <x:c r="L1281" s="49" t="str">
        <x:v>MS Seats : 15+ EWS : 4</x:v>
      </x:c>
      <x:c r="M1281" s="49" t="str">
        <x:v>https://dse2025.mahacet.org.in/dse25/admin/allotment/cap2/5418_4.pdf</x:v>
      </x:c>
    </x:row>
    <x:row r="1282">
      <x:c r="A1282" s="49" t="str">
        <x:v>2025-26</x:v>
      </x:c>
      <x:c r="B1282" s="63" t="n">
        <x:v>5433</x:v>
      </x:c>
      <x:c r="C1282" s="49" t="str">
        <x:v>R.C. Patel College of Engineering and Polytechnic, Shirpur</x:v>
      </x:c>
      <x:c r="D1282" s="72" t="n">
        <x:v>543324510</x:v>
      </x:c>
      <x:c r="E1282" s="49" t="str">
        <x:v>Computer Engineering</x:v>
      </x:c>
      <x:c r="F1282" s="73" t="n">
        <x:v>6</x:v>
      </x:c>
      <x:c r="G1282" s="73" t="n">
        <x:v>2</x:v>
      </x:c>
      <x:c r="H1282" s="73"/>
      <x:c r="I1282" s="73" t="n">
        <x:v>4</x:v>
      </x:c>
      <x:c r="J1282" s="73" t="n">
        <x:v>0</x:v>
      </x:c>
      <x:c r="K1282" s="49" t="str">
        <x:v>Un-Aided Linguistic Minority - Gujarathi</x:v>
      </x:c>
      <x:c r="L1282" s="49" t="str">
        <x:v>MS Seats : 2 + Minority Seats : 4</x:v>
      </x:c>
      <x:c r="M1282" s="49" t="str">
        <x:v>https://dse2025.mahacet.org.in/dse25/admin/allotment/cap2/5433_4.pdf</x:v>
      </x:c>
    </x:row>
    <x:row r="1283">
      <x:c r="A1283" s="49" t="str">
        <x:v>2025-26</x:v>
      </x:c>
      <x:c r="B1283" s="63" t="n">
        <x:v>5433</x:v>
      </x:c>
      <x:c r="C1283" s="49" t="str">
        <x:v>R.C. Patel College of Engineering and Polytechnic, Shirpur</x:v>
      </x:c>
      <x:c r="D1283" s="72" t="n">
        <x:v>543324610</x:v>
      </x:c>
      <x:c r="E1283" s="49" t="str">
        <x:v>Information Technology</x:v>
      </x:c>
      <x:c r="F1283" s="73" t="n">
        <x:v>10</x:v>
      </x:c>
      <x:c r="G1283" s="73" t="n">
        <x:v>4</x:v>
      </x:c>
      <x:c r="H1283" s="73"/>
      <x:c r="I1283" s="73" t="n">
        <x:v>6</x:v>
      </x:c>
      <x:c r="J1283" s="73" t="n">
        <x:v>0</x:v>
      </x:c>
      <x:c r="K1283" s="49" t="str">
        <x:v>Un-Aided Linguistic Minority - Gujarathi</x:v>
      </x:c>
      <x:c r="L1283" s="49" t="str">
        <x:v>MS Seats : 4 + Minority Seats : 6</x:v>
      </x:c>
      <x:c r="M1283" s="49" t="str">
        <x:v>https://dse2025.mahacet.org.in/dse25/admin/allotment/cap2/5433_4.pdf</x:v>
      </x:c>
    </x:row>
    <x:row r="1284">
      <x:c r="A1284" s="49" t="str">
        <x:v>2025-26</x:v>
      </x:c>
      <x:c r="B1284" s="63" t="n">
        <x:v>5433</x:v>
      </x:c>
      <x:c r="C1284" s="49" t="str">
        <x:v>R.C. Patel College of Engineering and Polytechnic, Shirpur</x:v>
      </x:c>
      <x:c r="D1284" s="72" t="n">
        <x:v>543384410</x:v>
      </x:c>
      <x:c r="E1284" s="49" t="str">
        <x:v>Electronics and Computer Engineering</x:v>
      </x:c>
      <x:c r="F1284" s="73" t="n">
        <x:v>14</x:v>
      </x:c>
      <x:c r="G1284" s="73" t="n">
        <x:v>6</x:v>
      </x:c>
      <x:c r="H1284" s="73"/>
      <x:c r="I1284" s="73" t="n">
        <x:v>8</x:v>
      </x:c>
      <x:c r="J1284" s="73" t="n">
        <x:v>0</x:v>
      </x:c>
      <x:c r="K1284" s="49" t="str">
        <x:v>Un-Aided Linguistic Minority - Gujarathi</x:v>
      </x:c>
      <x:c r="L1284" s="49" t="str">
        <x:v>MS Seats : 6 + Minority Seats : 8</x:v>
      </x:c>
      <x:c r="M1284" s="49" t="str">
        <x:v>https://dse2025.mahacet.org.in/dse25/admin/allotment/cap2/5433_4.pdf</x:v>
      </x:c>
    </x:row>
    <x:row r="1285">
      <x:c r="A1285" s="49" t="str">
        <x:v>2025-26</x:v>
      </x:c>
      <x:c r="B1285" s="63" t="n">
        <x:v>5433</x:v>
      </x:c>
      <x:c r="C1285" s="49" t="str">
        <x:v>R.C. Patel College of Engineering and Polytechnic, Shirpur</x:v>
      </x:c>
      <x:c r="D1285" s="72" t="n">
        <x:v>543392110</x:v>
      </x:c>
      <x:c r="E1285" s="49" t="str">
        <x:v>Artificial Intelligence and Machine Learning</x:v>
      </x:c>
      <x:c r="F1285" s="73" t="n">
        <x:v>7</x:v>
      </x:c>
      <x:c r="G1285" s="73" t="n">
        <x:v>3</x:v>
      </x:c>
      <x:c r="H1285" s="73"/>
      <x:c r="I1285" s="73" t="n">
        <x:v>4</x:v>
      </x:c>
      <x:c r="J1285" s="73" t="n">
        <x:v>0</x:v>
      </x:c>
      <x:c r="K1285" s="49" t="str">
        <x:v>Un-Aided Linguistic Minority - Gujarathi</x:v>
      </x:c>
      <x:c r="L1285" s="49" t="str">
        <x:v>MS Seats : 3 + Minority Seats : 4</x:v>
      </x:c>
      <x:c r="M1285" s="49" t="str">
        <x:v>https://dse2025.mahacet.org.in/dse25/admin/allotment/cap2/5433_4.pdf</x:v>
      </x:c>
    </x:row>
    <x:row r="1286">
      <x:c r="A1286" s="49" t="str">
        <x:v>2025-26</x:v>
      </x:c>
      <x:c r="B1286" s="63" t="n">
        <x:v>5449</x:v>
      </x:c>
      <x:c r="C1286" s="49" t="str">
        <x:v>Shri Vile Parle Kelavani Mandal's Institute of Technology, Dhule</x:v>
      </x:c>
      <x:c r="D1286" s="72" t="n">
        <x:v>544919110</x:v>
      </x:c>
      <x:c r="E1286" s="49" t="str">
        <x:v>Civil Engineering</x:v>
      </x:c>
      <x:c r="F1286" s="73" t="n">
        <x:v>9</x:v>
      </x:c>
      <x:c r="G1286" s="73" t="n">
        <x:v>4</x:v>
      </x:c>
      <x:c r="H1286" s="73"/>
      <x:c r="I1286" s="73" t="n">
        <x:v>5</x:v>
      </x:c>
      <x:c r="J1286" s="73" t="n">
        <x:v>0</x:v>
      </x:c>
      <x:c r="K1286" s="49" t="str">
        <x:v>Un-Aided Linguistic Minority - Gujarathi</x:v>
      </x:c>
      <x:c r="L1286" s="49" t="str">
        <x:v>MS Seats : 4 + Minority Seats : 5</x:v>
      </x:c>
      <x:c r="M1286" s="49" t="str">
        <x:v>https://dse2025.mahacet.org.in/dse25/admin/allotment/cap2/5449_4.pdf</x:v>
      </x:c>
    </x:row>
    <x:row r="1287">
      <x:c r="A1287" s="49" t="str">
        <x:v>2025-26</x:v>
      </x:c>
      <x:c r="B1287" s="63" t="n">
        <x:v>5449</x:v>
      </x:c>
      <x:c r="C1287" s="49" t="str">
        <x:v>Shri Vile Parle Kelavani Mandal's Institute of Technology, Dhule</x:v>
      </x:c>
      <x:c r="D1287" s="72" t="n">
        <x:v>544924510</x:v>
      </x:c>
      <x:c r="E1287" s="49" t="str">
        <x:v>Computer Engineering</x:v>
      </x:c>
      <x:c r="F1287" s="73" t="n">
        <x:v>21</x:v>
      </x:c>
      <x:c r="G1287" s="73" t="n">
        <x:v>10</x:v>
      </x:c>
      <x:c r="H1287" s="73"/>
      <x:c r="I1287" s="73" t="n">
        <x:v>11</x:v>
      </x:c>
      <x:c r="J1287" s="73" t="n">
        <x:v>0</x:v>
      </x:c>
      <x:c r="K1287" s="49" t="str">
        <x:v>Un-Aided Linguistic Minority - Gujarathi</x:v>
      </x:c>
      <x:c r="L1287" s="49" t="str">
        <x:v>MS Seats : 10 + Minority Seats : 11</x:v>
      </x:c>
      <x:c r="M1287" s="49" t="str">
        <x:v>https://dse2025.mahacet.org.in/dse25/admin/allotment/cap2/5449_4.pdf</x:v>
      </x:c>
    </x:row>
    <x:row r="1288">
      <x:c r="A1288" s="49" t="str">
        <x:v>2025-26</x:v>
      </x:c>
      <x:c r="B1288" s="63" t="n">
        <x:v>5449</x:v>
      </x:c>
      <x:c r="C1288" s="49" t="str">
        <x:v>Shri Vile Parle Kelavani Mandal's Institute of Technology, Dhule</x:v>
      </x:c>
      <x:c r="D1288" s="72" t="n">
        <x:v>544924610</x:v>
      </x:c>
      <x:c r="E1288" s="49" t="str">
        <x:v>Information Technology</x:v>
      </x:c>
      <x:c r="F1288" s="73" t="n">
        <x:v>10</x:v>
      </x:c>
      <x:c r="G1288" s="73" t="n">
        <x:v>4</x:v>
      </x:c>
      <x:c r="H1288" s="73"/>
      <x:c r="I1288" s="73" t="n">
        <x:v>6</x:v>
      </x:c>
      <x:c r="J1288" s="73" t="n">
        <x:v>0</x:v>
      </x:c>
      <x:c r="K1288" s="49" t="str">
        <x:v>Un-Aided Linguistic Minority - Gujarathi</x:v>
      </x:c>
      <x:c r="L1288" s="49" t="str">
        <x:v>MS Seats : 4 + Minority Seats : 6</x:v>
      </x:c>
      <x:c r="M1288" s="49" t="str">
        <x:v>https://dse2025.mahacet.org.in/dse25/admin/allotment/cap2/5449_4.pdf</x:v>
      </x:c>
    </x:row>
    <x:row r="1289">
      <x:c r="A1289" s="49" t="str">
        <x:v>2025-26</x:v>
      </x:c>
      <x:c r="B1289" s="63" t="n">
        <x:v>5449</x:v>
      </x:c>
      <x:c r="C1289" s="49" t="str">
        <x:v>Shri Vile Parle Kelavani Mandal's Institute of Technology, Dhule</x:v>
      </x:c>
      <x:c r="D1289" s="72" t="n">
        <x:v>544929310</x:v>
      </x:c>
      <x:c r="E1289" s="49" t="str">
        <x:v>Electrical Engineering</x:v>
      </x:c>
      <x:c r="F1289" s="73" t="n">
        <x:v>9</x:v>
      </x:c>
      <x:c r="G1289" s="73" t="n">
        <x:v>4</x:v>
      </x:c>
      <x:c r="H1289" s="73"/>
      <x:c r="I1289" s="73" t="n">
        <x:v>5</x:v>
      </x:c>
      <x:c r="J1289" s="73" t="n">
        <x:v>0</x:v>
      </x:c>
      <x:c r="K1289" s="49" t="str">
        <x:v>Un-Aided Linguistic Minority - Gujarathi</x:v>
      </x:c>
      <x:c r="L1289" s="49" t="str">
        <x:v>MS Seats : 4 + Minority Seats : 5</x:v>
      </x:c>
      <x:c r="M1289" s="49" t="str">
        <x:v>https://dse2025.mahacet.org.in/dse25/admin/allotment/cap2/5449_4.pdf</x:v>
      </x:c>
    </x:row>
    <x:row r="1290">
      <x:c r="A1290" s="49" t="str">
        <x:v>2025-26</x:v>
      </x:c>
      <x:c r="B1290" s="63" t="n">
        <x:v>5449</x:v>
      </x:c>
      <x:c r="C1290" s="49" t="str">
        <x:v>Shri Vile Parle Kelavani Mandal's Institute of Technology, Dhule</x:v>
      </x:c>
      <x:c r="D1290" s="72" t="n">
        <x:v>544961210</x:v>
      </x:c>
      <x:c r="E1290" s="49" t="str">
        <x:v>Mechanical Engineering</x:v>
      </x:c>
      <x:c r="F1290" s="73" t="n">
        <x:v>8</x:v>
      </x:c>
      <x:c r="G1290" s="73" t="n">
        <x:v>3</x:v>
      </x:c>
      <x:c r="H1290" s="73"/>
      <x:c r="I1290" s="73" t="n">
        <x:v>5</x:v>
      </x:c>
      <x:c r="J1290" s="73" t="n">
        <x:v>0</x:v>
      </x:c>
      <x:c r="K1290" s="49" t="str">
        <x:v>Un-Aided Linguistic Minority - Gujarathi</x:v>
      </x:c>
      <x:c r="L1290" s="49" t="str">
        <x:v>MS Seats : 3 + Minority Seats : 5</x:v>
      </x:c>
      <x:c r="M1290" s="49" t="str">
        <x:v>https://dse2025.mahacet.org.in/dse25/admin/allotment/cap2/5449_4.pdf</x:v>
      </x:c>
    </x:row>
    <x:row r="1291">
      <x:c r="A1291" s="49" t="str">
        <x:v>2025-26</x:v>
      </x:c>
      <x:c r="B1291" s="63" t="n">
        <x:v>5449</x:v>
      </x:c>
      <x:c r="C1291" s="49" t="str">
        <x:v>Shri Vile Parle Kelavani Mandal's Institute of Technology, Dhule</x:v>
      </x:c>
      <x:c r="D1291" s="72" t="n">
        <x:v>544991710</x:v>
      </x:c>
      <x:c r="E1291" s="49" t="str">
        <x:v>Data Science</x:v>
      </x:c>
      <x:c r="F1291" s="73" t="n">
        <x:v>13</x:v>
      </x:c>
      <x:c r="G1291" s="73" t="n">
        <x:v>6</x:v>
      </x:c>
      <x:c r="H1291" s="73"/>
      <x:c r="I1291" s="73" t="n">
        <x:v>7</x:v>
      </x:c>
      <x:c r="J1291" s="73" t="n">
        <x:v>0</x:v>
      </x:c>
      <x:c r="K1291" s="49" t="str">
        <x:v>Un-Aided Linguistic Minority - Gujarathi</x:v>
      </x:c>
      <x:c r="L1291" s="49" t="str">
        <x:v>MS Seats : 6 + Minority Seats : 7</x:v>
      </x:c>
      <x:c r="M1291" s="49" t="str">
        <x:v>https://dse2025.mahacet.org.in/dse25/admin/allotment/cap2/5449_4.pdf</x:v>
      </x:c>
    </x:row>
    <x:row r="1292">
      <x:c r="A1292" s="49" t="str">
        <x:v>2025-26</x:v>
      </x:c>
      <x:c r="B1292" s="63" t="n">
        <x:v>5449</x:v>
      </x:c>
      <x:c r="C1292" s="49" t="str">
        <x:v>Shri Vile Parle Kelavani Mandal's Institute of Technology, Dhule</x:v>
      </x:c>
      <x:c r="D1292" s="72" t="n">
        <x:v>544992110</x:v>
      </x:c>
      <x:c r="E1292" s="49" t="str">
        <x:v>Artificial Intelligence and Machine Learning</x:v>
      </x:c>
      <x:c r="F1292" s="73" t="n">
        <x:v>8</x:v>
      </x:c>
      <x:c r="G1292" s="73" t="n">
        <x:v>3</x:v>
      </x:c>
      <x:c r="H1292" s="73"/>
      <x:c r="I1292" s="73" t="n">
        <x:v>5</x:v>
      </x:c>
      <x:c r="J1292" s="73" t="n">
        <x:v>0</x:v>
      </x:c>
      <x:c r="K1292" s="49" t="str">
        <x:v>Un-Aided Linguistic Minority - Gujarathi</x:v>
      </x:c>
      <x:c r="L1292" s="49" t="str">
        <x:v>MS Seats : 3 + Minority Seats : 5</x:v>
      </x:c>
      <x:c r="M1292" s="49" t="str">
        <x:v>https://dse2025.mahacet.org.in/dse25/admin/allotment/cap2/5449_4.pdf</x:v>
      </x:c>
    </x:row>
    <x:row r="1293">
      <x:c r="A1293" s="49" t="str">
        <x:v>2025-26</x:v>
      </x:c>
      <x:c r="B1293" s="63" t="n">
        <x:v>5497</x:v>
      </x:c>
      <x:c r="C1293" s="49" t="str">
        <x:v>P.G. College of Engineering &amp; Technology, Nandurbar</x:v>
      </x:c>
      <x:c r="D1293" s="72" t="n">
        <x:v>549719110</x:v>
      </x:c>
      <x:c r="E1293" s="49" t="str">
        <x:v>Civil Engineering</x:v>
      </x:c>
      <x:c r="F1293" s="73" t="n">
        <x:v>71</x:v>
      </x:c>
      <x:c r="G1293" s="73" t="n">
        <x:v>64</x:v>
      </x:c>
      <x:c r="H1293" s="73" t="n">
        <x:v>7</x:v>
      </x:c>
      <x:c r="I1293" s="73"/>
      <x:c r="J1293" s="73" t="n">
        <x:v>0</x:v>
      </x:c>
      <x:c r="K1293" s="49" t="str">
        <x:v>Un-Aided</x:v>
      </x:c>
      <x:c r="L1293" s="49" t="str">
        <x:v>MS Seats : 64+ EWS : 7</x:v>
      </x:c>
      <x:c r="M1293" s="49" t="str">
        <x:v>https://dse2025.mahacet.org.in/dse25/admin/allotment/cap2/5497_4.pdf</x:v>
      </x:c>
    </x:row>
    <x:row r="1294">
      <x:c r="A1294" s="49" t="str">
        <x:v>2025-26</x:v>
      </x:c>
      <x:c r="B1294" s="63" t="n">
        <x:v>5497</x:v>
      </x:c>
      <x:c r="C1294" s="49" t="str">
        <x:v>P.G. College of Engineering &amp; Technology, Nandurbar</x:v>
      </x:c>
      <x:c r="D1294" s="72" t="n">
        <x:v>549724510</x:v>
      </x:c>
      <x:c r="E1294" s="49" t="str">
        <x:v>Computer Engineering</x:v>
      </x:c>
      <x:c r="F1294" s="73" t="n">
        <x:v>37</x:v>
      </x:c>
      <x:c r="G1294" s="73" t="n">
        <x:v>32</x:v>
      </x:c>
      <x:c r="H1294" s="73" t="n">
        <x:v>5</x:v>
      </x:c>
      <x:c r="I1294" s="73"/>
      <x:c r="J1294" s="73" t="n">
        <x:v>0</x:v>
      </x:c>
      <x:c r="K1294" s="49" t="str">
        <x:v>Un-Aided</x:v>
      </x:c>
      <x:c r="L1294" s="49" t="str">
        <x:v>MS Seats : 32+ EWS : 5</x:v>
      </x:c>
      <x:c r="M1294" s="49" t="str">
        <x:v>https://dse2025.mahacet.org.in/dse25/admin/allotment/cap2/5497_4.pdf</x:v>
      </x:c>
    </x:row>
    <x:row r="1295">
      <x:c r="A1295" s="49" t="str">
        <x:v>2025-26</x:v>
      </x:c>
      <x:c r="B1295" s="63" t="n">
        <x:v>5497</x:v>
      </x:c>
      <x:c r="C1295" s="49" t="str">
        <x:v>P.G. College of Engineering &amp; Technology, Nandurbar</x:v>
      </x:c>
      <x:c r="D1295" s="72" t="n">
        <x:v>549761210</x:v>
      </x:c>
      <x:c r="E1295" s="49" t="str">
        <x:v>Mechanical Engineering</x:v>
      </x:c>
      <x:c r="F1295" s="73" t="n">
        <x:v>73</x:v>
      </x:c>
      <x:c r="G1295" s="73" t="n">
        <x:v>66</x:v>
      </x:c>
      <x:c r="H1295" s="73" t="n">
        <x:v>7</x:v>
      </x:c>
      <x:c r="I1295" s="73"/>
      <x:c r="J1295" s="73" t="n">
        <x:v>0</x:v>
      </x:c>
      <x:c r="K1295" s="49" t="str">
        <x:v>Un-Aided</x:v>
      </x:c>
      <x:c r="L1295" s="49" t="str">
        <x:v>MS Seats : 66+ EWS : 7</x:v>
      </x:c>
      <x:c r="M1295" s="49" t="str">
        <x:v>https://dse2025.mahacet.org.in/dse25/admin/allotment/cap2/5497_4.pdf</x:v>
      </x:c>
    </x:row>
    <x:row r="1296">
      <x:c r="A1296" s="49" t="str">
        <x:v>2025-26</x:v>
      </x:c>
      <x:c r="B1296" s="63" t="n">
        <x:v>5497</x:v>
      </x:c>
      <x:c r="C1296" s="49" t="str">
        <x:v>P.G. College of Engineering &amp; Technology, Nandurbar</x:v>
      </x:c>
      <x:c r="D1296" s="72" t="n">
        <x:v>549791710</x:v>
      </x:c>
      <x:c r="E1296" s="49" t="str">
        <x:v>Data Science</x:v>
      </x:c>
      <x:c r="F1296" s="73" t="n">
        <x:v>61</x:v>
      </x:c>
      <x:c r="G1296" s="73" t="n">
        <x:v>55</x:v>
      </x:c>
      <x:c r="H1296" s="73" t="n">
        <x:v>6</x:v>
      </x:c>
      <x:c r="I1296" s="73"/>
      <x:c r="J1296" s="73" t="n">
        <x:v>0</x:v>
      </x:c>
      <x:c r="K1296" s="49" t="str">
        <x:v>Un-Aided</x:v>
      </x:c>
      <x:c r="L1296" s="49" t="str">
        <x:v>MS Seats : 55+ EWS : 6</x:v>
      </x:c>
      <x:c r="M1296" s="49" t="str">
        <x:v>https://dse2025.mahacet.org.in/dse25/admin/allotment/cap2/5497_4.pdf</x:v>
      </x:c>
    </x:row>
    <x:row r="1297">
      <x:c r="A1297" s="49" t="str">
        <x:v>2025-26</x:v>
      </x:c>
      <x:c r="B1297" s="63" t="n">
        <x:v>5509</x:v>
      </x:c>
      <x:c r="C1297" s="49" t="str">
        <x:v>Shri Swami Samarth Institute of Management and Technology, Malwadi-Bota</x:v>
      </x:c>
      <x:c r="D1297" s="72" t="n">
        <x:v>550924510</x:v>
      </x:c>
      <x:c r="E1297" s="49" t="str">
        <x:v>Computer Engineering</x:v>
      </x:c>
      <x:c r="F1297" s="73" t="n">
        <x:v>51</x:v>
      </x:c>
      <x:c r="G1297" s="73" t="n">
        <x:v>44</x:v>
      </x:c>
      <x:c r="H1297" s="73" t="n">
        <x:v>7</x:v>
      </x:c>
      <x:c r="I1297" s="73"/>
      <x:c r="J1297" s="73" t="n">
        <x:v>0</x:v>
      </x:c>
      <x:c r="K1297" s="49" t="str">
        <x:v>Un-Aided</x:v>
      </x:c>
      <x:c r="L1297" s="49" t="str">
        <x:v>MS Seats : 44+ EWS : 7</x:v>
      </x:c>
      <x:c r="M1297" s="49" t="str">
        <x:v>https://dse2025.mahacet.org.in/dse25/admin/allotment/cap2/5509_4.pdf</x:v>
      </x:c>
    </x:row>
    <x:row r="1298">
      <x:c r="A1298" s="49" t="str">
        <x:v>2025-26</x:v>
      </x:c>
      <x:c r="B1298" s="63" t="n">
        <x:v>5509</x:v>
      </x:c>
      <x:c r="C1298" s="49" t="str">
        <x:v>Shri Swami Samarth Institute of Management and Technology, Malwadi-Bota</x:v>
      </x:c>
      <x:c r="D1298" s="72" t="n">
        <x:v>550924610</x:v>
      </x:c>
      <x:c r="E1298" s="49" t="str">
        <x:v>Information Technology</x:v>
      </x:c>
      <x:c r="F1298" s="73" t="n">
        <x:v>51</x:v>
      </x:c>
      <x:c r="G1298" s="73" t="n">
        <x:v>44</x:v>
      </x:c>
      <x:c r="H1298" s="73" t="n">
        <x:v>7</x:v>
      </x:c>
      <x:c r="I1298" s="73"/>
      <x:c r="J1298" s="73" t="n">
        <x:v>0</x:v>
      </x:c>
      <x:c r="K1298" s="49" t="str">
        <x:v>Un-Aided</x:v>
      </x:c>
      <x:c r="L1298" s="49" t="str">
        <x:v>MS Seats : 44+ EWS : 7</x:v>
      </x:c>
      <x:c r="M1298" s="49" t="str">
        <x:v>https://dse2025.mahacet.org.in/dse25/admin/allotment/cap2/5509_4.pdf</x:v>
      </x:c>
    </x:row>
    <x:row r="1299">
      <x:c r="A1299" s="49" t="str">
        <x:v>2025-26</x:v>
      </x:c>
      <x:c r="B1299" s="63" t="n">
        <x:v>5509</x:v>
      </x:c>
      <x:c r="C1299" s="49" t="str">
        <x:v>Shri Swami Samarth Institute of Management and Technology, Malwadi-Bota</x:v>
      </x:c>
      <x:c r="D1299" s="72" t="n">
        <x:v>550937210</x:v>
      </x:c>
      <x:c r="E1299" s="49" t="str">
        <x:v>Electronics and Telecommunication Engg</x:v>
      </x:c>
      <x:c r="F1299" s="73" t="n">
        <x:v>73</x:v>
      </x:c>
      <x:c r="G1299" s="73" t="n">
        <x:v>66</x:v>
      </x:c>
      <x:c r="H1299" s="73" t="n">
        <x:v>7</x:v>
      </x:c>
      <x:c r="I1299" s="73"/>
      <x:c r="J1299" s="73" t="n">
        <x:v>0</x:v>
      </x:c>
      <x:c r="K1299" s="49" t="str">
        <x:v>Un-Aided</x:v>
      </x:c>
      <x:c r="L1299" s="49" t="str">
        <x:v>MS Seats : 66+ EWS : 7</x:v>
      </x:c>
      <x:c r="M1299" s="49" t="str">
        <x:v>https://dse2025.mahacet.org.in/dse25/admin/allotment/cap2/5509_4.pdf</x:v>
      </x:c>
    </x:row>
    <x:row r="1300">
      <x:c r="A1300" s="49" t="str">
        <x:v>2025-26</x:v>
      </x:c>
      <x:c r="B1300" s="63" t="n">
        <x:v>5509</x:v>
      </x:c>
      <x:c r="C1300" s="49" t="str">
        <x:v>Shri Swami Samarth Institute of Management and Technology, Malwadi-Bota</x:v>
      </x:c>
      <x:c r="D1300" s="72" t="n">
        <x:v>550999510</x:v>
      </x:c>
      <x:c r="E1300" s="49" t="str">
        <x:v>Artificial Intelligence and Data Science</x:v>
      </x:c>
      <x:c r="F1300" s="73" t="n">
        <x:v>59</x:v>
      </x:c>
      <x:c r="G1300" s="73" t="n">
        <x:v>53</x:v>
      </x:c>
      <x:c r="H1300" s="73" t="n">
        <x:v>6</x:v>
      </x:c>
      <x:c r="I1300" s="73"/>
      <x:c r="J1300" s="73" t="n">
        <x:v>0</x:v>
      </x:c>
      <x:c r="K1300" s="49" t="str">
        <x:v>Un-Aided</x:v>
      </x:c>
      <x:c r="L1300" s="49" t="str">
        <x:v>MS Seats : 53+ EWS : 6</x:v>
      </x:c>
      <x:c r="M1300" s="49" t="str">
        <x:v>https://dse2025.mahacet.org.in/dse25/admin/allotment/cap2/5509_4.pdf</x:v>
      </x:c>
    </x:row>
    <x:row r="1301">
      <x:c r="A1301" s="49" t="str">
        <x:v>2025-26</x:v>
      </x:c>
      <x:c r="B1301" s="63" t="n">
        <x:v>5513</x:v>
      </x:c>
      <x:c r="C1301" s="49" t="str">
        <x:v>MKD Institute of Technology, Nadurbar</x:v>
      </x:c>
      <x:c r="D1301" s="72" t="n">
        <x:v>551319110</x:v>
      </x:c>
      <x:c r="E1301" s="49" t="str">
        <x:v>Civil Engineering</x:v>
      </x:c>
      <x:c r="F1301" s="73" t="n">
        <x:v>70</x:v>
      </x:c>
      <x:c r="G1301" s="73" t="n">
        <x:v>63</x:v>
      </x:c>
      <x:c r="H1301" s="73" t="n">
        <x:v>7</x:v>
      </x:c>
      <x:c r="I1301" s="73"/>
      <x:c r="J1301" s="73" t="n">
        <x:v>0</x:v>
      </x:c>
      <x:c r="K1301" s="49" t="str">
        <x:v>Un-Aided</x:v>
      </x:c>
      <x:c r="L1301" s="49" t="str">
        <x:v>MS Seats : 63+ EWS : 7</x:v>
      </x:c>
      <x:c r="M1301" s="49" t="str">
        <x:v>https://dse2025.mahacet.org.in/dse25/admin/allotment/cap2/5513_4.pdf</x:v>
      </x:c>
    </x:row>
    <x:row r="1302">
      <x:c r="A1302" s="49" t="str">
        <x:v>2025-26</x:v>
      </x:c>
      <x:c r="B1302" s="63" t="n">
        <x:v>5513</x:v>
      </x:c>
      <x:c r="C1302" s="49" t="str">
        <x:v>MKD Institute of Technology, Nadurbar</x:v>
      </x:c>
      <x:c r="D1302" s="72" t="n">
        <x:v>551324510</x:v>
      </x:c>
      <x:c r="E1302" s="49" t="str">
        <x:v>Computer Engineering</x:v>
      </x:c>
      <x:c r="F1302" s="73" t="n">
        <x:v>53</x:v>
      </x:c>
      <x:c r="G1302" s="73" t="n">
        <x:v>46</x:v>
      </x:c>
      <x:c r="H1302" s="73" t="n">
        <x:v>7</x:v>
      </x:c>
      <x:c r="I1302" s="73"/>
      <x:c r="J1302" s="73" t="n">
        <x:v>0</x:v>
      </x:c>
      <x:c r="K1302" s="49" t="str">
        <x:v>Un-Aided</x:v>
      </x:c>
      <x:c r="L1302" s="49" t="str">
        <x:v>MS Seats : 46+ EWS : 7</x:v>
      </x:c>
      <x:c r="M1302" s="49" t="str">
        <x:v>https://dse2025.mahacet.org.in/dse25/admin/allotment/cap2/5513_4.pdf</x:v>
      </x:c>
    </x:row>
    <x:row r="1303">
      <x:c r="A1303" s="49" t="str">
        <x:v>2025-26</x:v>
      </x:c>
      <x:c r="B1303" s="63" t="n">
        <x:v>5513</x:v>
      </x:c>
      <x:c r="C1303" s="49" t="str">
        <x:v>MKD Institute of Technology, Nadurbar</x:v>
      </x:c>
      <x:c r="D1303" s="72" t="n">
        <x:v>551337210</x:v>
      </x:c>
      <x:c r="E1303" s="49" t="str">
        <x:v>Electronics and Telecommunication Engg</x:v>
      </x:c>
      <x:c r="F1303" s="73" t="n">
        <x:v>73</x:v>
      </x:c>
      <x:c r="G1303" s="73" t="n">
        <x:v>66</x:v>
      </x:c>
      <x:c r="H1303" s="73" t="n">
        <x:v>7</x:v>
      </x:c>
      <x:c r="I1303" s="73"/>
      <x:c r="J1303" s="73" t="n">
        <x:v>0</x:v>
      </x:c>
      <x:c r="K1303" s="49" t="str">
        <x:v>Un-Aided</x:v>
      </x:c>
      <x:c r="L1303" s="49" t="str">
        <x:v>MS Seats : 66+ EWS : 7</x:v>
      </x:c>
      <x:c r="M1303" s="49" t="str">
        <x:v>https://dse2025.mahacet.org.in/dse25/admin/allotment/cap2/5513_4.pdf</x:v>
      </x:c>
    </x:row>
    <x:row r="1304">
      <x:c r="A1304" s="49" t="str">
        <x:v>2025-26</x:v>
      </x:c>
      <x:c r="B1304" s="63" t="n">
        <x:v>5545</x:v>
      </x:c>
      <x:c r="C1304" s="49" t="str">
        <x:v>Shri Vile Parle Kelavani Mandal's College of Engineering, Shirpur</x:v>
      </x:c>
      <x:c r="D1304" s="72" t="n">
        <x:v>554524210</x:v>
      </x:c>
      <x:c r="E1304" s="49" t="str">
        <x:v>Computer Science and Engineering</x:v>
      </x:c>
      <x:c r="F1304" s="73" t="n">
        <x:v>33</x:v>
      </x:c>
      <x:c r="G1304" s="73" t="n">
        <x:v>16</x:v>
      </x:c>
      <x:c r="H1304" s="73"/>
      <x:c r="I1304" s="73" t="n">
        <x:v>17</x:v>
      </x:c>
      <x:c r="J1304" s="73" t="n">
        <x:v>0</x:v>
      </x:c>
      <x:c r="K1304" s="49" t="str">
        <x:v>Un-Aided Linguistic Minority - Gujarathi</x:v>
      </x:c>
      <x:c r="L1304" s="49" t="str">
        <x:v>MS Seats : 16 + Minority Seats : 17</x:v>
      </x:c>
      <x:c r="M1304" s="49" t="str">
        <x:v>https://dse2025.mahacet.org.in/dse25/admin/allotment/cap2/5545_4.pdf</x:v>
      </x:c>
    </x:row>
    <x:row r="1305">
      <x:c r="A1305" s="49" t="str">
        <x:v>2025-26</x:v>
      </x:c>
      <x:c r="B1305" s="63" t="n">
        <x:v>5545</x:v>
      </x:c>
      <x:c r="C1305" s="49" t="str">
        <x:v>Shri Vile Parle Kelavani Mandal's College of Engineering, Shirpur</x:v>
      </x:c>
      <x:c r="D1305" s="72" t="n">
        <x:v>554524610</x:v>
      </x:c>
      <x:c r="E1305" s="49" t="str">
        <x:v>Information Technology</x:v>
      </x:c>
      <x:c r="F1305" s="73" t="n">
        <x:v>13</x:v>
      </x:c>
      <x:c r="G1305" s="73" t="n">
        <x:v>6</x:v>
      </x:c>
      <x:c r="H1305" s="73"/>
      <x:c r="I1305" s="73" t="n">
        <x:v>7</x:v>
      </x:c>
      <x:c r="J1305" s="73" t="n">
        <x:v>0</x:v>
      </x:c>
      <x:c r="K1305" s="49" t="str">
        <x:v>Un-Aided Linguistic Minority - Gujarathi</x:v>
      </x:c>
      <x:c r="L1305" s="49" t="str">
        <x:v>MS Seats : 6 + Minority Seats : 7</x:v>
      </x:c>
      <x:c r="M1305" s="49" t="str">
        <x:v>https://dse2025.mahacet.org.in/dse25/admin/allotment/cap2/5545_4.pdf</x:v>
      </x:c>
    </x:row>
    <x:row r="1306">
      <x:c r="A1306" s="49" t="str">
        <x:v>2025-26</x:v>
      </x:c>
      <x:c r="B1306" s="63" t="n">
        <x:v>5545</x:v>
      </x:c>
      <x:c r="C1306" s="49" t="str">
        <x:v>Shri Vile Parle Kelavani Mandal's College of Engineering, Shirpur</x:v>
      </x:c>
      <x:c r="D1306" s="72" t="n">
        <x:v>554584410</x:v>
      </x:c>
      <x:c r="E1306" s="49" t="str">
        <x:v>Electronics and Computer Engineering</x:v>
      </x:c>
      <x:c r="F1306" s="73" t="n">
        <x:v>20</x:v>
      </x:c>
      <x:c r="G1306" s="73" t="n">
        <x:v>9</x:v>
      </x:c>
      <x:c r="H1306" s="73"/>
      <x:c r="I1306" s="73" t="n">
        <x:v>11</x:v>
      </x:c>
      <x:c r="J1306" s="73" t="n">
        <x:v>0</x:v>
      </x:c>
      <x:c r="K1306" s="49" t="str">
        <x:v>Un-Aided Linguistic Minority - Gujarathi</x:v>
      </x:c>
      <x:c r="L1306" s="49" t="str">
        <x:v>MS Seats : 9 + Minority Seats : 11</x:v>
      </x:c>
      <x:c r="M1306" s="49" t="str">
        <x:v>https://dse2025.mahacet.org.in/dse25/admin/allotment/cap2/5545_4.pdf</x:v>
      </x:c>
    </x:row>
    <x:row r="1307">
      <x:c r="A1307" s="49" t="str">
        <x:v>2025-26</x:v>
      </x:c>
      <x:c r="B1307" s="63" t="n">
        <x:v>5545</x:v>
      </x:c>
      <x:c r="C1307" s="49" t="str">
        <x:v>Shri Vile Parle Kelavani Mandal's College of Engineering, Shirpur</x:v>
      </x:c>
      <x:c r="D1307" s="72" t="n">
        <x:v>554591710</x:v>
      </x:c>
      <x:c r="E1307" s="49" t="str">
        <x:v>Data Science</x:v>
      </x:c>
      <x:c r="F1307" s="73" t="n">
        <x:v>16</x:v>
      </x:c>
      <x:c r="G1307" s="73" t="n">
        <x:v>7</x:v>
      </x:c>
      <x:c r="H1307" s="73"/>
      <x:c r="I1307" s="73" t="n">
        <x:v>9</x:v>
      </x:c>
      <x:c r="J1307" s="73" t="n">
        <x:v>0</x:v>
      </x:c>
      <x:c r="K1307" s="49" t="str">
        <x:v>Un-Aided Linguistic Minority - Gujarathi</x:v>
      </x:c>
      <x:c r="L1307" s="49" t="str">
        <x:v>MS Seats : 7 + Minority Seats : 9</x:v>
      </x:c>
      <x:c r="M1307" s="49" t="str">
        <x:v>https://dse2025.mahacet.org.in/dse25/admin/allotment/cap2/5545_4.pdf</x:v>
      </x:c>
    </x:row>
    <x:row r="1308">
      <x:c r="A1308" s="49" t="str">
        <x:v>2025-26</x:v>
      </x:c>
      <x:c r="B1308" s="63" t="n">
        <x:v>6004</x:v>
      </x:c>
      <x:c r="C1308" s="49" t="str">
        <x:v>Government College of Engineering &amp; Research, Avasari Khurd</x:v>
      </x:c>
      <x:c r="D1308" s="72" t="n">
        <x:v>600419110</x:v>
      </x:c>
      <x:c r="E1308" s="49" t="str">
        <x:v>Civil Engineering</x:v>
      </x:c>
      <x:c r="F1308" s="73" t="n">
        <x:v>19</x:v>
      </x:c>
      <x:c r="G1308" s="73" t="n">
        <x:v>14</x:v>
      </x:c>
      <x:c r="H1308" s="73" t="n">
        <x:v>5</x:v>
      </x:c>
      <x:c r="I1308" s="73"/>
      <x:c r="J1308" s="73" t="n">
        <x:v>0</x:v>
      </x:c>
      <x:c r="K1308" s="49" t="str">
        <x:v>Government</x:v>
      </x:c>
      <x:c r="L1308" s="49" t="str">
        <x:v>MS Seats : 14+ EWS : 5</x:v>
      </x:c>
      <x:c r="M1308" s="49" t="str">
        <x:v>https://dse2025.mahacet.org.in/dse25/admin/allotment/cap2/6004_4.pdf</x:v>
      </x:c>
    </x:row>
    <x:row r="1309">
      <x:c r="A1309" s="49" t="str">
        <x:v>2025-26</x:v>
      </x:c>
      <x:c r="B1309" s="63" t="n">
        <x:v>6004</x:v>
      </x:c>
      <x:c r="C1309" s="49" t="str">
        <x:v>Government College of Engineering &amp; Research, Avasari Khurd</x:v>
      </x:c>
      <x:c r="D1309" s="72" t="n">
        <x:v>600424510</x:v>
      </x:c>
      <x:c r="E1309" s="49" t="str">
        <x:v>Computer Engineering</x:v>
      </x:c>
      <x:c r="F1309" s="73" t="n">
        <x:v>10</x:v>
      </x:c>
      <x:c r="G1309" s="73" t="n">
        <x:v>7</x:v>
      </x:c>
      <x:c r="H1309" s="73" t="n">
        <x:v>3</x:v>
      </x:c>
      <x:c r="I1309" s="73"/>
      <x:c r="J1309" s="73" t="n">
        <x:v>0</x:v>
      </x:c>
      <x:c r="K1309" s="49" t="str">
        <x:v>Government</x:v>
      </x:c>
      <x:c r="L1309" s="49" t="str">
        <x:v>MS Seats : 7+ EWS : 3</x:v>
      </x:c>
      <x:c r="M1309" s="49" t="str">
        <x:v>https://dse2025.mahacet.org.in/dse25/admin/allotment/cap2/6004_4.pdf</x:v>
      </x:c>
    </x:row>
    <x:row r="1310">
      <x:c r="A1310" s="49" t="str">
        <x:v>2025-26</x:v>
      </x:c>
      <x:c r="B1310" s="63" t="n">
        <x:v>6004</x:v>
      </x:c>
      <x:c r="C1310" s="49" t="str">
        <x:v>Government College of Engineering &amp; Research, Avasari Khurd</x:v>
      </x:c>
      <x:c r="D1310" s="72" t="n">
        <x:v>600437210</x:v>
      </x:c>
      <x:c r="E1310" s="49" t="str">
        <x:v>Electronics and Telecommunication Engg</x:v>
      </x:c>
      <x:c r="F1310" s="73" t="n">
        <x:v>8</x:v>
      </x:c>
      <x:c r="G1310" s="73" t="n">
        <x:v>7</x:v>
      </x:c>
      <x:c r="H1310" s="73" t="n">
        <x:v>1</x:v>
      </x:c>
      <x:c r="I1310" s="73"/>
      <x:c r="J1310" s="73" t="n">
        <x:v>0</x:v>
      </x:c>
      <x:c r="K1310" s="49" t="str">
        <x:v>Government</x:v>
      </x:c>
      <x:c r="L1310" s="49" t="str">
        <x:v>MS Seats : 7+ EWS : 1</x:v>
      </x:c>
      <x:c r="M1310" s="49" t="str">
        <x:v>https://dse2025.mahacet.org.in/dse25/admin/allotment/cap2/6004_4.pdf</x:v>
      </x:c>
    </x:row>
    <x:row r="1311">
      <x:c r="A1311" s="49" t="str">
        <x:v>2025-26</x:v>
      </x:c>
      <x:c r="B1311" s="63" t="n">
        <x:v>6004</x:v>
      </x:c>
      <x:c r="C1311" s="49" t="str">
        <x:v>Government College of Engineering &amp; Research, Avasari Khurd</x:v>
      </x:c>
      <x:c r="D1311" s="72" t="n">
        <x:v>600446410</x:v>
      </x:c>
      <x:c r="E1311" s="49" t="str">
        <x:v>Instrumentation and Control Engineering</x:v>
      </x:c>
      <x:c r="F1311" s="73" t="n">
        <x:v>10</x:v>
      </x:c>
      <x:c r="G1311" s="73" t="n">
        <x:v>9</x:v>
      </x:c>
      <x:c r="H1311" s="73" t="n">
        <x:v>1</x:v>
      </x:c>
      <x:c r="I1311" s="73"/>
      <x:c r="J1311" s="73" t="n">
        <x:v>0</x:v>
      </x:c>
      <x:c r="K1311" s="49" t="str">
        <x:v>Government</x:v>
      </x:c>
      <x:c r="L1311" s="49" t="str">
        <x:v>MS Seats : 9+ EWS : 1</x:v>
      </x:c>
      <x:c r="M1311" s="49" t="str">
        <x:v>https://dse2025.mahacet.org.in/dse25/admin/allotment/cap2/6004_4.pdf</x:v>
      </x:c>
    </x:row>
    <x:row r="1312">
      <x:c r="A1312" s="49" t="str">
        <x:v>2025-26</x:v>
      </x:c>
      <x:c r="B1312" s="63" t="n">
        <x:v>6004</x:v>
      </x:c>
      <x:c r="C1312" s="49" t="str">
        <x:v>Government College of Engineering &amp; Research, Avasari Khurd</x:v>
      </x:c>
      <x:c r="D1312" s="72" t="n">
        <x:v>600460210</x:v>
      </x:c>
      <x:c r="E1312" s="49" t="str">
        <x:v>Automobile Engineering</x:v>
      </x:c>
      <x:c r="F1312" s="73" t="n">
        <x:v>35</x:v>
      </x:c>
      <x:c r="G1312" s="73" t="n">
        <x:v>29</x:v>
      </x:c>
      <x:c r="H1312" s="73" t="n">
        <x:v>6</x:v>
      </x:c>
      <x:c r="I1312" s="73"/>
      <x:c r="J1312" s="73" t="n">
        <x:v>0</x:v>
      </x:c>
      <x:c r="K1312" s="49" t="str">
        <x:v>Government</x:v>
      </x:c>
      <x:c r="L1312" s="49" t="str">
        <x:v>MS Seats : 29+ EWS : 6</x:v>
      </x:c>
      <x:c r="M1312" s="49" t="str">
        <x:v>https://dse2025.mahacet.org.in/dse25/admin/allotment/cap2/6004_4.pdf</x:v>
      </x:c>
    </x:row>
    <x:row r="1313">
      <x:c r="A1313" s="49" t="str">
        <x:v>2025-26</x:v>
      </x:c>
      <x:c r="B1313" s="63" t="n">
        <x:v>6004</x:v>
      </x:c>
      <x:c r="C1313" s="49" t="str">
        <x:v>Government College of Engineering &amp; Research, Avasari Khurd</x:v>
      </x:c>
      <x:c r="D1313" s="72" t="n">
        <x:v>600461210</x:v>
      </x:c>
      <x:c r="E1313" s="49" t="str">
        <x:v>Mechanical Engineering</x:v>
      </x:c>
      <x:c r="F1313" s="73" t="n">
        <x:v>12</x:v>
      </x:c>
      <x:c r="G1313" s="73" t="n">
        <x:v>10</x:v>
      </x:c>
      <x:c r="H1313" s="73" t="n">
        <x:v>2</x:v>
      </x:c>
      <x:c r="I1313" s="73"/>
      <x:c r="J1313" s="73" t="n">
        <x:v>0</x:v>
      </x:c>
      <x:c r="K1313" s="49" t="str">
        <x:v>Government</x:v>
      </x:c>
      <x:c r="L1313" s="49" t="str">
        <x:v>MS Seats : 10+ EWS : 2</x:v>
      </x:c>
      <x:c r="M1313" s="49" t="str">
        <x:v>https://dse2025.mahacet.org.in/dse25/admin/allotment/cap2/6004_4.pdf</x:v>
      </x:c>
    </x:row>
    <x:row r="1314">
      <x:c r="A1314" s="49" t="str">
        <x:v>2025-26</x:v>
      </x:c>
      <x:c r="B1314" s="63" t="n">
        <x:v>6005</x:v>
      </x:c>
      <x:c r="C1314" s="49" t="str">
        <x:v>Government College of Engineering, Karad</x:v>
      </x:c>
      <x:c r="D1314" s="72" t="n">
        <x:v>600519110</x:v>
      </x:c>
      <x:c r="E1314" s="49" t="str">
        <x:v>Civil Engineering</x:v>
      </x:c>
      <x:c r="F1314" s="73" t="n">
        <x:v>9</x:v>
      </x:c>
      <x:c r="G1314" s="73" t="n">
        <x:v>7</x:v>
      </x:c>
      <x:c r="H1314" s="73" t="n">
        <x:v>2</x:v>
      </x:c>
      <x:c r="I1314" s="73"/>
      <x:c r="J1314" s="73" t="n">
        <x:v>0</x:v>
      </x:c>
      <x:c r="K1314" s="49" t="str">
        <x:v>Government Autonomous</x:v>
      </x:c>
      <x:c r="L1314" s="49" t="str">
        <x:v>MS Seats : 7+ EWS : 2</x:v>
      </x:c>
      <x:c r="M1314" s="49" t="str">
        <x:v>https://dse2025.mahacet.org.in/dse25/admin/allotment/cap2/6005_4.pdf</x:v>
      </x:c>
    </x:row>
    <x:row r="1315">
      <x:c r="A1315" s="49" t="str">
        <x:v>2025-26</x:v>
      </x:c>
      <x:c r="B1315" s="63" t="n">
        <x:v>6005</x:v>
      </x:c>
      <x:c r="C1315" s="49" t="str">
        <x:v>Government College of Engineering, Karad</x:v>
      </x:c>
      <x:c r="D1315" s="72" t="n">
        <x:v>600524610</x:v>
      </x:c>
      <x:c r="E1315" s="49" t="str">
        <x:v>Information Technology</x:v>
      </x:c>
      <x:c r="F1315" s="73" t="n">
        <x:v>8</x:v>
      </x:c>
      <x:c r="G1315" s="73" t="n">
        <x:v>7</x:v>
      </x:c>
      <x:c r="H1315" s="73" t="n">
        <x:v>1</x:v>
      </x:c>
      <x:c r="I1315" s="73"/>
      <x:c r="J1315" s="73" t="n">
        <x:v>0</x:v>
      </x:c>
      <x:c r="K1315" s="49" t="str">
        <x:v>Government Autonomous</x:v>
      </x:c>
      <x:c r="L1315" s="49" t="str">
        <x:v>MS Seats : 7+ EWS : 1</x:v>
      </x:c>
      <x:c r="M1315" s="49" t="str">
        <x:v>https://dse2025.mahacet.org.in/dse25/admin/allotment/cap2/6005_4.pdf</x:v>
      </x:c>
    </x:row>
    <x:row r="1316">
      <x:c r="A1316" s="49" t="str">
        <x:v>2025-26</x:v>
      </x:c>
      <x:c r="B1316" s="63" t="n">
        <x:v>6005</x:v>
      </x:c>
      <x:c r="C1316" s="49" t="str">
        <x:v>Government College of Engineering, Karad</x:v>
      </x:c>
      <x:c r="D1316" s="72" t="n">
        <x:v>600529310</x:v>
      </x:c>
      <x:c r="E1316" s="49" t="str">
        <x:v>Electrical Engineering</x:v>
      </x:c>
      <x:c r="F1316" s="73" t="n">
        <x:v>8</x:v>
      </x:c>
      <x:c r="G1316" s="73" t="n">
        <x:v>7</x:v>
      </x:c>
      <x:c r="H1316" s="73" t="n">
        <x:v>1</x:v>
      </x:c>
      <x:c r="I1316" s="73"/>
      <x:c r="J1316" s="73" t="n">
        <x:v>0</x:v>
      </x:c>
      <x:c r="K1316" s="49" t="str">
        <x:v>Government Autonomous</x:v>
      </x:c>
      <x:c r="L1316" s="49" t="str">
        <x:v>MS Seats : 7+ EWS : 1</x:v>
      </x:c>
      <x:c r="M1316" s="49" t="str">
        <x:v>https://dse2025.mahacet.org.in/dse25/admin/allotment/cap2/6005_4.pdf</x:v>
      </x:c>
    </x:row>
    <x:row r="1317">
      <x:c r="A1317" s="49" t="str">
        <x:v>2025-26</x:v>
      </x:c>
      <x:c r="B1317" s="63" t="n">
        <x:v>6005</x:v>
      </x:c>
      <x:c r="C1317" s="49" t="str">
        <x:v>Government College of Engineering, Karad</x:v>
      </x:c>
      <x:c r="D1317" s="72" t="n">
        <x:v>600537210</x:v>
      </x:c>
      <x:c r="E1317" s="49" t="str">
        <x:v>Electronics and Telecommunication Engg</x:v>
      </x:c>
      <x:c r="F1317" s="73" t="n">
        <x:v>8</x:v>
      </x:c>
      <x:c r="G1317" s="73" t="n">
        <x:v>7</x:v>
      </x:c>
      <x:c r="H1317" s="73" t="n">
        <x:v>1</x:v>
      </x:c>
      <x:c r="I1317" s="73"/>
      <x:c r="J1317" s="73" t="n">
        <x:v>0</x:v>
      </x:c>
      <x:c r="K1317" s="49" t="str">
        <x:v>Government Autonomous</x:v>
      </x:c>
      <x:c r="L1317" s="49" t="str">
        <x:v>MS Seats : 7+ EWS : 1</x:v>
      </x:c>
      <x:c r="M1317" s="49" t="str">
        <x:v>https://dse2025.mahacet.org.in/dse25/admin/allotment/cap2/6005_4.pdf</x:v>
      </x:c>
    </x:row>
    <x:row r="1318">
      <x:c r="A1318" s="49" t="str">
        <x:v>2025-26</x:v>
      </x:c>
      <x:c r="B1318" s="63" t="n">
        <x:v>6005</x:v>
      </x:c>
      <x:c r="C1318" s="49" t="str">
        <x:v>Government College of Engineering, Karad</x:v>
      </x:c>
      <x:c r="D1318" s="72" t="n">
        <x:v>600561210</x:v>
      </x:c>
      <x:c r="E1318" s="49" t="str">
        <x:v>Mechanical Engineering</x:v>
      </x:c>
      <x:c r="F1318" s="73" t="n">
        <x:v>8</x:v>
      </x:c>
      <x:c r="G1318" s="73" t="n">
        <x:v>7</x:v>
      </x:c>
      <x:c r="H1318" s="73" t="n">
        <x:v>1</x:v>
      </x:c>
      <x:c r="I1318" s="73"/>
      <x:c r="J1318" s="73" t="n">
        <x:v>0</x:v>
      </x:c>
      <x:c r="K1318" s="49" t="str">
        <x:v>Government Autonomous</x:v>
      </x:c>
      <x:c r="L1318" s="49" t="str">
        <x:v>MS Seats : 7+ EWS : 1</x:v>
      </x:c>
      <x:c r="M1318" s="49" t="str">
        <x:v>https://dse2025.mahacet.org.in/dse25/admin/allotment/cap2/6005_4.pdf</x:v>
      </x:c>
    </x:row>
    <x:row r="1319">
      <x:c r="A1319" s="49" t="str">
        <x:v>2025-26</x:v>
      </x:c>
      <x:c r="B1319" s="63" t="n">
        <x:v>6007</x:v>
      </x:c>
      <x:c r="C1319" s="49" t="str">
        <x:v>Walchand College of Engineering, Sangli</x:v>
      </x:c>
      <x:c r="D1319" s="72" t="n">
        <x:v>600719110</x:v>
      </x:c>
      <x:c r="E1319" s="49" t="str">
        <x:v>Civil Engineering</x:v>
      </x:c>
      <x:c r="F1319" s="73" t="n">
        <x:v>9</x:v>
      </x:c>
      <x:c r="G1319" s="73" t="n">
        <x:v>8</x:v>
      </x:c>
      <x:c r="H1319" s="73" t="n">
        <x:v>1</x:v>
      </x:c>
      <x:c r="I1319" s="73"/>
      <x:c r="J1319" s="73" t="n">
        <x:v>0</x:v>
      </x:c>
      <x:c r="K1319" s="49" t="str">
        <x:v>Government-Aided Autonomous</x:v>
      </x:c>
      <x:c r="L1319" s="49" t="str">
        <x:v>MS Seats : 8+ EWS : 1</x:v>
      </x:c>
      <x:c r="M1319" s="49" t="str">
        <x:v>https://dse2025.mahacet.org.in/dse25/admin/allotment/cap2/6007_4.pdf</x:v>
      </x:c>
    </x:row>
    <x:row r="1320">
      <x:c r="A1320" s="49" t="str">
        <x:v>2025-26</x:v>
      </x:c>
      <x:c r="B1320" s="63" t="n">
        <x:v>6007</x:v>
      </x:c>
      <x:c r="C1320" s="49" t="str">
        <x:v>Walchand College of Engineering, Sangli</x:v>
      </x:c>
      <x:c r="D1320" s="72" t="n">
        <x:v>600721970</x:v>
      </x:c>
      <x:c r="E1320" s="49" t="str">
        <x:v>Robotics and Automation</x:v>
      </x:c>
      <x:c r="F1320" s="73" t="n">
        <x:v>9</x:v>
      </x:c>
      <x:c r="G1320" s="73" t="n">
        <x:v>8</x:v>
      </x:c>
      <x:c r="H1320" s="73" t="n">
        <x:v>1</x:v>
      </x:c>
      <x:c r="I1320" s="73"/>
      <x:c r="J1320" s="73" t="n">
        <x:v>0</x:v>
      </x:c>
      <x:c r="K1320" s="49" t="str">
        <x:v>Government-Aided</x:v>
      </x:c>
      <x:c r="L1320" s="49" t="str">
        <x:v>MS Seats : 8+ EWS : 1</x:v>
      </x:c>
      <x:c r="M1320" s="49" t="str">
        <x:v>https://dse2025.mahacet.org.in/dse25/admin/allotment/cap2/6007_4.pdf</x:v>
      </x:c>
    </x:row>
    <x:row r="1321">
      <x:c r="A1321" s="49" t="str">
        <x:v>2025-26</x:v>
      </x:c>
      <x:c r="B1321" s="63" t="n">
        <x:v>6007</x:v>
      </x:c>
      <x:c r="C1321" s="49" t="str">
        <x:v>Walchand College of Engineering, Sangli</x:v>
      </x:c>
      <x:c r="D1321" s="72" t="n">
        <x:v>600724210</x:v>
      </x:c>
      <x:c r="E1321" s="49" t="str">
        <x:v>Computer Science and Engineering</x:v>
      </x:c>
      <x:c r="F1321" s="73" t="n">
        <x:v>11</x:v>
      </x:c>
      <x:c r="G1321" s="73" t="n">
        <x:v>10</x:v>
      </x:c>
      <x:c r="H1321" s="73" t="n">
        <x:v>1</x:v>
      </x:c>
      <x:c r="I1321" s="73"/>
      <x:c r="J1321" s="73" t="n">
        <x:v>0</x:v>
      </x:c>
      <x:c r="K1321" s="49" t="str">
        <x:v>Government-Aided Autonomous</x:v>
      </x:c>
      <x:c r="L1321" s="49" t="str">
        <x:v>MS Seats : 10+ EWS : 1</x:v>
      </x:c>
      <x:c r="M1321" s="49" t="str">
        <x:v>https://dse2025.mahacet.org.in/dse25/admin/allotment/cap2/6007_4.pdf</x:v>
      </x:c>
    </x:row>
    <x:row r="1322">
      <x:c r="A1322" s="49" t="str">
        <x:v>2025-26</x:v>
      </x:c>
      <x:c r="B1322" s="63" t="n">
        <x:v>6007</x:v>
      </x:c>
      <x:c r="C1322" s="49" t="str">
        <x:v>Walchand College of Engineering, Sangli</x:v>
      </x:c>
      <x:c r="D1322" s="72" t="n">
        <x:v>600724270</x:v>
      </x:c>
      <x:c r="E1322" s="49" t="str">
        <x:v>Computer Science and Engineering</x:v>
      </x:c>
      <x:c r="F1322" s="73" t="n">
        <x:v>12</x:v>
      </x:c>
      <x:c r="G1322" s="73" t="n">
        <x:v>11</x:v>
      </x:c>
      <x:c r="H1322" s="73" t="n">
        <x:v>1</x:v>
      </x:c>
      <x:c r="I1322" s="73"/>
      <x:c r="J1322" s="73" t="n">
        <x:v>0</x:v>
      </x:c>
      <x:c r="K1322" s="49" t="str">
        <x:v>Government-Aided</x:v>
      </x:c>
      <x:c r="L1322" s="49" t="str">
        <x:v>MS Seats : 11+ EWS : 1</x:v>
      </x:c>
      <x:c r="M1322" s="49" t="str">
        <x:v>https://dse2025.mahacet.org.in/dse25/admin/allotment/cap2/6007_4.pdf</x:v>
      </x:c>
    </x:row>
    <x:row r="1323">
      <x:c r="A1323" s="49" t="str">
        <x:v>2025-26</x:v>
      </x:c>
      <x:c r="B1323" s="63" t="n">
        <x:v>6007</x:v>
      </x:c>
      <x:c r="C1323" s="49" t="str">
        <x:v>Walchand College of Engineering, Sangli</x:v>
      </x:c>
      <x:c r="D1323" s="72" t="n">
        <x:v>600724610</x:v>
      </x:c>
      <x:c r="E1323" s="49" t="str">
        <x:v>Information Technology</x:v>
      </x:c>
      <x:c r="F1323" s="73" t="n">
        <x:v>9</x:v>
      </x:c>
      <x:c r="G1323" s="73" t="n">
        <x:v>7</x:v>
      </x:c>
      <x:c r="H1323" s="73" t="n">
        <x:v>2</x:v>
      </x:c>
      <x:c r="I1323" s="73"/>
      <x:c r="J1323" s="73" t="n">
        <x:v>0</x:v>
      </x:c>
      <x:c r="K1323" s="49" t="str">
        <x:v>Government-Aided Autonomous</x:v>
      </x:c>
      <x:c r="L1323" s="49" t="str">
        <x:v>MS Seats : 7+ EWS : 2</x:v>
      </x:c>
      <x:c r="M1323" s="49" t="str">
        <x:v>https://dse2025.mahacet.org.in/dse25/admin/allotment/cap2/6007_4.pdf</x:v>
      </x:c>
    </x:row>
    <x:row r="1324">
      <x:c r="A1324" s="49" t="str">
        <x:v>2025-26</x:v>
      </x:c>
      <x:c r="B1324" s="63" t="n">
        <x:v>6007</x:v>
      </x:c>
      <x:c r="C1324" s="49" t="str">
        <x:v>Walchand College of Engineering, Sangli</x:v>
      </x:c>
      <x:c r="D1324" s="72" t="n">
        <x:v>600724670</x:v>
      </x:c>
      <x:c r="E1324" s="49" t="str">
        <x:v>Information Technology</x:v>
      </x:c>
      <x:c r="F1324" s="73" t="n">
        <x:v>8</x:v>
      </x:c>
      <x:c r="G1324" s="73" t="n">
        <x:v>7</x:v>
      </x:c>
      <x:c r="H1324" s="73" t="n">
        <x:v>1</x:v>
      </x:c>
      <x:c r="I1324" s="73"/>
      <x:c r="J1324" s="73" t="n">
        <x:v>0</x:v>
      </x:c>
      <x:c r="K1324" s="49" t="str">
        <x:v>Government-Aided</x:v>
      </x:c>
      <x:c r="L1324" s="49" t="str">
        <x:v>MS Seats : 7+ EWS : 1</x:v>
      </x:c>
      <x:c r="M1324" s="49" t="str">
        <x:v>https://dse2025.mahacet.org.in/dse25/admin/allotment/cap2/6007_4.pdf</x:v>
      </x:c>
    </x:row>
    <x:row r="1325">
      <x:c r="A1325" s="49" t="str">
        <x:v>2025-26</x:v>
      </x:c>
      <x:c r="B1325" s="63" t="n">
        <x:v>6007</x:v>
      </x:c>
      <x:c r="C1325" s="49" t="str">
        <x:v>Walchand College of Engineering, Sangli</x:v>
      </x:c>
      <x:c r="D1325" s="72" t="n">
        <x:v>600729310</x:v>
      </x:c>
      <x:c r="E1325" s="49" t="str">
        <x:v>Electrical Engineering</x:v>
      </x:c>
      <x:c r="F1325" s="73" t="n">
        <x:v>8</x:v>
      </x:c>
      <x:c r="G1325" s="73" t="n">
        <x:v>7</x:v>
      </x:c>
      <x:c r="H1325" s="73" t="n">
        <x:v>1</x:v>
      </x:c>
      <x:c r="I1325" s="73"/>
      <x:c r="J1325" s="73" t="n">
        <x:v>0</x:v>
      </x:c>
      <x:c r="K1325" s="49" t="str">
        <x:v>Government-Aided Autonomous</x:v>
      </x:c>
      <x:c r="L1325" s="49" t="str">
        <x:v>MS Seats : 7+ EWS : 1</x:v>
      </x:c>
      <x:c r="M1325" s="49" t="str">
        <x:v>https://dse2025.mahacet.org.in/dse25/admin/allotment/cap2/6007_4.pdf</x:v>
      </x:c>
    </x:row>
    <x:row r="1326">
      <x:c r="A1326" s="49" t="str">
        <x:v>2025-26</x:v>
      </x:c>
      <x:c r="B1326" s="63" t="n">
        <x:v>6007</x:v>
      </x:c>
      <x:c r="C1326" s="49" t="str">
        <x:v>Walchand College of Engineering, Sangli</x:v>
      </x:c>
      <x:c r="D1326" s="72" t="n">
        <x:v>600737610</x:v>
      </x:c>
      <x:c r="E1326" s="49" t="str">
        <x:v>Electronics Engineering</x:v>
      </x:c>
      <x:c r="F1326" s="73" t="n">
        <x:v>9</x:v>
      </x:c>
      <x:c r="G1326" s="73" t="n">
        <x:v>7</x:v>
      </x:c>
      <x:c r="H1326" s="73" t="n">
        <x:v>2</x:v>
      </x:c>
      <x:c r="I1326" s="73"/>
      <x:c r="J1326" s="73" t="n">
        <x:v>0</x:v>
      </x:c>
      <x:c r="K1326" s="49" t="str">
        <x:v>Government-Aided Autonomous</x:v>
      </x:c>
      <x:c r="L1326" s="49" t="str">
        <x:v>MS Seats : 7+ EWS : 2</x:v>
      </x:c>
      <x:c r="M1326" s="49" t="str">
        <x:v>https://dse2025.mahacet.org.in/dse25/admin/allotment/cap2/6007_4.pdf</x:v>
      </x:c>
    </x:row>
    <x:row r="1327">
      <x:c r="A1327" s="49" t="str">
        <x:v>2025-26</x:v>
      </x:c>
      <x:c r="B1327" s="63" t="n">
        <x:v>6007</x:v>
      </x:c>
      <x:c r="C1327" s="49" t="str">
        <x:v>Walchand College of Engineering, Sangli</x:v>
      </x:c>
      <x:c r="D1327" s="72" t="n">
        <x:v>600761210</x:v>
      </x:c>
      <x:c r="E1327" s="49" t="str">
        <x:v>Mechanical Engineering</x:v>
      </x:c>
      <x:c r="F1327" s="73" t="n">
        <x:v>8</x:v>
      </x:c>
      <x:c r="G1327" s="73" t="n">
        <x:v>7</x:v>
      </x:c>
      <x:c r="H1327" s="73" t="n">
        <x:v>1</x:v>
      </x:c>
      <x:c r="I1327" s="73"/>
      <x:c r="J1327" s="73" t="n">
        <x:v>0</x:v>
      </x:c>
      <x:c r="K1327" s="49" t="str">
        <x:v>Government-Aided Autonomous</x:v>
      </x:c>
      <x:c r="L1327" s="49" t="str">
        <x:v>MS Seats : 7+ EWS : 1</x:v>
      </x:c>
      <x:c r="M1327" s="49" t="str">
        <x:v>https://dse2025.mahacet.org.in/dse25/admin/allotment/cap2/6007_4.pdf</x:v>
      </x:c>
    </x:row>
    <x:row r="1328">
      <x:c r="A1328" s="49" t="str">
        <x:v>2025-26</x:v>
      </x:c>
      <x:c r="B1328" s="63" t="n">
        <x:v>6007</x:v>
      </x:c>
      <x:c r="C1328" s="49" t="str">
        <x:v>Walchand College of Engineering, Sangli</x:v>
      </x:c>
      <x:c r="D1328" s="72" t="n">
        <x:v>600792170</x:v>
      </x:c>
      <x:c r="E1328" s="49" t="str">
        <x:v>Artificial Intelligence and Machine Learning</x:v>
      </x:c>
      <x:c r="F1328" s="73" t="n">
        <x:v>8</x:v>
      </x:c>
      <x:c r="G1328" s="73" t="n">
        <x:v>7</x:v>
      </x:c>
      <x:c r="H1328" s="73" t="n">
        <x:v>1</x:v>
      </x:c>
      <x:c r="I1328" s="73"/>
      <x:c r="J1328" s="73" t="n">
        <x:v>0</x:v>
      </x:c>
      <x:c r="K1328" s="49" t="str">
        <x:v>Government-Aided</x:v>
      </x:c>
      <x:c r="L1328" s="49" t="str">
        <x:v>MS Seats : 7+ EWS : 1</x:v>
      </x:c>
      <x:c r="M1328" s="49" t="str">
        <x:v>https://dse2025.mahacet.org.in/dse25/admin/allotment/cap2/6007_4.pdf</x:v>
      </x:c>
    </x:row>
    <x:row r="1329">
      <x:c r="A1329" s="49" t="str">
        <x:v>2025-26</x:v>
      </x:c>
      <x:c r="B1329" s="63" t="n">
        <x:v>6028</x:v>
      </x:c>
      <x:c r="C1329" s="49" t="str">
        <x:v>Department of Technology, Shivaji University, Kolhapur</x:v>
      </x:c>
      <x:c r="D1329" s="72" t="n">
        <x:v>602819110</x:v>
      </x:c>
      <x:c r="E1329" s="49" t="str">
        <x:v>Civil Engineering</x:v>
      </x:c>
      <x:c r="F1329" s="73" t="n">
        <x:v>27</x:v>
      </x:c>
      <x:c r="G1329" s="73" t="n">
        <x:v>21</x:v>
      </x:c>
      <x:c r="H1329" s="73" t="n">
        <x:v>6</x:v>
      </x:c>
      <x:c r="I1329" s="73"/>
      <x:c r="J1329" s="73" t="n">
        <x:v>0</x:v>
      </x:c>
      <x:c r="K1329" s="49" t="str">
        <x:v>University Department</x:v>
      </x:c>
      <x:c r="L1329" s="49" t="str">
        <x:v>MS Seats : 21+ EWS : 6</x:v>
      </x:c>
      <x:c r="M1329" s="49" t="str">
        <x:v>https://dse2025.mahacet.org.in/dse25/admin/allotment/cap2/6028_4.pdf</x:v>
      </x:c>
    </x:row>
    <x:row r="1330">
      <x:c r="A1330" s="49" t="str">
        <x:v>2025-26</x:v>
      </x:c>
      <x:c r="B1330" s="63" t="n">
        <x:v>6028</x:v>
      </x:c>
      <x:c r="C1330" s="49" t="str">
        <x:v>Department of Technology, Shivaji University, Kolhapur</x:v>
      </x:c>
      <x:c r="D1330" s="72" t="n">
        <x:v>602825410</x:v>
      </x:c>
      <x:c r="E1330" s="49" t="str">
        <x:v>Computer Science and Technology</x:v>
      </x:c>
      <x:c r="F1330" s="73" t="n">
        <x:v>10</x:v>
      </x:c>
      <x:c r="G1330" s="73" t="n">
        <x:v>7</x:v>
      </x:c>
      <x:c r="H1330" s="73" t="n">
        <x:v>3</x:v>
      </x:c>
      <x:c r="I1330" s="73"/>
      <x:c r="J1330" s="73" t="n">
        <x:v>0</x:v>
      </x:c>
      <x:c r="K1330" s="49" t="str">
        <x:v>University Department</x:v>
      </x:c>
      <x:c r="L1330" s="49" t="str">
        <x:v>MS Seats : 7+ EWS : 3</x:v>
      </x:c>
      <x:c r="M1330" s="49" t="str">
        <x:v>https://dse2025.mahacet.org.in/dse25/admin/allotment/cap2/6028_4.pdf</x:v>
      </x:c>
    </x:row>
    <x:row r="1331">
      <x:c r="A1331" s="49" t="str">
        <x:v>2025-26</x:v>
      </x:c>
      <x:c r="B1331" s="63" t="n">
        <x:v>6028</x:v>
      </x:c>
      <x:c r="C1331" s="49" t="str">
        <x:v>Department of Technology, Shivaji University, Kolhapur</x:v>
      </x:c>
      <x:c r="D1331" s="72" t="n">
        <x:v>602837210</x:v>
      </x:c>
      <x:c r="E1331" s="49" t="str">
        <x:v>Electronics and Telecommunication Engg</x:v>
      </x:c>
      <x:c r="F1331" s="73" t="n">
        <x:v>10</x:v>
      </x:c>
      <x:c r="G1331" s="73" t="n">
        <x:v>7</x:v>
      </x:c>
      <x:c r="H1331" s="73" t="n">
        <x:v>3</x:v>
      </x:c>
      <x:c r="I1331" s="73"/>
      <x:c r="J1331" s="73" t="n">
        <x:v>0</x:v>
      </x:c>
      <x:c r="K1331" s="49" t="str">
        <x:v>University Department</x:v>
      </x:c>
      <x:c r="L1331" s="49" t="str">
        <x:v>MS Seats : 7+ EWS : 3</x:v>
      </x:c>
      <x:c r="M1331" s="49" t="str">
        <x:v>https://dse2025.mahacet.org.in/dse25/admin/allotment/cap2/6028_4.pdf</x:v>
      </x:c>
    </x:row>
    <x:row r="1332">
      <x:c r="A1332" s="49" t="str">
        <x:v>2025-26</x:v>
      </x:c>
      <x:c r="B1332" s="63" t="n">
        <x:v>6028</x:v>
      </x:c>
      <x:c r="C1332" s="49" t="str">
        <x:v>Department of Technology, Shivaji University, Kolhapur</x:v>
      </x:c>
      <x:c r="D1332" s="72" t="n">
        <x:v>602850310</x:v>
      </x:c>
      <x:c r="E1332" s="49" t="str">
        <x:v>Food Technology</x:v>
      </x:c>
      <x:c r="F1332" s="73" t="n">
        <x:v>10</x:v>
      </x:c>
      <x:c r="G1332" s="73" t="n">
        <x:v>8</x:v>
      </x:c>
      <x:c r="H1332" s="73" t="n">
        <x:v>2</x:v>
      </x:c>
      <x:c r="I1332" s="73"/>
      <x:c r="J1332" s="73" t="n">
        <x:v>0</x:v>
      </x:c>
      <x:c r="K1332" s="49" t="str">
        <x:v>University Department</x:v>
      </x:c>
      <x:c r="L1332" s="49" t="str">
        <x:v>MS Seats : 8+ EWS : 2</x:v>
      </x:c>
      <x:c r="M1332" s="49" t="str">
        <x:v>https://dse2025.mahacet.org.in/dse25/admin/allotment/cap2/6028_4.pdf</x:v>
      </x:c>
    </x:row>
    <x:row r="1333">
      <x:c r="A1333" s="49" t="str">
        <x:v>2025-26</x:v>
      </x:c>
      <x:c r="B1333" s="63" t="n">
        <x:v>6028</x:v>
      </x:c>
      <x:c r="C1333" s="49" t="str">
        <x:v>Department of Technology, Shivaji University, Kolhapur</x:v>
      </x:c>
      <x:c r="D1333" s="72" t="n">
        <x:v>602850710</x:v>
      </x:c>
      <x:c r="E1333" s="49" t="str">
        <x:v>Chemical Engineering</x:v>
      </x:c>
      <x:c r="F1333" s="73" t="n">
        <x:v>13</x:v>
      </x:c>
      <x:c r="G1333" s="73" t="n">
        <x:v>8</x:v>
      </x:c>
      <x:c r="H1333" s="73" t="n">
        <x:v>5</x:v>
      </x:c>
      <x:c r="I1333" s="73"/>
      <x:c r="J1333" s="73" t="n">
        <x:v>0</x:v>
      </x:c>
      <x:c r="K1333" s="49" t="str">
        <x:v>University Department</x:v>
      </x:c>
      <x:c r="L1333" s="49" t="str">
        <x:v>MS Seats : 8+ EWS : 5</x:v>
      </x:c>
      <x:c r="M1333" s="49" t="str">
        <x:v>https://dse2025.mahacet.org.in/dse25/admin/allotment/cap2/6028_4.pdf</x:v>
      </x:c>
    </x:row>
    <x:row r="1334">
      <x:c r="A1334" s="49" t="str">
        <x:v>2025-26</x:v>
      </x:c>
      <x:c r="B1334" s="63" t="n">
        <x:v>6028</x:v>
      </x:c>
      <x:c r="C1334" s="49" t="str">
        <x:v>Department of Technology, Shivaji University, Kolhapur</x:v>
      </x:c>
      <x:c r="D1334" s="72" t="n">
        <x:v>602861210</x:v>
      </x:c>
      <x:c r="E1334" s="49" t="str">
        <x:v>Mechanical Engineering</x:v>
      </x:c>
      <x:c r="F1334" s="73" t="n">
        <x:v>28</x:v>
      </x:c>
      <x:c r="G1334" s="73" t="n">
        <x:v>25</x:v>
      </x:c>
      <x:c r="H1334" s="73" t="n">
        <x:v>3</x:v>
      </x:c>
      <x:c r="I1334" s="73"/>
      <x:c r="J1334" s="73" t="n">
        <x:v>0</x:v>
      </x:c>
      <x:c r="K1334" s="49" t="str">
        <x:v>University Department</x:v>
      </x:c>
      <x:c r="L1334" s="49" t="str">
        <x:v>MS Seats : 25+ EWS : 3</x:v>
      </x:c>
      <x:c r="M1334" s="49" t="str">
        <x:v>https://dse2025.mahacet.org.in/dse25/admin/allotment/cap2/6028_4.pdf</x:v>
      </x:c>
    </x:row>
    <x:row r="1335">
      <x:c r="A1335" s="49" t="str">
        <x:v>2025-26</x:v>
      </x:c>
      <x:c r="B1335" s="63" t="n">
        <x:v>6036</x:v>
      </x:c>
      <x:c r="C1335" s="49" t="str">
        <x:v>Government College of Engineering, Kolhapur</x:v>
      </x:c>
      <x:c r="D1335" s="72" t="n">
        <x:v>603624210</x:v>
      </x:c>
      <x:c r="E1335" s="49" t="str">
        <x:v>Computer Science and Engineering</x:v>
      </x:c>
      <x:c r="F1335" s="73" t="n">
        <x:v>11</x:v>
      </x:c>
      <x:c r="G1335" s="73" t="n">
        <x:v>7</x:v>
      </x:c>
      <x:c r="H1335" s="73" t="n">
        <x:v>4</x:v>
      </x:c>
      <x:c r="I1335" s="73"/>
      <x:c r="J1335" s="73" t="n">
        <x:v>0</x:v>
      </x:c>
      <x:c r="K1335" s="49" t="str">
        <x:v>Government</x:v>
      </x:c>
      <x:c r="L1335" s="49" t="str">
        <x:v>MS Seats : 7+ EWS : 4</x:v>
      </x:c>
      <x:c r="M1335" s="49" t="str">
        <x:v>https://dse2025.mahacet.org.in/dse25/admin/allotment/cap2/6036_4.pdf</x:v>
      </x:c>
    </x:row>
    <x:row r="1336">
      <x:c r="A1336" s="49" t="str">
        <x:v>2025-26</x:v>
      </x:c>
      <x:c r="B1336" s="63" t="n">
        <x:v>6036</x:v>
      </x:c>
      <x:c r="C1336" s="49" t="str">
        <x:v>Government College of Engineering, Kolhapur</x:v>
      </x:c>
      <x:c r="D1336" s="72" t="n">
        <x:v>603626310</x:v>
      </x:c>
      <x:c r="E1336" s="49" t="str">
        <x:v>Artificial Intelligence (AI) and Data Science</x:v>
      </x:c>
      <x:c r="F1336" s="73" t="n">
        <x:v>14</x:v>
      </x:c>
      <x:c r="G1336" s="73" t="n">
        <x:v>10</x:v>
      </x:c>
      <x:c r="H1336" s="73" t="n">
        <x:v>4</x:v>
      </x:c>
      <x:c r="I1336" s="73"/>
      <x:c r="J1336" s="73" t="n">
        <x:v>0</x:v>
      </x:c>
      <x:c r="K1336" s="49" t="str">
        <x:v>Government</x:v>
      </x:c>
      <x:c r="L1336" s="49" t="str">
        <x:v>MS Seats : 10+ EWS : 4</x:v>
      </x:c>
      <x:c r="M1336" s="49" t="str">
        <x:v>https://dse2025.mahacet.org.in/dse25/admin/allotment/cap2/6036_4.pdf</x:v>
      </x:c>
    </x:row>
    <x:row r="1337">
      <x:c r="A1337" s="49" t="str">
        <x:v>2025-26</x:v>
      </x:c>
      <x:c r="B1337" s="63" t="n">
        <x:v>6036</x:v>
      </x:c>
      <x:c r="C1337" s="49" t="str">
        <x:v>Government College of Engineering, Kolhapur</x:v>
      </x:c>
      <x:c r="D1337" s="72" t="n">
        <x:v>603629310</x:v>
      </x:c>
      <x:c r="E1337" s="49" t="str">
        <x:v>Electrical Engineering</x:v>
      </x:c>
      <x:c r="F1337" s="73" t="n">
        <x:v>19</x:v>
      </x:c>
      <x:c r="G1337" s="73" t="n">
        <x:v>16</x:v>
      </x:c>
      <x:c r="H1337" s="73" t="n">
        <x:v>3</x:v>
      </x:c>
      <x:c r="I1337" s="73"/>
      <x:c r="J1337" s="73" t="n">
        <x:v>0</x:v>
      </x:c>
      <x:c r="K1337" s="49" t="str">
        <x:v>Government</x:v>
      </x:c>
      <x:c r="L1337" s="49" t="str">
        <x:v>MS Seats : 16+ EWS : 3</x:v>
      </x:c>
      <x:c r="M1337" s="49" t="str">
        <x:v>https://dse2025.mahacet.org.in/dse25/admin/allotment/cap2/6036_4.pdf</x:v>
      </x:c>
    </x:row>
    <x:row r="1338">
      <x:c r="A1338" s="49" t="str">
        <x:v>2025-26</x:v>
      </x:c>
      <x:c r="B1338" s="63" t="n">
        <x:v>6036</x:v>
      </x:c>
      <x:c r="C1338" s="49" t="str">
        <x:v>Government College of Engineering, Kolhapur</x:v>
      </x:c>
      <x:c r="D1338" s="72" t="n">
        <x:v>603637210</x:v>
      </x:c>
      <x:c r="E1338" s="49" t="str">
        <x:v>Electronics and Telecommunication Engg</x:v>
      </x:c>
      <x:c r="F1338" s="73" t="n">
        <x:v>10</x:v>
      </x:c>
      <x:c r="G1338" s="73" t="n">
        <x:v>8</x:v>
      </x:c>
      <x:c r="H1338" s="73" t="n">
        <x:v>2</x:v>
      </x:c>
      <x:c r="I1338" s="73"/>
      <x:c r="J1338" s="73" t="n">
        <x:v>0</x:v>
      </x:c>
      <x:c r="K1338" s="49" t="str">
        <x:v>Government</x:v>
      </x:c>
      <x:c r="L1338" s="49" t="str">
        <x:v>MS Seats : 8+ EWS : 2</x:v>
      </x:c>
      <x:c r="M1338" s="49" t="str">
        <x:v>https://dse2025.mahacet.org.in/dse25/admin/allotment/cap2/6036_4.pdf</x:v>
      </x:c>
    </x:row>
    <x:row r="1339">
      <x:c r="A1339" s="49" t="str">
        <x:v>2025-26</x:v>
      </x:c>
      <x:c r="B1339" s="63" t="n">
        <x:v>6036</x:v>
      </x:c>
      <x:c r="C1339" s="49" t="str">
        <x:v>Government College of Engineering, Kolhapur</x:v>
      </x:c>
      <x:c r="D1339" s="72" t="n">
        <x:v>603661510</x:v>
      </x:c>
      <x:c r="E1339" s="49" t="str">
        <x:v>Mechanical &amp; Automation Engineering</x:v>
      </x:c>
      <x:c r="F1339" s="73" t="n">
        <x:v>18</x:v>
      </x:c>
      <x:c r="G1339" s="73" t="n">
        <x:v>13</x:v>
      </x:c>
      <x:c r="H1339" s="73" t="n">
        <x:v>5</x:v>
      </x:c>
      <x:c r="I1339" s="73"/>
      <x:c r="J1339" s="73" t="n">
        <x:v>0</x:v>
      </x:c>
      <x:c r="K1339" s="49" t="str">
        <x:v>Government</x:v>
      </x:c>
      <x:c r="L1339" s="49" t="str">
        <x:v>MS Seats : 13+ EWS : 5</x:v>
      </x:c>
      <x:c r="M1339" s="49" t="str">
        <x:v>https://dse2025.mahacet.org.in/dse25/admin/allotment/cap2/6036_4.pdf</x:v>
      </x:c>
    </x:row>
    <x:row r="1340">
      <x:c r="A1340" s="49" t="str">
        <x:v>2025-26</x:v>
      </x:c>
      <x:c r="B1340" s="63" t="n">
        <x:v>6122</x:v>
      </x:c>
      <x:c r="C1340" s="49" t="str">
        <x:v>TSSMS's Pd. Vasantdada Patil Institute of Technology, Bavdhan, Pune</x:v>
      </x:c>
      <x:c r="D1340" s="72" t="n">
        <x:v>612219110</x:v>
      </x:c>
      <x:c r="E1340" s="49" t="str">
        <x:v>Civil Engineering</x:v>
      </x:c>
      <x:c r="F1340" s="73" t="n">
        <x:v>45</x:v>
      </x:c>
      <x:c r="G1340" s="73" t="n">
        <x:v>39</x:v>
      </x:c>
      <x:c r="H1340" s="73" t="n">
        <x:v>6</x:v>
      </x:c>
      <x:c r="I1340" s="73"/>
      <x:c r="J1340" s="73" t="n">
        <x:v>0</x:v>
      </x:c>
      <x:c r="K1340" s="49" t="str">
        <x:v>Un-Aided</x:v>
      </x:c>
      <x:c r="L1340" s="49" t="str">
        <x:v>MS Seats : 39+ EWS : 6</x:v>
      </x:c>
      <x:c r="M1340" s="49" t="str">
        <x:v>https://dse2025.mahacet.org.in/dse25/admin/allotment/cap2/6122_4.pdf</x:v>
      </x:c>
    </x:row>
    <x:row r="1341">
      <x:c r="A1341" s="49" t="str">
        <x:v>2025-26</x:v>
      </x:c>
      <x:c r="B1341" s="63" t="n">
        <x:v>6122</x:v>
      </x:c>
      <x:c r="C1341" s="49" t="str">
        <x:v>TSSMS's Pd. Vasantdada Patil Institute of Technology, Bavdhan, Pune</x:v>
      </x:c>
      <x:c r="D1341" s="72" t="n">
        <x:v>612224510</x:v>
      </x:c>
      <x:c r="E1341" s="49" t="str">
        <x:v>Computer Engineering</x:v>
      </x:c>
      <x:c r="F1341" s="73" t="n">
        <x:v>30</x:v>
      </x:c>
      <x:c r="G1341" s="73" t="n">
        <x:v>22</x:v>
      </x:c>
      <x:c r="H1341" s="73" t="n">
        <x:v>8</x:v>
      </x:c>
      <x:c r="I1341" s="73"/>
      <x:c r="J1341" s="73" t="n">
        <x:v>0</x:v>
      </x:c>
      <x:c r="K1341" s="49" t="str">
        <x:v>Un-Aided</x:v>
      </x:c>
      <x:c r="L1341" s="49" t="str">
        <x:v>MS Seats : 22+ EWS : 8</x:v>
      </x:c>
      <x:c r="M1341" s="49" t="str">
        <x:v>https://dse2025.mahacet.org.in/dse25/admin/allotment/cap2/6122_4.pdf</x:v>
      </x:c>
    </x:row>
    <x:row r="1342">
      <x:c r="A1342" s="49" t="str">
        <x:v>2025-26</x:v>
      </x:c>
      <x:c r="B1342" s="63" t="n">
        <x:v>6122</x:v>
      </x:c>
      <x:c r="C1342" s="49" t="str">
        <x:v>TSSMS's Pd. Vasantdada Patil Institute of Technology, Bavdhan, Pune</x:v>
      </x:c>
      <x:c r="D1342" s="72" t="n">
        <x:v>612237210</x:v>
      </x:c>
      <x:c r="E1342" s="49" t="str">
        <x:v>Electronics and Telecommunication Engg</x:v>
      </x:c>
      <x:c r="F1342" s="73" t="n">
        <x:v>10</x:v>
      </x:c>
      <x:c r="G1342" s="73" t="n">
        <x:v>7</x:v>
      </x:c>
      <x:c r="H1342" s="73" t="n">
        <x:v>3</x:v>
      </x:c>
      <x:c r="I1342" s="73"/>
      <x:c r="J1342" s="73" t="n">
        <x:v>0</x:v>
      </x:c>
      <x:c r="K1342" s="49" t="str">
        <x:v>Un-Aided</x:v>
      </x:c>
      <x:c r="L1342" s="49" t="str">
        <x:v>MS Seats : 7+ EWS : 3</x:v>
      </x:c>
      <x:c r="M1342" s="49" t="str">
        <x:v>https://dse2025.mahacet.org.in/dse25/admin/allotment/cap2/6122_4.pdf</x:v>
      </x:c>
    </x:row>
    <x:row r="1343">
      <x:c r="A1343" s="49" t="str">
        <x:v>2025-26</x:v>
      </x:c>
      <x:c r="B1343" s="63" t="n">
        <x:v>6122</x:v>
      </x:c>
      <x:c r="C1343" s="49" t="str">
        <x:v>TSSMS's Pd. Vasantdada Patil Institute of Technology, Bavdhan, Pune</x:v>
      </x:c>
      <x:c r="D1343" s="72" t="n">
        <x:v>612261210</x:v>
      </x:c>
      <x:c r="E1343" s="49" t="str">
        <x:v>Mechanical Engineering</x:v>
      </x:c>
      <x:c r="F1343" s="73" t="n">
        <x:v>76</x:v>
      </x:c>
      <x:c r="G1343" s="73" t="n">
        <x:v>62</x:v>
      </x:c>
      <x:c r="H1343" s="73" t="n">
        <x:v>14</x:v>
      </x:c>
      <x:c r="I1343" s="73"/>
      <x:c r="J1343" s="73" t="n">
        <x:v>0</x:v>
      </x:c>
      <x:c r="K1343" s="49" t="str">
        <x:v>Un-Aided</x:v>
      </x:c>
      <x:c r="L1343" s="49" t="str">
        <x:v>MS Seats : 62+ EWS : 14</x:v>
      </x:c>
      <x:c r="M1343" s="49" t="str">
        <x:v>https://dse2025.mahacet.org.in/dse25/admin/allotment/cap2/6122_4.pdf</x:v>
      </x:c>
    </x:row>
    <x:row r="1344">
      <x:c r="A1344" s="49" t="str">
        <x:v>2025-26</x:v>
      </x:c>
      <x:c r="B1344" s="63" t="n">
        <x:v>6122</x:v>
      </x:c>
      <x:c r="C1344" s="49" t="str">
        <x:v>TSSMS's Pd. Vasantdada Patil Institute of Technology, Bavdhan, Pune</x:v>
      </x:c>
      <x:c r="D1344" s="72" t="n">
        <x:v>612291210</x:v>
      </x:c>
      <x:c r="E1344" s="49" t="str">
        <x:v>Computer Science and Engineering(Data Science)</x:v>
      </x:c>
      <x:c r="F1344" s="73" t="n">
        <x:v>9</x:v>
      </x:c>
      <x:c r="G1344" s="73" t="n">
        <x:v>8</x:v>
      </x:c>
      <x:c r="H1344" s="73" t="n">
        <x:v>1</x:v>
      </x:c>
      <x:c r="I1344" s="73"/>
      <x:c r="J1344" s="73" t="n">
        <x:v>0</x:v>
      </x:c>
      <x:c r="K1344" s="49" t="str">
        <x:v>Un-Aided</x:v>
      </x:c>
      <x:c r="L1344" s="49" t="str">
        <x:v>MS Seats : 8+ EWS : 1</x:v>
      </x:c>
      <x:c r="M1344" s="49" t="str">
        <x:v>https://dse2025.mahacet.org.in/dse25/admin/allotment/cap2/6122_4.pdf</x:v>
      </x:c>
    </x:row>
    <x:row r="1345">
      <x:c r="A1345" s="49" t="str">
        <x:v>2025-26</x:v>
      </x:c>
      <x:c r="B1345" s="63" t="n">
        <x:v>6138</x:v>
      </x:c>
      <x:c r="C1345" s="49" t="str">
        <x:v>Genba Sopanrao Moze Trust Parvatibai Genba Moze College of Engineering,Wagholi, Pune</x:v>
      </x:c>
      <x:c r="D1345" s="72" t="n">
        <x:v>613819110</x:v>
      </x:c>
      <x:c r="E1345" s="49" t="str">
        <x:v>Civil Engineering</x:v>
      </x:c>
      <x:c r="F1345" s="73" t="n">
        <x:v>13</x:v>
      </x:c>
      <x:c r="G1345" s="73" t="n">
        <x:v>10</x:v>
      </x:c>
      <x:c r="H1345" s="73" t="n">
        <x:v>3</x:v>
      </x:c>
      <x:c r="I1345" s="73"/>
      <x:c r="J1345" s="73" t="n">
        <x:v>0</x:v>
      </x:c>
      <x:c r="K1345" s="49" t="str">
        <x:v>Un-Aided</x:v>
      </x:c>
      <x:c r="L1345" s="49" t="str">
        <x:v>MS Seats : 10+ EWS : 3</x:v>
      </x:c>
      <x:c r="M1345" s="49" t="str">
        <x:v>https://dse2025.mahacet.org.in/dse25/admin/allotment/cap2/6138_4.pdf</x:v>
      </x:c>
    </x:row>
    <x:row r="1346">
      <x:c r="A1346" s="49" t="str">
        <x:v>2025-26</x:v>
      </x:c>
      <x:c r="B1346" s="63" t="n">
        <x:v>6138</x:v>
      </x:c>
      <x:c r="C1346" s="49" t="str">
        <x:v>Genba Sopanrao Moze Trust Parvatibai Genba Moze College of Engineering,Wagholi, Pune</x:v>
      </x:c>
      <x:c r="D1346" s="72" t="n">
        <x:v>613824510</x:v>
      </x:c>
      <x:c r="E1346" s="49" t="str">
        <x:v>Computer Engineering</x:v>
      </x:c>
      <x:c r="F1346" s="73" t="n">
        <x:v>43</x:v>
      </x:c>
      <x:c r="G1346" s="73" t="n">
        <x:v>38</x:v>
      </x:c>
      <x:c r="H1346" s="73" t="n">
        <x:v>5</x:v>
      </x:c>
      <x:c r="I1346" s="73"/>
      <x:c r="J1346" s="73" t="n">
        <x:v>0</x:v>
      </x:c>
      <x:c r="K1346" s="49" t="str">
        <x:v>Un-Aided</x:v>
      </x:c>
      <x:c r="L1346" s="49" t="str">
        <x:v>MS Seats : 38+ EWS : 5</x:v>
      </x:c>
      <x:c r="M1346" s="49" t="str">
        <x:v>https://dse2025.mahacet.org.in/dse25/admin/allotment/cap2/6138_4.pdf</x:v>
      </x:c>
    </x:row>
    <x:row r="1347">
      <x:c r="A1347" s="49" t="str">
        <x:v>2025-26</x:v>
      </x:c>
      <x:c r="B1347" s="63" t="n">
        <x:v>6138</x:v>
      </x:c>
      <x:c r="C1347" s="49" t="str">
        <x:v>Genba Sopanrao Moze Trust Parvatibai Genba Moze College of Engineering,Wagholi, Pune</x:v>
      </x:c>
      <x:c r="D1347" s="72" t="n">
        <x:v>613824610</x:v>
      </x:c>
      <x:c r="E1347" s="49" t="str">
        <x:v>Information Technology</x:v>
      </x:c>
      <x:c r="F1347" s="73" t="n">
        <x:v>31</x:v>
      </x:c>
      <x:c r="G1347" s="73" t="n">
        <x:v>27</x:v>
      </x:c>
      <x:c r="H1347" s="73" t="n">
        <x:v>4</x:v>
      </x:c>
      <x:c r="I1347" s="73"/>
      <x:c r="J1347" s="73" t="n">
        <x:v>0</x:v>
      </x:c>
      <x:c r="K1347" s="49" t="str">
        <x:v>Un-Aided</x:v>
      </x:c>
      <x:c r="L1347" s="49" t="str">
        <x:v>MS Seats : 27+ EWS : 4</x:v>
      </x:c>
      <x:c r="M1347" s="49" t="str">
        <x:v>https://dse2025.mahacet.org.in/dse25/admin/allotment/cap2/6138_4.pdf</x:v>
      </x:c>
    </x:row>
    <x:row r="1348">
      <x:c r="A1348" s="49" t="str">
        <x:v>2025-26</x:v>
      </x:c>
      <x:c r="B1348" s="63" t="n">
        <x:v>6138</x:v>
      </x:c>
      <x:c r="C1348" s="49" t="str">
        <x:v>Genba Sopanrao Moze Trust Parvatibai Genba Moze College of Engineering,Wagholi, Pune</x:v>
      </x:c>
      <x:c r="D1348" s="72" t="n">
        <x:v>613826310</x:v>
      </x:c>
      <x:c r="E1348" s="49" t="str">
        <x:v>Artificial Intelligence (AI) and Data Science</x:v>
      </x:c>
      <x:c r="F1348" s="73" t="n">
        <x:v>21</x:v>
      </x:c>
      <x:c r="G1348" s="73" t="n">
        <x:v>18</x:v>
      </x:c>
      <x:c r="H1348" s="73" t="n">
        <x:v>3</x:v>
      </x:c>
      <x:c r="I1348" s="73"/>
      <x:c r="J1348" s="73" t="n">
        <x:v>0</x:v>
      </x:c>
      <x:c r="K1348" s="49" t="str">
        <x:v>Un-Aided</x:v>
      </x:c>
      <x:c r="L1348" s="49" t="str">
        <x:v>MS Seats : 18+ EWS : 3</x:v>
      </x:c>
      <x:c r="M1348" s="49" t="str">
        <x:v>https://dse2025.mahacet.org.in/dse25/admin/allotment/cap2/6138_4.pdf</x:v>
      </x:c>
    </x:row>
    <x:row r="1349">
      <x:c r="A1349" s="49" t="str">
        <x:v>2025-26</x:v>
      </x:c>
      <x:c r="B1349" s="63" t="n">
        <x:v>6138</x:v>
      </x:c>
      <x:c r="C1349" s="49" t="str">
        <x:v>Genba Sopanrao Moze Trust Parvatibai Genba Moze College of Engineering,Wagholi, Pune</x:v>
      </x:c>
      <x:c r="D1349" s="72" t="n">
        <x:v>613837210</x:v>
      </x:c>
      <x:c r="E1349" s="49" t="str">
        <x:v>Electronics and Telecommunication Engg</x:v>
      </x:c>
      <x:c r="F1349" s="73" t="n">
        <x:v>23</x:v>
      </x:c>
      <x:c r="G1349" s="73" t="n">
        <x:v>18</x:v>
      </x:c>
      <x:c r="H1349" s="73" t="n">
        <x:v>5</x:v>
      </x:c>
      <x:c r="I1349" s="73"/>
      <x:c r="J1349" s="73" t="n">
        <x:v>0</x:v>
      </x:c>
      <x:c r="K1349" s="49" t="str">
        <x:v>Un-Aided</x:v>
      </x:c>
      <x:c r="L1349" s="49" t="str">
        <x:v>MS Seats : 18+ EWS : 5</x:v>
      </x:c>
      <x:c r="M1349" s="49" t="str">
        <x:v>https://dse2025.mahacet.org.in/dse25/admin/allotment/cap2/6138_4.pdf</x:v>
      </x:c>
    </x:row>
    <x:row r="1350">
      <x:c r="A1350" s="49" t="str">
        <x:v>2025-26</x:v>
      </x:c>
      <x:c r="B1350" s="63" t="n">
        <x:v>6138</x:v>
      </x:c>
      <x:c r="C1350" s="49" t="str">
        <x:v>Genba Sopanrao Moze Trust Parvatibai Genba Moze College of Engineering,Wagholi, Pune</x:v>
      </x:c>
      <x:c r="D1350" s="72" t="n">
        <x:v>613861210</x:v>
      </x:c>
      <x:c r="E1350" s="49" t="str">
        <x:v>Mechanical Engineering</x:v>
      </x:c>
      <x:c r="F1350" s="73" t="n">
        <x:v>16</x:v>
      </x:c>
      <x:c r="G1350" s="73" t="n">
        <x:v>13</x:v>
      </x:c>
      <x:c r="H1350" s="73" t="n">
        <x:v>3</x:v>
      </x:c>
      <x:c r="I1350" s="73"/>
      <x:c r="J1350" s="73" t="n">
        <x:v>0</x:v>
      </x:c>
      <x:c r="K1350" s="49" t="str">
        <x:v>Un-Aided</x:v>
      </x:c>
      <x:c r="L1350" s="49" t="str">
        <x:v>MS Seats : 13+ EWS : 3</x:v>
      </x:c>
      <x:c r="M1350" s="49" t="str">
        <x:v>https://dse2025.mahacet.org.in/dse25/admin/allotment/cap2/6138_4.pdf</x:v>
      </x:c>
    </x:row>
    <x:row r="1351">
      <x:c r="A1351" s="49" t="str">
        <x:v>2025-26</x:v>
      </x:c>
      <x:c r="B1351" s="63" t="n">
        <x:v>6139</x:v>
      </x:c>
      <x:c r="C1351" s="49" t="str">
        <x:v>Progressive Education Society's Modern College of Engineering, Pune</x:v>
      </x:c>
      <x:c r="D1351" s="72" t="n">
        <x:v>613924510</x:v>
      </x:c>
      <x:c r="E1351" s="49" t="str">
        <x:v>Computer Engineering</x:v>
      </x:c>
      <x:c r="F1351" s="73" t="n">
        <x:v>24</x:v>
      </x:c>
      <x:c r="G1351" s="73" t="n">
        <x:v>21</x:v>
      </x:c>
      <x:c r="H1351" s="73" t="n">
        <x:v>3</x:v>
      </x:c>
      <x:c r="I1351" s="73"/>
      <x:c r="J1351" s="73" t="n">
        <x:v>0</x:v>
      </x:c>
      <x:c r="K1351" s="49" t="str">
        <x:v>Un-Aided Autonomous</x:v>
      </x:c>
      <x:c r="L1351" s="49" t="str">
        <x:v>MS Seats : 21+ EWS : 3</x:v>
      </x:c>
      <x:c r="M1351" s="49" t="str">
        <x:v>https://dse2025.mahacet.org.in/dse25/admin/allotment/cap2/6139_4.pdf</x:v>
      </x:c>
    </x:row>
    <x:row r="1352">
      <x:c r="A1352" s="49" t="str">
        <x:v>2025-26</x:v>
      </x:c>
      <x:c r="B1352" s="63" t="n">
        <x:v>6139</x:v>
      </x:c>
      <x:c r="C1352" s="49" t="str">
        <x:v>Progressive Education Society's Modern College of Engineering, Pune</x:v>
      </x:c>
      <x:c r="D1352" s="72" t="n">
        <x:v>613924610</x:v>
      </x:c>
      <x:c r="E1352" s="49" t="str">
        <x:v>Information Technology</x:v>
      </x:c>
      <x:c r="F1352" s="73" t="n">
        <x:v>15</x:v>
      </x:c>
      <x:c r="G1352" s="73" t="n">
        <x:v>13</x:v>
      </x:c>
      <x:c r="H1352" s="73" t="n">
        <x:v>2</x:v>
      </x:c>
      <x:c r="I1352" s="73"/>
      <x:c r="J1352" s="73" t="n">
        <x:v>0</x:v>
      </x:c>
      <x:c r="K1352" s="49" t="str">
        <x:v>Un-Aided Autonomous</x:v>
      </x:c>
      <x:c r="L1352" s="49" t="str">
        <x:v>MS Seats : 13+ EWS : 2</x:v>
      </x:c>
      <x:c r="M1352" s="49" t="str">
        <x:v>https://dse2025.mahacet.org.in/dse25/admin/allotment/cap2/6139_4.pdf</x:v>
      </x:c>
    </x:row>
    <x:row r="1353">
      <x:c r="A1353" s="49" t="str">
        <x:v>2025-26</x:v>
      </x:c>
      <x:c r="B1353" s="63" t="n">
        <x:v>6139</x:v>
      </x:c>
      <x:c r="C1353" s="49" t="str">
        <x:v>Progressive Education Society's Modern College of Engineering, Pune</x:v>
      </x:c>
      <x:c r="D1353" s="72" t="n">
        <x:v>613929310</x:v>
      </x:c>
      <x:c r="E1353" s="49" t="str">
        <x:v>Electrical Engineering</x:v>
      </x:c>
      <x:c r="F1353" s="73" t="n">
        <x:v>19</x:v>
      </x:c>
      <x:c r="G1353" s="73" t="n">
        <x:v>15</x:v>
      </x:c>
      <x:c r="H1353" s="73" t="n">
        <x:v>4</x:v>
      </x:c>
      <x:c r="I1353" s="73"/>
      <x:c r="J1353" s="73" t="n">
        <x:v>0</x:v>
      </x:c>
      <x:c r="K1353" s="49" t="str">
        <x:v>Un-Aided Autonomous</x:v>
      </x:c>
      <x:c r="L1353" s="49" t="str">
        <x:v>MS Seats : 15+ EWS : 4</x:v>
      </x:c>
      <x:c r="M1353" s="49" t="str">
        <x:v>https://dse2025.mahacet.org.in/dse25/admin/allotment/cap2/6139_4.pdf</x:v>
      </x:c>
    </x:row>
    <x:row r="1354">
      <x:c r="A1354" s="49" t="str">
        <x:v>2025-26</x:v>
      </x:c>
      <x:c r="B1354" s="63" t="n">
        <x:v>6139</x:v>
      </x:c>
      <x:c r="C1354" s="49" t="str">
        <x:v>Progressive Education Society's Modern College of Engineering, Pune</x:v>
      </x:c>
      <x:c r="D1354" s="72" t="n">
        <x:v>613937210</x:v>
      </x:c>
      <x:c r="E1354" s="49" t="str">
        <x:v>Electronics and Telecommunication Engg</x:v>
      </x:c>
      <x:c r="F1354" s="73" t="n">
        <x:v>15</x:v>
      </x:c>
      <x:c r="G1354" s="73" t="n">
        <x:v>13</x:v>
      </x:c>
      <x:c r="H1354" s="73" t="n">
        <x:v>2</x:v>
      </x:c>
      <x:c r="I1354" s="73"/>
      <x:c r="J1354" s="73" t="n">
        <x:v>0</x:v>
      </x:c>
      <x:c r="K1354" s="49" t="str">
        <x:v>Un-Aided Autonomous</x:v>
      </x:c>
      <x:c r="L1354" s="49" t="str">
        <x:v>MS Seats : 13+ EWS : 2</x:v>
      </x:c>
      <x:c r="M1354" s="49" t="str">
        <x:v>https://dse2025.mahacet.org.in/dse25/admin/allotment/cap2/6139_4.pdf</x:v>
      </x:c>
    </x:row>
    <x:row r="1355">
      <x:c r="A1355" s="49" t="str">
        <x:v>2025-26</x:v>
      </x:c>
      <x:c r="B1355" s="63" t="n">
        <x:v>6139</x:v>
      </x:c>
      <x:c r="C1355" s="49" t="str">
        <x:v>Progressive Education Society's Modern College of Engineering, Pune</x:v>
      </x:c>
      <x:c r="D1355" s="72" t="n">
        <x:v>613961210</x:v>
      </x:c>
      <x:c r="E1355" s="49" t="str">
        <x:v>Mechanical Engineering</x:v>
      </x:c>
      <x:c r="F1355" s="73" t="n">
        <x:v>38</x:v>
      </x:c>
      <x:c r="G1355" s="73" t="n">
        <x:v>32</x:v>
      </x:c>
      <x:c r="H1355" s="73" t="n">
        <x:v>6</x:v>
      </x:c>
      <x:c r="I1355" s="73"/>
      <x:c r="J1355" s="73" t="n">
        <x:v>0</x:v>
      </x:c>
      <x:c r="K1355" s="49" t="str">
        <x:v>Un-Aided Autonomous</x:v>
      </x:c>
      <x:c r="L1355" s="49" t="str">
        <x:v>MS Seats : 32+ EWS : 6</x:v>
      </x:c>
      <x:c r="M1355" s="49" t="str">
        <x:v>https://dse2025.mahacet.org.in/dse25/admin/allotment/cap2/6139_4.pdf</x:v>
      </x:c>
    </x:row>
    <x:row r="1356">
      <x:c r="A1356" s="49" t="str">
        <x:v>2025-26</x:v>
      </x:c>
      <x:c r="B1356" s="63" t="n">
        <x:v>6139</x:v>
      </x:c>
      <x:c r="C1356" s="49" t="str">
        <x:v>Progressive Education Society's Modern College of Engineering, Pune</x:v>
      </x:c>
      <x:c r="D1356" s="72" t="n">
        <x:v>613984410</x:v>
      </x:c>
      <x:c r="E1356" s="49" t="str">
        <x:v>Electronics and Computer Engineering</x:v>
      </x:c>
      <x:c r="F1356" s="73" t="n">
        <x:v>8</x:v>
      </x:c>
      <x:c r="G1356" s="73" t="n">
        <x:v>7</x:v>
      </x:c>
      <x:c r="H1356" s="73" t="n">
        <x:v>1</x:v>
      </x:c>
      <x:c r="I1356" s="73"/>
      <x:c r="J1356" s="73" t="n">
        <x:v>0</x:v>
      </x:c>
      <x:c r="K1356" s="49" t="str">
        <x:v>Un-Aided Autonomous</x:v>
      </x:c>
      <x:c r="L1356" s="49" t="str">
        <x:v>MS Seats : 7+ EWS : 1</x:v>
      </x:c>
      <x:c r="M1356" s="49" t="str">
        <x:v>https://dse2025.mahacet.org.in/dse25/admin/allotment/cap2/6139_4.pdf</x:v>
      </x:c>
    </x:row>
    <x:row r="1357">
      <x:c r="A1357" s="49" t="str">
        <x:v>2025-26</x:v>
      </x:c>
      <x:c r="B1357" s="63" t="n">
        <x:v>6139</x:v>
      </x:c>
      <x:c r="C1357" s="49" t="str">
        <x:v>Progressive Education Society's Modern College of Engineering, Pune</x:v>
      </x:c>
      <x:c r="D1357" s="72" t="n">
        <x:v>613992110</x:v>
      </x:c>
      <x:c r="E1357" s="49" t="str">
        <x:v>Artificial Intelligence and Machine Learning</x:v>
      </x:c>
      <x:c r="F1357" s="73" t="n">
        <x:v>8</x:v>
      </x:c>
      <x:c r="G1357" s="73" t="n">
        <x:v>7</x:v>
      </x:c>
      <x:c r="H1357" s="73" t="n">
        <x:v>1</x:v>
      </x:c>
      <x:c r="I1357" s="73"/>
      <x:c r="J1357" s="73" t="n">
        <x:v>0</x:v>
      </x:c>
      <x:c r="K1357" s="49" t="str">
        <x:v>Un-Aided Autonomous</x:v>
      </x:c>
      <x:c r="L1357" s="49" t="str">
        <x:v>MS Seats : 7+ EWS : 1</x:v>
      </x:c>
      <x:c r="M1357" s="49" t="str">
        <x:v>https://dse2025.mahacet.org.in/dse25/admin/allotment/cap2/6139_4.pdf</x:v>
      </x:c>
    </x:row>
    <x:row r="1358">
      <x:c r="A1358" s="49" t="str">
        <x:v>2025-26</x:v>
      </x:c>
      <x:c r="B1358" s="63" t="n">
        <x:v>6139</x:v>
      </x:c>
      <x:c r="C1358" s="49" t="str">
        <x:v>Progressive Education Society's Modern College of Engineering, Pune</x:v>
      </x:c>
      <x:c r="D1358" s="72" t="n">
        <x:v>613999510</x:v>
      </x:c>
      <x:c r="E1358" s="49" t="str">
        <x:v>Artificial Intelligence and Data Science</x:v>
      </x:c>
      <x:c r="F1358" s="73" t="n">
        <x:v>15</x:v>
      </x:c>
      <x:c r="G1358" s="73" t="n">
        <x:v>13</x:v>
      </x:c>
      <x:c r="H1358" s="73" t="n">
        <x:v>2</x:v>
      </x:c>
      <x:c r="I1358" s="73"/>
      <x:c r="J1358" s="73" t="n">
        <x:v>0</x:v>
      </x:c>
      <x:c r="K1358" s="49" t="str">
        <x:v>Un-Aided Autonomous</x:v>
      </x:c>
      <x:c r="L1358" s="49" t="str">
        <x:v>MS Seats : 13+ EWS : 2</x:v>
      </x:c>
      <x:c r="M1358" s="49" t="str">
        <x:v>https://dse2025.mahacet.org.in/dse25/admin/allotment/cap2/6139_4.pdf</x:v>
      </x:c>
    </x:row>
    <x:row r="1359">
      <x:c r="A1359" s="49" t="str">
        <x:v>2025-26</x:v>
      </x:c>
      <x:c r="B1359" s="63" t="n">
        <x:v>6141</x:v>
      </x:c>
      <x:c r="C1359" s="49" t="str">
        <x:v>Jaywant Shikshan Prasarak Mandal's,Rajarshi Shahu College of Engineering, Tathawade, Pune</x:v>
      </x:c>
      <x:c r="D1359" s="72" t="n">
        <x:v>614119110</x:v>
      </x:c>
      <x:c r="E1359" s="49" t="str">
        <x:v>Civil Engineering</x:v>
      </x:c>
      <x:c r="F1359" s="73" t="n">
        <x:v>9</x:v>
      </x:c>
      <x:c r="G1359" s="73" t="n">
        <x:v>8</x:v>
      </x:c>
      <x:c r="H1359" s="73" t="n">
        <x:v>1</x:v>
      </x:c>
      <x:c r="I1359" s="73"/>
      <x:c r="J1359" s="73" t="n">
        <x:v>0</x:v>
      </x:c>
      <x:c r="K1359" s="49" t="str">
        <x:v>Un-Aided Autonomous</x:v>
      </x:c>
      <x:c r="L1359" s="49" t="str">
        <x:v>MS Seats : 8+ EWS : 1</x:v>
      </x:c>
      <x:c r="M1359" s="49" t="str">
        <x:v>https://dse2025.mahacet.org.in/dse25/admin/allotment/cap2/6141_4.pdf</x:v>
      </x:c>
    </x:row>
    <x:row r="1360">
      <x:c r="A1360" s="49" t="str">
        <x:v>2025-26</x:v>
      </x:c>
      <x:c r="B1360" s="63" t="n">
        <x:v>6141</x:v>
      </x:c>
      <x:c r="C1360" s="49" t="str">
        <x:v>Jaywant Shikshan Prasarak Mandal's,Rajarshi Shahu College of Engineering, Tathawade, Pune</x:v>
      </x:c>
      <x:c r="D1360" s="72" t="n">
        <x:v>614124510</x:v>
      </x:c>
      <x:c r="E1360" s="49" t="str">
        <x:v>Computer Engineering</x:v>
      </x:c>
      <x:c r="F1360" s="73" t="n">
        <x:v>27</x:v>
      </x:c>
      <x:c r="G1360" s="73" t="n">
        <x:v>21</x:v>
      </x:c>
      <x:c r="H1360" s="73" t="n">
        <x:v>6</x:v>
      </x:c>
      <x:c r="I1360" s="73"/>
      <x:c r="J1360" s="73" t="n">
        <x:v>0</x:v>
      </x:c>
      <x:c r="K1360" s="49" t="str">
        <x:v>Un-Aided Autonomous</x:v>
      </x:c>
      <x:c r="L1360" s="49" t="str">
        <x:v>MS Seats : 21+ EWS : 6</x:v>
      </x:c>
      <x:c r="M1360" s="49" t="str">
        <x:v>https://dse2025.mahacet.org.in/dse25/admin/allotment/cap2/6141_4.pdf</x:v>
      </x:c>
    </x:row>
    <x:row r="1361">
      <x:c r="A1361" s="49" t="str">
        <x:v>2025-26</x:v>
      </x:c>
      <x:c r="B1361" s="63" t="n">
        <x:v>6141</x:v>
      </x:c>
      <x:c r="C1361" s="49" t="str">
        <x:v>Jaywant Shikshan Prasarak Mandal's,Rajarshi Shahu College of Engineering, Tathawade, Pune</x:v>
      </x:c>
      <x:c r="D1361" s="72" t="n">
        <x:v>614124610</x:v>
      </x:c>
      <x:c r="E1361" s="49" t="str">
        <x:v>Information Technology</x:v>
      </x:c>
      <x:c r="F1361" s="73" t="n">
        <x:v>20</x:v>
      </x:c>
      <x:c r="G1361" s="73" t="n">
        <x:v>16</x:v>
      </x:c>
      <x:c r="H1361" s="73" t="n">
        <x:v>4</x:v>
      </x:c>
      <x:c r="I1361" s="73"/>
      <x:c r="J1361" s="73" t="n">
        <x:v>0</x:v>
      </x:c>
      <x:c r="K1361" s="49" t="str">
        <x:v>Un-Aided Autonomous</x:v>
      </x:c>
      <x:c r="L1361" s="49" t="str">
        <x:v>MS Seats : 16+ EWS : 4</x:v>
      </x:c>
      <x:c r="M1361" s="49" t="str">
        <x:v>https://dse2025.mahacet.org.in/dse25/admin/allotment/cap2/6141_4.pdf</x:v>
      </x:c>
    </x:row>
    <x:row r="1362">
      <x:c r="A1362" s="49" t="str">
        <x:v>2025-26</x:v>
      </x:c>
      <x:c r="B1362" s="63" t="n">
        <x:v>6141</x:v>
      </x:c>
      <x:c r="C1362" s="49" t="str">
        <x:v>Jaywant Shikshan Prasarak Mandal's,Rajarshi Shahu College of Engineering, Tathawade, Pune</x:v>
      </x:c>
      <x:c r="D1362" s="72" t="n">
        <x:v>614126210</x:v>
      </x:c>
      <x:c r="E1362" s="49" t="str">
        <x:v>Computer Science and Business Systems</x:v>
      </x:c>
      <x:c r="F1362" s="73" t="n">
        <x:v>8</x:v>
      </x:c>
      <x:c r="G1362" s="73" t="n">
        <x:v>7</x:v>
      </x:c>
      <x:c r="H1362" s="73" t="n">
        <x:v>1</x:v>
      </x:c>
      <x:c r="I1362" s="73"/>
      <x:c r="J1362" s="73" t="n">
        <x:v>0</x:v>
      </x:c>
      <x:c r="K1362" s="49" t="str">
        <x:v>Un-Aided Autonomous</x:v>
      </x:c>
      <x:c r="L1362" s="49" t="str">
        <x:v>MS Seats : 7+ EWS : 1</x:v>
      </x:c>
      <x:c r="M1362" s="49" t="str">
        <x:v>https://dse2025.mahacet.org.in/dse25/admin/allotment/cap2/6141_4.pdf</x:v>
      </x:c>
    </x:row>
    <x:row r="1363">
      <x:c r="A1363" s="49" t="str">
        <x:v>2025-26</x:v>
      </x:c>
      <x:c r="B1363" s="63" t="n">
        <x:v>6141</x:v>
      </x:c>
      <x:c r="C1363" s="49" t="str">
        <x:v>Jaywant Shikshan Prasarak Mandal's,Rajarshi Shahu College of Engineering, Tathawade, Pune</x:v>
      </x:c>
      <x:c r="D1363" s="72" t="n">
        <x:v>614129310</x:v>
      </x:c>
      <x:c r="E1363" s="49" t="str">
        <x:v>Electrical Engineering</x:v>
      </x:c>
      <x:c r="F1363" s="73" t="n">
        <x:v>12</x:v>
      </x:c>
      <x:c r="G1363" s="73" t="n">
        <x:v>10</x:v>
      </x:c>
      <x:c r="H1363" s="73" t="n">
        <x:v>2</x:v>
      </x:c>
      <x:c r="I1363" s="73"/>
      <x:c r="J1363" s="73" t="n">
        <x:v>0</x:v>
      </x:c>
      <x:c r="K1363" s="49" t="str">
        <x:v>Un-Aided Autonomous</x:v>
      </x:c>
      <x:c r="L1363" s="49" t="str">
        <x:v>MS Seats : 10+ EWS : 2</x:v>
      </x:c>
      <x:c r="M1363" s="49" t="str">
        <x:v>https://dse2025.mahacet.org.in/dse25/admin/allotment/cap2/6141_4.pdf</x:v>
      </x:c>
    </x:row>
    <x:row r="1364">
      <x:c r="A1364" s="49" t="str">
        <x:v>2025-26</x:v>
      </x:c>
      <x:c r="B1364" s="63" t="n">
        <x:v>6141</x:v>
      </x:c>
      <x:c r="C1364" s="49" t="str">
        <x:v>Jaywant Shikshan Prasarak Mandal's,Rajarshi Shahu College of Engineering, Tathawade, Pune</x:v>
      </x:c>
      <x:c r="D1364" s="72" t="n">
        <x:v>614137210</x:v>
      </x:c>
      <x:c r="E1364" s="49" t="str">
        <x:v>Electronics and Telecommunication Engg</x:v>
      </x:c>
      <x:c r="F1364" s="73" t="n">
        <x:v>15</x:v>
      </x:c>
      <x:c r="G1364" s="73" t="n">
        <x:v>13</x:v>
      </x:c>
      <x:c r="H1364" s="73" t="n">
        <x:v>2</x:v>
      </x:c>
      <x:c r="I1364" s="73"/>
      <x:c r="J1364" s="73" t="n">
        <x:v>0</x:v>
      </x:c>
      <x:c r="K1364" s="49" t="str">
        <x:v>Un-Aided Autonomous</x:v>
      </x:c>
      <x:c r="L1364" s="49" t="str">
        <x:v>MS Seats : 13+ EWS : 2</x:v>
      </x:c>
      <x:c r="M1364" s="49" t="str">
        <x:v>https://dse2025.mahacet.org.in/dse25/admin/allotment/cap2/6141_4.pdf</x:v>
      </x:c>
    </x:row>
    <x:row r="1365">
      <x:c r="A1365" s="49" t="str">
        <x:v>2025-26</x:v>
      </x:c>
      <x:c r="B1365" s="63" t="n">
        <x:v>6141</x:v>
      </x:c>
      <x:c r="C1365" s="49" t="str">
        <x:v>Jaywant Shikshan Prasarak Mandal's,Rajarshi Shahu College of Engineering, Tathawade, Pune</x:v>
      </x:c>
      <x:c r="D1365" s="72" t="n">
        <x:v>614161210</x:v>
      </x:c>
      <x:c r="E1365" s="49" t="str">
        <x:v>Mechanical Engineering</x:v>
      </x:c>
      <x:c r="F1365" s="73" t="n">
        <x:v>34</x:v>
      </x:c>
      <x:c r="G1365" s="73" t="n">
        <x:v>29</x:v>
      </x:c>
      <x:c r="H1365" s="73" t="n">
        <x:v>5</x:v>
      </x:c>
      <x:c r="I1365" s="73"/>
      <x:c r="J1365" s="73" t="n">
        <x:v>0</x:v>
      </x:c>
      <x:c r="K1365" s="49" t="str">
        <x:v>Un-Aided Autonomous</x:v>
      </x:c>
      <x:c r="L1365" s="49" t="str">
        <x:v>MS Seats : 29+ EWS : 5</x:v>
      </x:c>
      <x:c r="M1365" s="49" t="str">
        <x:v>https://dse2025.mahacet.org.in/dse25/admin/allotment/cap2/6141_4.pdf</x:v>
      </x:c>
    </x:row>
    <x:row r="1366">
      <x:c r="A1366" s="49" t="str">
        <x:v>2025-26</x:v>
      </x:c>
      <x:c r="B1366" s="63" t="n">
        <x:v>6141</x:v>
      </x:c>
      <x:c r="C1366" s="49" t="str">
        <x:v>Jaywant Shikshan Prasarak Mandal's,Rajarshi Shahu College of Engineering, Tathawade, Pune</x:v>
      </x:c>
      <x:c r="D1366" s="72" t="n">
        <x:v>614191610</x:v>
      </x:c>
      <x:c r="E1366" s="49" t="str">
        <x:v>Automation and Robotics</x:v>
      </x:c>
      <x:c r="F1366" s="73" t="n">
        <x:v>11</x:v>
      </x:c>
      <x:c r="G1366" s="73" t="n">
        <x:v>9</x:v>
      </x:c>
      <x:c r="H1366" s="73" t="n">
        <x:v>2</x:v>
      </x:c>
      <x:c r="I1366" s="73"/>
      <x:c r="J1366" s="73" t="n">
        <x:v>0</x:v>
      </x:c>
      <x:c r="K1366" s="49" t="str">
        <x:v>Un-Aided Autonomous</x:v>
      </x:c>
      <x:c r="L1366" s="49" t="str">
        <x:v>MS Seats : 9+ EWS : 2</x:v>
      </x:c>
      <x:c r="M1366" s="49" t="str">
        <x:v>https://dse2025.mahacet.org.in/dse25/admin/allotment/cap2/6141_4.pdf</x:v>
      </x:c>
    </x:row>
    <x:row r="1367">
      <x:c r="A1367" s="49" t="str">
        <x:v>2025-26</x:v>
      </x:c>
      <x:c r="B1367" s="63" t="n">
        <x:v>6144</x:v>
      </x:c>
      <x:c r="C1367" s="49" t="str">
        <x:v>Genba Sopanrao Moze College of Engineering, Baner-Balewadi, Pune</x:v>
      </x:c>
      <x:c r="D1367" s="72" t="n">
        <x:v>614419110</x:v>
      </x:c>
      <x:c r="E1367" s="49" t="str">
        <x:v>Civil Engineering</x:v>
      </x:c>
      <x:c r="F1367" s="73" t="n">
        <x:v>15</x:v>
      </x:c>
      <x:c r="G1367" s="73" t="n">
        <x:v>14</x:v>
      </x:c>
      <x:c r="H1367" s="73" t="n">
        <x:v>1</x:v>
      </x:c>
      <x:c r="I1367" s="73"/>
      <x:c r="J1367" s="73" t="n">
        <x:v>0</x:v>
      </x:c>
      <x:c r="K1367" s="49" t="str">
        <x:v>Un-Aided</x:v>
      </x:c>
      <x:c r="L1367" s="49" t="str">
        <x:v>MS Seats : 14+ EWS : 1</x:v>
      </x:c>
      <x:c r="M1367" s="49" t="str">
        <x:v>https://dse2025.mahacet.org.in/dse25/admin/allotment/cap2/6144_4.pdf</x:v>
      </x:c>
    </x:row>
    <x:row r="1368">
      <x:c r="A1368" s="49" t="str">
        <x:v>2025-26</x:v>
      </x:c>
      <x:c r="B1368" s="63" t="n">
        <x:v>6144</x:v>
      </x:c>
      <x:c r="C1368" s="49" t="str">
        <x:v>Genba Sopanrao Moze College of Engineering, Baner-Balewadi, Pune</x:v>
      </x:c>
      <x:c r="D1368" s="72" t="n">
        <x:v>614424510</x:v>
      </x:c>
      <x:c r="E1368" s="49" t="str">
        <x:v>Computer Engineering</x:v>
      </x:c>
      <x:c r="F1368" s="73" t="n">
        <x:v>22</x:v>
      </x:c>
      <x:c r="G1368" s="73" t="n">
        <x:v>18</x:v>
      </x:c>
      <x:c r="H1368" s="73" t="n">
        <x:v>4</x:v>
      </x:c>
      <x:c r="I1368" s="73"/>
      <x:c r="J1368" s="73" t="n">
        <x:v>0</x:v>
      </x:c>
      <x:c r="K1368" s="49" t="str">
        <x:v>Un-Aided</x:v>
      </x:c>
      <x:c r="L1368" s="49" t="str">
        <x:v>MS Seats : 18+ EWS : 4</x:v>
      </x:c>
      <x:c r="M1368" s="49" t="str">
        <x:v>https://dse2025.mahacet.org.in/dse25/admin/allotment/cap2/6144_4.pdf</x:v>
      </x:c>
    </x:row>
    <x:row r="1369">
      <x:c r="A1369" s="49" t="str">
        <x:v>2025-26</x:v>
      </x:c>
      <x:c r="B1369" s="63" t="n">
        <x:v>6144</x:v>
      </x:c>
      <x:c r="C1369" s="49" t="str">
        <x:v>Genba Sopanrao Moze College of Engineering, Baner-Balewadi, Pune</x:v>
      </x:c>
      <x:c r="D1369" s="72" t="n">
        <x:v>614424610</x:v>
      </x:c>
      <x:c r="E1369" s="49" t="str">
        <x:v>Information Technology</x:v>
      </x:c>
      <x:c r="F1369" s="73" t="n">
        <x:v>18</x:v>
      </x:c>
      <x:c r="G1369" s="73" t="n">
        <x:v>14</x:v>
      </x:c>
      <x:c r="H1369" s="73" t="n">
        <x:v>4</x:v>
      </x:c>
      <x:c r="I1369" s="73"/>
      <x:c r="J1369" s="73" t="n">
        <x:v>0</x:v>
      </x:c>
      <x:c r="K1369" s="49" t="str">
        <x:v>Un-Aided</x:v>
      </x:c>
      <x:c r="L1369" s="49" t="str">
        <x:v>MS Seats : 14+ EWS : 4</x:v>
      </x:c>
      <x:c r="M1369" s="49" t="str">
        <x:v>https://dse2025.mahacet.org.in/dse25/admin/allotment/cap2/6144_4.pdf</x:v>
      </x:c>
    </x:row>
    <x:row r="1370">
      <x:c r="A1370" s="49" t="str">
        <x:v>2025-26</x:v>
      </x:c>
      <x:c r="B1370" s="63" t="n">
        <x:v>6144</x:v>
      </x:c>
      <x:c r="C1370" s="49" t="str">
        <x:v>Genba Sopanrao Moze College of Engineering, Baner-Balewadi, Pune</x:v>
      </x:c>
      <x:c r="D1370" s="72" t="n">
        <x:v>614437210</x:v>
      </x:c>
      <x:c r="E1370" s="49" t="str">
        <x:v>Electronics and Telecommunication Engg</x:v>
      </x:c>
      <x:c r="F1370" s="73" t="n">
        <x:v>9</x:v>
      </x:c>
      <x:c r="G1370" s="73" t="n">
        <x:v>8</x:v>
      </x:c>
      <x:c r="H1370" s="73" t="n">
        <x:v>1</x:v>
      </x:c>
      <x:c r="I1370" s="73"/>
      <x:c r="J1370" s="73" t="n">
        <x:v>0</x:v>
      </x:c>
      <x:c r="K1370" s="49" t="str">
        <x:v>Un-Aided</x:v>
      </x:c>
      <x:c r="L1370" s="49" t="str">
        <x:v>MS Seats : 8+ EWS : 1</x:v>
      </x:c>
      <x:c r="M1370" s="49" t="str">
        <x:v>https://dse2025.mahacet.org.in/dse25/admin/allotment/cap2/6144_4.pdf</x:v>
      </x:c>
    </x:row>
    <x:row r="1371">
      <x:c r="A1371" s="49" t="str">
        <x:v>2025-26</x:v>
      </x:c>
      <x:c r="B1371" s="63" t="n">
        <x:v>6144</x:v>
      </x:c>
      <x:c r="C1371" s="49" t="str">
        <x:v>Genba Sopanrao Moze College of Engineering, Baner-Balewadi, Pune</x:v>
      </x:c>
      <x:c r="D1371" s="72" t="n">
        <x:v>614461210</x:v>
      </x:c>
      <x:c r="E1371" s="49" t="str">
        <x:v>Mechanical Engineering</x:v>
      </x:c>
      <x:c r="F1371" s="73" t="n">
        <x:v>16</x:v>
      </x:c>
      <x:c r="G1371" s="73" t="n">
        <x:v>13</x:v>
      </x:c>
      <x:c r="H1371" s="73" t="n">
        <x:v>3</x:v>
      </x:c>
      <x:c r="I1371" s="73"/>
      <x:c r="J1371" s="73" t="n">
        <x:v>0</x:v>
      </x:c>
      <x:c r="K1371" s="49" t="str">
        <x:v>Un-Aided</x:v>
      </x:c>
      <x:c r="L1371" s="49" t="str">
        <x:v>MS Seats : 13+ EWS : 3</x:v>
      </x:c>
      <x:c r="M1371" s="49" t="str">
        <x:v>https://dse2025.mahacet.org.in/dse25/admin/allotment/cap2/6144_4.pdf</x:v>
      </x:c>
    </x:row>
    <x:row r="1372">
      <x:c r="A1372" s="49" t="str">
        <x:v>2025-26</x:v>
      </x:c>
      <x:c r="B1372" s="63" t="n">
        <x:v>6144</x:v>
      </x:c>
      <x:c r="C1372" s="49" t="str">
        <x:v>Genba Sopanrao Moze College of Engineering, Baner-Balewadi, Pune</x:v>
      </x:c>
      <x:c r="D1372" s="72" t="n">
        <x:v>614492110</x:v>
      </x:c>
      <x:c r="E1372" s="49" t="str">
        <x:v>Artificial Intelligence and Machine Learning</x:v>
      </x:c>
      <x:c r="F1372" s="73" t="n">
        <x:v>14</x:v>
      </x:c>
      <x:c r="G1372" s="73" t="n">
        <x:v>10</x:v>
      </x:c>
      <x:c r="H1372" s="73" t="n">
        <x:v>4</x:v>
      </x:c>
      <x:c r="I1372" s="73"/>
      <x:c r="J1372" s="73" t="n">
        <x:v>0</x:v>
      </x:c>
      <x:c r="K1372" s="49" t="str">
        <x:v>Un-Aided</x:v>
      </x:c>
      <x:c r="L1372" s="49" t="str">
        <x:v>MS Seats : 10+ EWS : 4</x:v>
      </x:c>
      <x:c r="M1372" s="49" t="str">
        <x:v>https://dse2025.mahacet.org.in/dse25/admin/allotment/cap2/6144_4.pdf</x:v>
      </x:c>
    </x:row>
    <x:row r="1373">
      <x:c r="A1373" s="49" t="str">
        <x:v>2025-26</x:v>
      </x:c>
      <x:c r="B1373" s="63" t="n">
        <x:v>6144</x:v>
      </x:c>
      <x:c r="C1373" s="49" t="str">
        <x:v>Genba Sopanrao Moze College of Engineering, Baner-Balewadi, Pune</x:v>
      </x:c>
      <x:c r="D1373" s="72" t="n">
        <x:v>614499510</x:v>
      </x:c>
      <x:c r="E1373" s="49" t="str">
        <x:v>Artificial Intelligence and Data Science</x:v>
      </x:c>
      <x:c r="F1373" s="73" t="n">
        <x:v>18</x:v>
      </x:c>
      <x:c r="G1373" s="73" t="n">
        <x:v>16</x:v>
      </x:c>
      <x:c r="H1373" s="73" t="n">
        <x:v>2</x:v>
      </x:c>
      <x:c r="I1373" s="73"/>
      <x:c r="J1373" s="73" t="n">
        <x:v>0</x:v>
      </x:c>
      <x:c r="K1373" s="49" t="str">
        <x:v>Un-Aided</x:v>
      </x:c>
      <x:c r="L1373" s="49" t="str">
        <x:v>MS Seats : 16+ EWS : 2</x:v>
      </x:c>
      <x:c r="M1373" s="49" t="str">
        <x:v>https://dse2025.mahacet.org.in/dse25/admin/allotment/cap2/6144_4.pdf</x:v>
      </x:c>
    </x:row>
    <x:row r="1374">
      <x:c r="A1374" s="49" t="str">
        <x:v>2025-26</x:v>
      </x:c>
      <x:c r="B1374" s="63" t="n">
        <x:v>6145</x:v>
      </x:c>
      <x:c r="C1374" s="49" t="str">
        <x:v>JSPM'S Jaywantrao Sawant College of Engineering,Pune</x:v>
      </x:c>
      <x:c r="D1374" s="72" t="n">
        <x:v>614524510</x:v>
      </x:c>
      <x:c r="E1374" s="49" t="str">
        <x:v>Computer Engineering</x:v>
      </x:c>
      <x:c r="F1374" s="73" t="n">
        <x:v>23</x:v>
      </x:c>
      <x:c r="G1374" s="73" t="n">
        <x:v>16</x:v>
      </x:c>
      <x:c r="H1374" s="73" t="n">
        <x:v>7</x:v>
      </x:c>
      <x:c r="I1374" s="73"/>
      <x:c r="J1374" s="73" t="n">
        <x:v>0</x:v>
      </x:c>
      <x:c r="K1374" s="49" t="str">
        <x:v>Un-Aided</x:v>
      </x:c>
      <x:c r="L1374" s="49" t="str">
        <x:v>MS Seats : 16+ EWS : 7</x:v>
      </x:c>
      <x:c r="M1374" s="49" t="str">
        <x:v>https://dse2025.mahacet.org.in/dse25/admin/allotment/cap2/6145_4.pdf</x:v>
      </x:c>
    </x:row>
    <x:row r="1375">
      <x:c r="A1375" s="49" t="str">
        <x:v>2025-26</x:v>
      </x:c>
      <x:c r="B1375" s="63" t="n">
        <x:v>6145</x:v>
      </x:c>
      <x:c r="C1375" s="49" t="str">
        <x:v>JSPM'S Jaywantrao Sawant College of Engineering,Pune</x:v>
      </x:c>
      <x:c r="D1375" s="72" t="n">
        <x:v>614524610</x:v>
      </x:c>
      <x:c r="E1375" s="49" t="str">
        <x:v>Information Technology</x:v>
      </x:c>
      <x:c r="F1375" s="73" t="n">
        <x:v>23</x:v>
      </x:c>
      <x:c r="G1375" s="73" t="n">
        <x:v>19</x:v>
      </x:c>
      <x:c r="H1375" s="73" t="n">
        <x:v>4</x:v>
      </x:c>
      <x:c r="I1375" s="73"/>
      <x:c r="J1375" s="73" t="n">
        <x:v>0</x:v>
      </x:c>
      <x:c r="K1375" s="49" t="str">
        <x:v>Un-Aided</x:v>
      </x:c>
      <x:c r="L1375" s="49" t="str">
        <x:v>MS Seats : 19+ EWS : 4</x:v>
      </x:c>
      <x:c r="M1375" s="49" t="str">
        <x:v>https://dse2025.mahacet.org.in/dse25/admin/allotment/cap2/6145_4.pdf</x:v>
      </x:c>
    </x:row>
    <x:row r="1376">
      <x:c r="A1376" s="49" t="str">
        <x:v>2025-26</x:v>
      </x:c>
      <x:c r="B1376" s="63" t="n">
        <x:v>6145</x:v>
      </x:c>
      <x:c r="C1376" s="49" t="str">
        <x:v>JSPM'S Jaywantrao Sawant College of Engineering,Pune</x:v>
      </x:c>
      <x:c r="D1376" s="72" t="n">
        <x:v>614526310</x:v>
      </x:c>
      <x:c r="E1376" s="49" t="str">
        <x:v>Artificial Intelligence (AI) and Data Science</x:v>
      </x:c>
      <x:c r="F1376" s="73" t="n">
        <x:v>12</x:v>
      </x:c>
      <x:c r="G1376" s="73" t="n">
        <x:v>11</x:v>
      </x:c>
      <x:c r="H1376" s="73" t="n">
        <x:v>1</x:v>
      </x:c>
      <x:c r="I1376" s="73"/>
      <x:c r="J1376" s="73" t="n">
        <x:v>0</x:v>
      </x:c>
      <x:c r="K1376" s="49" t="str">
        <x:v>Un-Aided</x:v>
      </x:c>
      <x:c r="L1376" s="49" t="str">
        <x:v>MS Seats : 11+ EWS : 1</x:v>
      </x:c>
      <x:c r="M1376" s="49" t="str">
        <x:v>https://dse2025.mahacet.org.in/dse25/admin/allotment/cap2/6145_4.pdf</x:v>
      </x:c>
    </x:row>
    <x:row r="1377">
      <x:c r="A1377" s="49" t="str">
        <x:v>2025-26</x:v>
      </x:c>
      <x:c r="B1377" s="63" t="n">
        <x:v>6145</x:v>
      </x:c>
      <x:c r="C1377" s="49" t="str">
        <x:v>JSPM'S Jaywantrao Sawant College of Engineering,Pune</x:v>
      </x:c>
      <x:c r="D1377" s="72" t="n">
        <x:v>614529310</x:v>
      </x:c>
      <x:c r="E1377" s="49" t="str">
        <x:v>Electrical Engineering</x:v>
      </x:c>
      <x:c r="F1377" s="73" t="n">
        <x:v>26</x:v>
      </x:c>
      <x:c r="G1377" s="73" t="n">
        <x:v>22</x:v>
      </x:c>
      <x:c r="H1377" s="73" t="n">
        <x:v>4</x:v>
      </x:c>
      <x:c r="I1377" s="73"/>
      <x:c r="J1377" s="73" t="n">
        <x:v>0</x:v>
      </x:c>
      <x:c r="K1377" s="49" t="str">
        <x:v>Un-Aided</x:v>
      </x:c>
      <x:c r="L1377" s="49" t="str">
        <x:v>MS Seats : 22+ EWS : 4</x:v>
      </x:c>
      <x:c r="M1377" s="49" t="str">
        <x:v>https://dse2025.mahacet.org.in/dse25/admin/allotment/cap2/6145_4.pdf</x:v>
      </x:c>
    </x:row>
    <x:row r="1378">
      <x:c r="A1378" s="49" t="str">
        <x:v>2025-26</x:v>
      </x:c>
      <x:c r="B1378" s="63" t="n">
        <x:v>6145</x:v>
      </x:c>
      <x:c r="C1378" s="49" t="str">
        <x:v>JSPM'S Jaywantrao Sawant College of Engineering,Pune</x:v>
      </x:c>
      <x:c r="D1378" s="72" t="n">
        <x:v>614537210</x:v>
      </x:c>
      <x:c r="E1378" s="49" t="str">
        <x:v>Electronics and Telecommunication Engg</x:v>
      </x:c>
      <x:c r="F1378" s="73" t="n">
        <x:v>27</x:v>
      </x:c>
      <x:c r="G1378" s="73" t="n">
        <x:v>20</x:v>
      </x:c>
      <x:c r="H1378" s="73" t="n">
        <x:v>7</x:v>
      </x:c>
      <x:c r="I1378" s="73"/>
      <x:c r="J1378" s="73" t="n">
        <x:v>0</x:v>
      </x:c>
      <x:c r="K1378" s="49" t="str">
        <x:v>Un-Aided</x:v>
      </x:c>
      <x:c r="L1378" s="49" t="str">
        <x:v>MS Seats : 20+ EWS : 7</x:v>
      </x:c>
      <x:c r="M1378" s="49" t="str">
        <x:v>https://dse2025.mahacet.org.in/dse25/admin/allotment/cap2/6145_4.pdf</x:v>
      </x:c>
    </x:row>
    <x:row r="1379">
      <x:c r="A1379" s="49" t="str">
        <x:v>2025-26</x:v>
      </x:c>
      <x:c r="B1379" s="63" t="n">
        <x:v>6145</x:v>
      </x:c>
      <x:c r="C1379" s="49" t="str">
        <x:v>JSPM'S Jaywantrao Sawant College of Engineering,Pune</x:v>
      </x:c>
      <x:c r="D1379" s="72" t="n">
        <x:v>614561210</x:v>
      </x:c>
      <x:c r="E1379" s="49" t="str">
        <x:v>Mechanical Engineering</x:v>
      </x:c>
      <x:c r="F1379" s="73" t="n">
        <x:v>54</x:v>
      </x:c>
      <x:c r="G1379" s="73" t="n">
        <x:v>46</x:v>
      </x:c>
      <x:c r="H1379" s="73" t="n">
        <x:v>8</x:v>
      </x:c>
      <x:c r="I1379" s="73"/>
      <x:c r="J1379" s="73" t="n">
        <x:v>0</x:v>
      </x:c>
      <x:c r="K1379" s="49" t="str">
        <x:v>Un-Aided</x:v>
      </x:c>
      <x:c r="L1379" s="49" t="str">
        <x:v>MS Seats : 46+ EWS : 8</x:v>
      </x:c>
      <x:c r="M1379" s="49" t="str">
        <x:v>https://dse2025.mahacet.org.in/dse25/admin/allotment/cap2/6145_4.pdf</x:v>
      </x:c>
    </x:row>
    <x:row r="1380">
      <x:c r="A1380" s="49" t="str">
        <x:v>2025-26</x:v>
      </x:c>
      <x:c r="B1380" s="63" t="n">
        <x:v>6146</x:v>
      </x:c>
      <x:c r="C1380" s="49" t="str">
        <x:v>MIT Academy of Engineering,Alandi, Pune</x:v>
      </x:c>
      <x:c r="D1380" s="72" t="n">
        <x:v>614619110</x:v>
      </x:c>
      <x:c r="E1380" s="49" t="str">
        <x:v>Civil Engineering</x:v>
      </x:c>
      <x:c r="F1380" s="73" t="n">
        <x:v>15</x:v>
      </x:c>
      <x:c r="G1380" s="73" t="n">
        <x:v>12</x:v>
      </x:c>
      <x:c r="H1380" s="73" t="n">
        <x:v>3</x:v>
      </x:c>
      <x:c r="I1380" s="73"/>
      <x:c r="J1380" s="73" t="n">
        <x:v>0</x:v>
      </x:c>
      <x:c r="K1380" s="49" t="str">
        <x:v>Un-Aided Autonomous</x:v>
      </x:c>
      <x:c r="L1380" s="49" t="str">
        <x:v>MS Seats : 12+ EWS : 3</x:v>
      </x:c>
      <x:c r="M1380" s="49" t="str">
        <x:v>https://dse2025.mahacet.org.in/dse25/admin/allotment/cap2/6146_4.pdf</x:v>
      </x:c>
    </x:row>
    <x:row r="1381">
      <x:c r="A1381" s="49" t="str">
        <x:v>2025-26</x:v>
      </x:c>
      <x:c r="B1381" s="63" t="n">
        <x:v>6146</x:v>
      </x:c>
      <x:c r="C1381" s="49" t="str">
        <x:v>MIT Academy of Engineering,Alandi, Pune</x:v>
      </x:c>
      <x:c r="D1381" s="72" t="n">
        <x:v>614624510</x:v>
      </x:c>
      <x:c r="E1381" s="49" t="str">
        <x:v>Computer Engineering</x:v>
      </x:c>
      <x:c r="F1381" s="73" t="n">
        <x:v>42</x:v>
      </x:c>
      <x:c r="G1381" s="73" t="n">
        <x:v>34</x:v>
      </x:c>
      <x:c r="H1381" s="73" t="n">
        <x:v>8</x:v>
      </x:c>
      <x:c r="I1381" s="73"/>
      <x:c r="J1381" s="73" t="n">
        <x:v>0</x:v>
      </x:c>
      <x:c r="K1381" s="49" t="str">
        <x:v>Un-Aided Autonomous</x:v>
      </x:c>
      <x:c r="L1381" s="49" t="str">
        <x:v>MS Seats : 34+ EWS : 8</x:v>
      </x:c>
      <x:c r="M1381" s="49" t="str">
        <x:v>https://dse2025.mahacet.org.in/dse25/admin/allotment/cap2/6146_4.pdf</x:v>
      </x:c>
    </x:row>
    <x:row r="1382">
      <x:c r="A1382" s="49" t="str">
        <x:v>2025-26</x:v>
      </x:c>
      <x:c r="B1382" s="63" t="n">
        <x:v>6146</x:v>
      </x:c>
      <x:c r="C1382" s="49" t="str">
        <x:v>MIT Academy of Engineering,Alandi, Pune</x:v>
      </x:c>
      <x:c r="D1382" s="72" t="n">
        <x:v>614624610</x:v>
      </x:c>
      <x:c r="E1382" s="49" t="str">
        <x:v>Information Technology</x:v>
      </x:c>
      <x:c r="F1382" s="73" t="n">
        <x:v>9</x:v>
      </x:c>
      <x:c r="G1382" s="73" t="n">
        <x:v>7</x:v>
      </x:c>
      <x:c r="H1382" s="73" t="n">
        <x:v>2</x:v>
      </x:c>
      <x:c r="I1382" s="73"/>
      <x:c r="J1382" s="73" t="n">
        <x:v>0</x:v>
      </x:c>
      <x:c r="K1382" s="49" t="str">
        <x:v>Un-Aided Autonomous</x:v>
      </x:c>
      <x:c r="L1382" s="49" t="str">
        <x:v>MS Seats : 7+ EWS : 2</x:v>
      </x:c>
      <x:c r="M1382" s="49" t="str">
        <x:v>https://dse2025.mahacet.org.in/dse25/admin/allotment/cap2/6146_4.pdf</x:v>
      </x:c>
    </x:row>
    <x:row r="1383">
      <x:c r="A1383" s="49" t="str">
        <x:v>2025-26</x:v>
      </x:c>
      <x:c r="B1383" s="63" t="n">
        <x:v>6146</x:v>
      </x:c>
      <x:c r="C1383" s="49" t="str">
        <x:v>MIT Academy of Engineering,Alandi, Pune</x:v>
      </x:c>
      <x:c r="D1383" s="72" t="n">
        <x:v>614637210</x:v>
      </x:c>
      <x:c r="E1383" s="49" t="str">
        <x:v>Electronics and Telecommunication Engg</x:v>
      </x:c>
      <x:c r="F1383" s="73" t="n">
        <x:v>31</x:v>
      </x:c>
      <x:c r="G1383" s="73" t="n">
        <x:v>28</x:v>
      </x:c>
      <x:c r="H1383" s="73" t="n">
        <x:v>3</x:v>
      </x:c>
      <x:c r="I1383" s="73"/>
      <x:c r="J1383" s="73" t="n">
        <x:v>0</x:v>
      </x:c>
      <x:c r="K1383" s="49" t="str">
        <x:v>Un-Aided Autonomous</x:v>
      </x:c>
      <x:c r="L1383" s="49" t="str">
        <x:v>MS Seats : 28+ EWS : 3</x:v>
      </x:c>
      <x:c r="M1383" s="49" t="str">
        <x:v>https://dse2025.mahacet.org.in/dse25/admin/allotment/cap2/6146_4.pdf</x:v>
      </x:c>
    </x:row>
    <x:row r="1384">
      <x:c r="A1384" s="49" t="str">
        <x:v>2025-26</x:v>
      </x:c>
      <x:c r="B1384" s="63" t="n">
        <x:v>6146</x:v>
      </x:c>
      <x:c r="C1384" s="49" t="str">
        <x:v>MIT Academy of Engineering,Alandi, Pune</x:v>
      </x:c>
      <x:c r="D1384" s="72" t="n">
        <x:v>614650710</x:v>
      </x:c>
      <x:c r="E1384" s="49" t="str">
        <x:v>Chemical Engineering</x:v>
      </x:c>
      <x:c r="F1384" s="73" t="n">
        <x:v>9</x:v>
      </x:c>
      <x:c r="G1384" s="73" t="n">
        <x:v>7</x:v>
      </x:c>
      <x:c r="H1384" s="73" t="n">
        <x:v>2</x:v>
      </x:c>
      <x:c r="I1384" s="73"/>
      <x:c r="J1384" s="73" t="n">
        <x:v>0</x:v>
      </x:c>
      <x:c r="K1384" s="49" t="str">
        <x:v>Un-Aided Autonomous</x:v>
      </x:c>
      <x:c r="L1384" s="49" t="str">
        <x:v>MS Seats : 7+ EWS : 2</x:v>
      </x:c>
      <x:c r="M1384" s="49" t="str">
        <x:v>https://dse2025.mahacet.org.in/dse25/admin/allotment/cap2/6146_4.pdf</x:v>
      </x:c>
    </x:row>
    <x:row r="1385">
      <x:c r="A1385" s="49" t="str">
        <x:v>2025-26</x:v>
      </x:c>
      <x:c r="B1385" s="63" t="n">
        <x:v>6146</x:v>
      </x:c>
      <x:c r="C1385" s="49" t="str">
        <x:v>MIT Academy of Engineering,Alandi, Pune</x:v>
      </x:c>
      <x:c r="D1385" s="72" t="n">
        <x:v>614661210</x:v>
      </x:c>
      <x:c r="E1385" s="49" t="str">
        <x:v>Mechanical Engineering</x:v>
      </x:c>
      <x:c r="F1385" s="73" t="n">
        <x:v>21</x:v>
      </x:c>
      <x:c r="G1385" s="73" t="n">
        <x:v>17</x:v>
      </x:c>
      <x:c r="H1385" s="73" t="n">
        <x:v>4</x:v>
      </x:c>
      <x:c r="I1385" s="73"/>
      <x:c r="J1385" s="73" t="n">
        <x:v>0</x:v>
      </x:c>
      <x:c r="K1385" s="49" t="str">
        <x:v>Un-Aided Autonomous</x:v>
      </x:c>
      <x:c r="L1385" s="49" t="str">
        <x:v>MS Seats : 17+ EWS : 4</x:v>
      </x:c>
      <x:c r="M1385" s="49" t="str">
        <x:v>https://dse2025.mahacet.org.in/dse25/admin/allotment/cap2/6146_4.pdf</x:v>
      </x:c>
    </x:row>
    <x:row r="1386">
      <x:c r="A1386" s="49" t="str">
        <x:v>2025-26</x:v>
      </x:c>
      <x:c r="B1386" s="63" t="n">
        <x:v>6146</x:v>
      </x:c>
      <x:c r="C1386" s="49" t="str">
        <x:v>MIT Academy of Engineering,Alandi, Pune</x:v>
      </x:c>
      <x:c r="D1386" s="72" t="n">
        <x:v>614691110</x:v>
      </x:c>
      <x:c r="E1386" s="49" t="str">
        <x:v>Computer Science and Engineering(Artificial Intelligence and Machine Learning)</x:v>
      </x:c>
      <x:c r="F1386" s="73" t="n">
        <x:v>9</x:v>
      </x:c>
      <x:c r="G1386" s="73" t="n">
        <x:v>7</x:v>
      </x:c>
      <x:c r="H1386" s="73" t="n">
        <x:v>2</x:v>
      </x:c>
      <x:c r="I1386" s="73"/>
      <x:c r="J1386" s="73" t="n">
        <x:v>0</x:v>
      </x:c>
      <x:c r="K1386" s="49" t="str">
        <x:v>Un-Aided Autonomous</x:v>
      </x:c>
      <x:c r="L1386" s="49" t="str">
        <x:v>MS Seats : 7+ EWS : 2</x:v>
      </x:c>
      <x:c r="M1386" s="49" t="str">
        <x:v>https://dse2025.mahacet.org.in/dse25/admin/allotment/cap2/6146_4.pdf</x:v>
      </x:c>
    </x:row>
    <x:row r="1387">
      <x:c r="A1387" s="49" t="str">
        <x:v>2025-26</x:v>
      </x:c>
      <x:c r="B1387" s="63" t="n">
        <x:v>6146</x:v>
      </x:c>
      <x:c r="C1387" s="49" t="str">
        <x:v>MIT Academy of Engineering,Alandi, Pune</x:v>
      </x:c>
      <x:c r="D1387" s="72" t="n">
        <x:v>614691210</x:v>
      </x:c>
      <x:c r="E1387" s="49" t="str">
        <x:v>Computer Science and Engineering(Data Science)</x:v>
      </x:c>
      <x:c r="F1387" s="73" t="n">
        <x:v>9</x:v>
      </x:c>
      <x:c r="G1387" s="73" t="n">
        <x:v>7</x:v>
      </x:c>
      <x:c r="H1387" s="73" t="n">
        <x:v>2</x:v>
      </x:c>
      <x:c r="I1387" s="73"/>
      <x:c r="J1387" s="73" t="n">
        <x:v>0</x:v>
      </x:c>
      <x:c r="K1387" s="49" t="str">
        <x:v>Un-Aided Autonomous</x:v>
      </x:c>
      <x:c r="L1387" s="49" t="str">
        <x:v>MS Seats : 7+ EWS : 2</x:v>
      </x:c>
      <x:c r="M1387" s="49" t="str">
        <x:v>https://dse2025.mahacet.org.in/dse25/admin/allotment/cap2/6146_4.pdf</x:v>
      </x:c>
    </x:row>
    <x:row r="1388">
      <x:c r="A1388" s="49" t="str">
        <x:v>2025-26</x:v>
      </x:c>
      <x:c r="B1388" s="63" t="n">
        <x:v>6146</x:v>
      </x:c>
      <x:c r="C1388" s="49" t="str">
        <x:v>MIT Academy of Engineering,Alandi, Pune</x:v>
      </x:c>
      <x:c r="D1388" s="72" t="n">
        <x:v>614692710</x:v>
      </x:c>
      <x:c r="E1388" s="49" t="str">
        <x:v>Computer Engineering (Software Engineering)</x:v>
      </x:c>
      <x:c r="F1388" s="73" t="n">
        <x:v>16</x:v>
      </x:c>
      <x:c r="G1388" s="73" t="n">
        <x:v>13</x:v>
      </x:c>
      <x:c r="H1388" s="73" t="n">
        <x:v>3</x:v>
      </x:c>
      <x:c r="I1388" s="73"/>
      <x:c r="J1388" s="73" t="n">
        <x:v>0</x:v>
      </x:c>
      <x:c r="K1388" s="49" t="str">
        <x:v>Un-Aided Autonomous</x:v>
      </x:c>
      <x:c r="L1388" s="49" t="str">
        <x:v>MS Seats : 13+ EWS : 3</x:v>
      </x:c>
      <x:c r="M1388" s="49" t="str">
        <x:v>https://dse2025.mahacet.org.in/dse25/admin/allotment/cap2/6146_4.pdf</x:v>
      </x:c>
    </x:row>
    <x:row r="1389">
      <x:c r="A1389" s="49" t="str">
        <x:v>2025-26</x:v>
      </x:c>
      <x:c r="B1389" s="63" t="n">
        <x:v>6149</x:v>
      </x:c>
      <x:c r="C1389" s="49" t="str">
        <x:v>Siddhant College of Engineering, A/p Sudumbare, Tal.Maval, Dist-Pune</x:v>
      </x:c>
      <x:c r="D1389" s="72" t="n">
        <x:v>614919110</x:v>
      </x:c>
      <x:c r="E1389" s="49" t="str">
        <x:v>Civil Engineering</x:v>
      </x:c>
      <x:c r="F1389" s="73" t="n">
        <x:v>33</x:v>
      </x:c>
      <x:c r="G1389" s="73" t="n">
        <x:v>16</x:v>
      </x:c>
      <x:c r="H1389" s="73"/>
      <x:c r="I1389" s="73" t="n">
        <x:v>17</x:v>
      </x:c>
      <x:c r="J1389" s="73" t="n">
        <x:v>0</x:v>
      </x:c>
      <x:c r="K1389" s="49" t="str">
        <x:v>Un-Aided Linguistic Minority - Hindi</x:v>
      </x:c>
      <x:c r="L1389" s="49" t="str">
        <x:v>MS Seats : 16 + Minority Seats : 17</x:v>
      </x:c>
      <x:c r="M1389" s="49" t="str">
        <x:v>https://dse2025.mahacet.org.in/dse25/admin/allotment/cap2/6149_4.pdf</x:v>
      </x:c>
    </x:row>
    <x:row r="1390">
      <x:c r="A1390" s="49" t="str">
        <x:v>2025-26</x:v>
      </x:c>
      <x:c r="B1390" s="63" t="n">
        <x:v>6149</x:v>
      </x:c>
      <x:c r="C1390" s="49" t="str">
        <x:v>Siddhant College of Engineering, A/p Sudumbare, Tal.Maval, Dist-Pune</x:v>
      </x:c>
      <x:c r="D1390" s="72" t="n">
        <x:v>614924510</x:v>
      </x:c>
      <x:c r="E1390" s="49" t="str">
        <x:v>Computer Engineering</x:v>
      </x:c>
      <x:c r="F1390" s="73" t="n">
        <x:v>19</x:v>
      </x:c>
      <x:c r="G1390" s="73" t="n">
        <x:v>9</x:v>
      </x:c>
      <x:c r="H1390" s="73"/>
      <x:c r="I1390" s="73" t="n">
        <x:v>10</x:v>
      </x:c>
      <x:c r="J1390" s="73" t="n">
        <x:v>0</x:v>
      </x:c>
      <x:c r="K1390" s="49" t="str">
        <x:v>Un-Aided Linguistic Minority - Hindi</x:v>
      </x:c>
      <x:c r="L1390" s="49" t="str">
        <x:v>MS Seats : 9 + Minority Seats : 10</x:v>
      </x:c>
      <x:c r="M1390" s="49" t="str">
        <x:v>https://dse2025.mahacet.org.in/dse25/admin/allotment/cap2/6149_4.pdf</x:v>
      </x:c>
    </x:row>
    <x:row r="1391">
      <x:c r="A1391" s="49" t="str">
        <x:v>2025-26</x:v>
      </x:c>
      <x:c r="B1391" s="63" t="n">
        <x:v>6149</x:v>
      </x:c>
      <x:c r="C1391" s="49" t="str">
        <x:v>Siddhant College of Engineering, A/p Sudumbare, Tal.Maval, Dist-Pune</x:v>
      </x:c>
      <x:c r="D1391" s="72" t="n">
        <x:v>614924610</x:v>
      </x:c>
      <x:c r="E1391" s="49" t="str">
        <x:v>Information Technology</x:v>
      </x:c>
      <x:c r="F1391" s="73" t="n">
        <x:v>15</x:v>
      </x:c>
      <x:c r="G1391" s="73" t="n">
        <x:v>7</x:v>
      </x:c>
      <x:c r="H1391" s="73"/>
      <x:c r="I1391" s="73" t="n">
        <x:v>8</x:v>
      </x:c>
      <x:c r="J1391" s="73" t="n">
        <x:v>0</x:v>
      </x:c>
      <x:c r="K1391" s="49" t="str">
        <x:v>Un-Aided Linguistic Minority - Hindi</x:v>
      </x:c>
      <x:c r="L1391" s="49" t="str">
        <x:v>MS Seats : 7 + Minority Seats : 8</x:v>
      </x:c>
      <x:c r="M1391" s="49" t="str">
        <x:v>https://dse2025.mahacet.org.in/dse25/admin/allotment/cap2/6149_4.pdf</x:v>
      </x:c>
    </x:row>
    <x:row r="1392">
      <x:c r="A1392" s="49" t="str">
        <x:v>2025-26</x:v>
      </x:c>
      <x:c r="B1392" s="63" t="n">
        <x:v>6149</x:v>
      </x:c>
      <x:c r="C1392" s="49" t="str">
        <x:v>Siddhant College of Engineering, A/p Sudumbare, Tal.Maval, Dist-Pune</x:v>
      </x:c>
      <x:c r="D1392" s="72" t="n">
        <x:v>614925310</x:v>
      </x:c>
      <x:c r="E1392" s="49" t="str">
        <x:v>Internet of Things (IoT)</x:v>
      </x:c>
      <x:c r="F1392" s="73" t="n">
        <x:v>26</x:v>
      </x:c>
      <x:c r="G1392" s="73" t="n">
        <x:v>12</x:v>
      </x:c>
      <x:c r="H1392" s="73"/>
      <x:c r="I1392" s="73" t="n">
        <x:v>14</x:v>
      </x:c>
      <x:c r="J1392" s="73" t="n">
        <x:v>0</x:v>
      </x:c>
      <x:c r="K1392" s="49" t="str">
        <x:v>Un-Aided Linguistic Minority - Hindi</x:v>
      </x:c>
      <x:c r="L1392" s="49" t="str">
        <x:v>MS Seats : 12 + Minority Seats : 14</x:v>
      </x:c>
      <x:c r="M1392" s="49" t="str">
        <x:v>https://dse2025.mahacet.org.in/dse25/admin/allotment/cap2/6149_4.pdf</x:v>
      </x:c>
    </x:row>
    <x:row r="1393">
      <x:c r="A1393" s="49" t="str">
        <x:v>2025-26</x:v>
      </x:c>
      <x:c r="B1393" s="63" t="n">
        <x:v>6149</x:v>
      </x:c>
      <x:c r="C1393" s="49" t="str">
        <x:v>Siddhant College of Engineering, A/p Sudumbare, Tal.Maval, Dist-Pune</x:v>
      </x:c>
      <x:c r="D1393" s="72" t="n">
        <x:v>614937210</x:v>
      </x:c>
      <x:c r="E1393" s="49" t="str">
        <x:v>Electronics and Telecommunication Engg</x:v>
      </x:c>
      <x:c r="F1393" s="73" t="n">
        <x:v>19</x:v>
      </x:c>
      <x:c r="G1393" s="73" t="n">
        <x:v>9</x:v>
      </x:c>
      <x:c r="H1393" s="73"/>
      <x:c r="I1393" s="73" t="n">
        <x:v>10</x:v>
      </x:c>
      <x:c r="J1393" s="73" t="n">
        <x:v>0</x:v>
      </x:c>
      <x:c r="K1393" s="49" t="str">
        <x:v>Un-Aided Linguistic Minority - Hindi</x:v>
      </x:c>
      <x:c r="L1393" s="49" t="str">
        <x:v>MS Seats : 9 + Minority Seats : 10</x:v>
      </x:c>
      <x:c r="M1393" s="49" t="str">
        <x:v>https://dse2025.mahacet.org.in/dse25/admin/allotment/cap2/6149_4.pdf</x:v>
      </x:c>
    </x:row>
    <x:row r="1394">
      <x:c r="A1394" s="49" t="str">
        <x:v>2025-26</x:v>
      </x:c>
      <x:c r="B1394" s="63" t="n">
        <x:v>6149</x:v>
      </x:c>
      <x:c r="C1394" s="49" t="str">
        <x:v>Siddhant College of Engineering, A/p Sudumbare, Tal.Maval, Dist-Pune</x:v>
      </x:c>
      <x:c r="D1394" s="72" t="n">
        <x:v>614961210</x:v>
      </x:c>
      <x:c r="E1394" s="49" t="str">
        <x:v>Mechanical Engineering</x:v>
      </x:c>
      <x:c r="F1394" s="73" t="n">
        <x:v>25</x:v>
      </x:c>
      <x:c r="G1394" s="73" t="n">
        <x:v>12</x:v>
      </x:c>
      <x:c r="H1394" s="73"/>
      <x:c r="I1394" s="73" t="n">
        <x:v>13</x:v>
      </x:c>
      <x:c r="J1394" s="73" t="n">
        <x:v>0</x:v>
      </x:c>
      <x:c r="K1394" s="49" t="str">
        <x:v>Un-Aided Linguistic Minority - Hindi</x:v>
      </x:c>
      <x:c r="L1394" s="49" t="str">
        <x:v>MS Seats : 12 + Minority Seats : 13</x:v>
      </x:c>
      <x:c r="M1394" s="49" t="str">
        <x:v>https://dse2025.mahacet.org.in/dse25/admin/allotment/cap2/6149_4.pdf</x:v>
      </x:c>
    </x:row>
    <x:row r="1395">
      <x:c r="A1395" s="49" t="str">
        <x:v>2025-26</x:v>
      </x:c>
      <x:c r="B1395" s="63" t="n">
        <x:v>6149</x:v>
      </x:c>
      <x:c r="C1395" s="49" t="str">
        <x:v>Siddhant College of Engineering, A/p Sudumbare, Tal.Maval, Dist-Pune</x:v>
      </x:c>
      <x:c r="D1395" s="72" t="n">
        <x:v>614984410</x:v>
      </x:c>
      <x:c r="E1395" s="49" t="str">
        <x:v>Electronics and Computer Engineering</x:v>
      </x:c>
      <x:c r="F1395" s="73" t="n">
        <x:v>13</x:v>
      </x:c>
      <x:c r="G1395" s="73" t="n">
        <x:v>6</x:v>
      </x:c>
      <x:c r="H1395" s="73"/>
      <x:c r="I1395" s="73" t="n">
        <x:v>7</x:v>
      </x:c>
      <x:c r="J1395" s="73" t="n">
        <x:v>0</x:v>
      </x:c>
      <x:c r="K1395" s="49" t="str">
        <x:v>Un-Aided Linguistic Minority - Hindi</x:v>
      </x:c>
      <x:c r="L1395" s="49" t="str">
        <x:v>MS Seats : 6 + Minority Seats : 7</x:v>
      </x:c>
      <x:c r="M1395" s="49" t="str">
        <x:v>https://dse2025.mahacet.org.in/dse25/admin/allotment/cap2/6149_4.pdf</x:v>
      </x:c>
    </x:row>
    <x:row r="1396">
      <x:c r="A1396" s="49" t="str">
        <x:v>2025-26</x:v>
      </x:c>
      <x:c r="B1396" s="63" t="n">
        <x:v>6149</x:v>
      </x:c>
      <x:c r="C1396" s="49" t="str">
        <x:v>Siddhant College of Engineering, A/p Sudumbare, Tal.Maval, Dist-Pune</x:v>
      </x:c>
      <x:c r="D1396" s="72" t="n">
        <x:v>614992110</x:v>
      </x:c>
      <x:c r="E1396" s="49" t="str">
        <x:v>Artificial Intelligence and Machine Learning</x:v>
      </x:c>
      <x:c r="F1396" s="73" t="n">
        <x:v>8</x:v>
      </x:c>
      <x:c r="G1396" s="73" t="n">
        <x:v>3</x:v>
      </x:c>
      <x:c r="H1396" s="73"/>
      <x:c r="I1396" s="73" t="n">
        <x:v>5</x:v>
      </x:c>
      <x:c r="J1396" s="73" t="n">
        <x:v>0</x:v>
      </x:c>
      <x:c r="K1396" s="49" t="str">
        <x:v>Un-Aided Linguistic Minority - Hindi</x:v>
      </x:c>
      <x:c r="L1396" s="49" t="str">
        <x:v>MS Seats : 3 + Minority Seats : 5</x:v>
      </x:c>
      <x:c r="M1396" s="49" t="str">
        <x:v>https://dse2025.mahacet.org.in/dse25/admin/allotment/cap2/6149_4.pdf</x:v>
      </x:c>
    </x:row>
    <x:row r="1397">
      <x:c r="A1397" s="49" t="str">
        <x:v>2025-26</x:v>
      </x:c>
      <x:c r="B1397" s="63" t="n">
        <x:v>6149</x:v>
      </x:c>
      <x:c r="C1397" s="49" t="str">
        <x:v>Siddhant College of Engineering, A/p Sudumbare, Tal.Maval, Dist-Pune</x:v>
      </x:c>
      <x:c r="D1397" s="72" t="n">
        <x:v>614999510</x:v>
      </x:c>
      <x:c r="E1397" s="49" t="str">
        <x:v>Artificial Intelligence and Data Science</x:v>
      </x:c>
      <x:c r="F1397" s="73" t="n">
        <x:v>7</x:v>
      </x:c>
      <x:c r="G1397" s="73" t="n">
        <x:v>3</x:v>
      </x:c>
      <x:c r="H1397" s="73"/>
      <x:c r="I1397" s="73" t="n">
        <x:v>4</x:v>
      </x:c>
      <x:c r="J1397" s="73" t="n">
        <x:v>0</x:v>
      </x:c>
      <x:c r="K1397" s="49" t="str">
        <x:v>Un-Aided Linguistic Minority - Hindi</x:v>
      </x:c>
      <x:c r="L1397" s="49" t="str">
        <x:v>MS Seats : 3 + Minority Seats : 4</x:v>
      </x:c>
      <x:c r="M1397" s="49" t="str">
        <x:v>https://dse2025.mahacet.org.in/dse25/admin/allotment/cap2/6149_4.pdf</x:v>
      </x:c>
    </x:row>
    <x:row r="1398">
      <x:c r="A1398" s="49" t="str">
        <x:v>2025-26</x:v>
      </x:c>
      <x:c r="B1398" s="63" t="n">
        <x:v>6155</x:v>
      </x:c>
      <x:c r="C1398" s="49" t="str">
        <x:v>G.H.Raisoni College of Engineering &amp; Management, Wagholi, Pune</x:v>
      </x:c>
      <x:c r="D1398" s="72" t="n">
        <x:v>615519110</x:v>
      </x:c>
      <x:c r="E1398" s="49" t="str">
        <x:v>Civil Engineering</x:v>
      </x:c>
      <x:c r="F1398" s="73" t="n">
        <x:v>26</x:v>
      </x:c>
      <x:c r="G1398" s="73" t="n">
        <x:v>12</x:v>
      </x:c>
      <x:c r="H1398" s="73"/>
      <x:c r="I1398" s="73" t="n">
        <x:v>14</x:v>
      </x:c>
      <x:c r="J1398" s="73" t="n">
        <x:v>0</x:v>
      </x:c>
      <x:c r="K1398" s="49" t="str">
        <x:v>Un-Aided Autonomous Linguistic Minority - Hindi</x:v>
      </x:c>
      <x:c r="L1398" s="49" t="str">
        <x:v>MS Seats : 12 + Minority Seats : 14</x:v>
      </x:c>
      <x:c r="M1398" s="49" t="str">
        <x:v>https://dse2025.mahacet.org.in/dse25/admin/allotment/cap2/6155_4.pdf</x:v>
      </x:c>
    </x:row>
    <x:row r="1399">
      <x:c r="A1399" s="49" t="str">
        <x:v>2025-26</x:v>
      </x:c>
      <x:c r="B1399" s="63" t="n">
        <x:v>6155</x:v>
      </x:c>
      <x:c r="C1399" s="49" t="str">
        <x:v>G.H.Raisoni College of Engineering &amp; Management, Wagholi, Pune</x:v>
      </x:c>
      <x:c r="D1399" s="72" t="n">
        <x:v>615524510</x:v>
      </x:c>
      <x:c r="E1399" s="49" t="str">
        <x:v>Computer Engineering</x:v>
      </x:c>
      <x:c r="F1399" s="73" t="n">
        <x:v>20</x:v>
      </x:c>
      <x:c r="G1399" s="73" t="n">
        <x:v>9</x:v>
      </x:c>
      <x:c r="H1399" s="73"/>
      <x:c r="I1399" s="73" t="n">
        <x:v>11</x:v>
      </x:c>
      <x:c r="J1399" s="73" t="n">
        <x:v>0</x:v>
      </x:c>
      <x:c r="K1399" s="49" t="str">
        <x:v>Un-Aided Autonomous Linguistic Minority - Hindi</x:v>
      </x:c>
      <x:c r="L1399" s="49" t="str">
        <x:v>MS Seats : 9 + Minority Seats : 11</x:v>
      </x:c>
      <x:c r="M1399" s="49" t="str">
        <x:v>https://dse2025.mahacet.org.in/dse25/admin/allotment/cap2/6155_4.pdf</x:v>
      </x:c>
    </x:row>
    <x:row r="1400">
      <x:c r="A1400" s="49" t="str">
        <x:v>2025-26</x:v>
      </x:c>
      <x:c r="B1400" s="63" t="n">
        <x:v>6155</x:v>
      </x:c>
      <x:c r="C1400" s="49" t="str">
        <x:v>G.H.Raisoni College of Engineering &amp; Management, Wagholi, Pune</x:v>
      </x:c>
      <x:c r="D1400" s="72" t="n">
        <x:v>615524610</x:v>
      </x:c>
      <x:c r="E1400" s="49" t="str">
        <x:v>Information Technology</x:v>
      </x:c>
      <x:c r="F1400" s="73" t="n">
        <x:v>20</x:v>
      </x:c>
      <x:c r="G1400" s="73" t="n">
        <x:v>9</x:v>
      </x:c>
      <x:c r="H1400" s="73"/>
      <x:c r="I1400" s="73" t="n">
        <x:v>11</x:v>
      </x:c>
      <x:c r="J1400" s="73" t="n">
        <x:v>0</x:v>
      </x:c>
      <x:c r="K1400" s="49" t="str">
        <x:v>Un-Aided Autonomous Linguistic Minority - Hindi</x:v>
      </x:c>
      <x:c r="L1400" s="49" t="str">
        <x:v>MS Seats : 9 + Minority Seats : 11</x:v>
      </x:c>
      <x:c r="M1400" s="49" t="str">
        <x:v>https://dse2025.mahacet.org.in/dse25/admin/allotment/cap2/6155_4.pdf</x:v>
      </x:c>
    </x:row>
    <x:row r="1401">
      <x:c r="A1401" s="49" t="str">
        <x:v>2025-26</x:v>
      </x:c>
      <x:c r="B1401" s="63" t="n">
        <x:v>6155</x:v>
      </x:c>
      <x:c r="C1401" s="49" t="str">
        <x:v>G.H.Raisoni College of Engineering &amp; Management, Wagholi, Pune</x:v>
      </x:c>
      <x:c r="D1401" s="72" t="n">
        <x:v>615526010</x:v>
      </x:c>
      <x:c r="E1401" s="49" t="str">
        <x:v>Computer Science and Engineering (Cyber Security)</x:v>
      </x:c>
      <x:c r="F1401" s="73" t="n">
        <x:v>6</x:v>
      </x:c>
      <x:c r="G1401" s="73" t="n">
        <x:v>2</x:v>
      </x:c>
      <x:c r="H1401" s="73"/>
      <x:c r="I1401" s="73" t="n">
        <x:v>4</x:v>
      </x:c>
      <x:c r="J1401" s="73" t="n">
        <x:v>0</x:v>
      </x:c>
      <x:c r="K1401" s="49" t="str">
        <x:v>Un-Aided Autonomous Linguistic Minority - Hindi</x:v>
      </x:c>
      <x:c r="L1401" s="49" t="str">
        <x:v>MS Seats : 2 + Minority Seats : 4</x:v>
      </x:c>
      <x:c r="M1401" s="49" t="str">
        <x:v>https://dse2025.mahacet.org.in/dse25/admin/allotment/cap2/6155_4.pdf</x:v>
      </x:c>
    </x:row>
    <x:row r="1402">
      <x:c r="A1402" s="49" t="str">
        <x:v>2025-26</x:v>
      </x:c>
      <x:c r="B1402" s="63" t="n">
        <x:v>6155</x:v>
      </x:c>
      <x:c r="C1402" s="49" t="str">
        <x:v>G.H.Raisoni College of Engineering &amp; Management, Wagholi, Pune</x:v>
      </x:c>
      <x:c r="D1402" s="72" t="n">
        <x:v>615529310</x:v>
      </x:c>
      <x:c r="E1402" s="49" t="str">
        <x:v>Electrical Engineering</x:v>
      </x:c>
      <x:c r="F1402" s="73" t="n">
        <x:v>36</x:v>
      </x:c>
      <x:c r="G1402" s="73" t="n">
        <x:v>17</x:v>
      </x:c>
      <x:c r="H1402" s="73"/>
      <x:c r="I1402" s="73" t="n">
        <x:v>19</x:v>
      </x:c>
      <x:c r="J1402" s="73" t="n">
        <x:v>0</x:v>
      </x:c>
      <x:c r="K1402" s="49" t="str">
        <x:v>Un-Aided Autonomous Linguistic Minority - Hindi</x:v>
      </x:c>
      <x:c r="L1402" s="49" t="str">
        <x:v>MS Seats : 17 + Minority Seats : 19</x:v>
      </x:c>
      <x:c r="M1402" s="49" t="str">
        <x:v>https://dse2025.mahacet.org.in/dse25/admin/allotment/cap2/6155_4.pdf</x:v>
      </x:c>
    </x:row>
    <x:row r="1403">
      <x:c r="A1403" s="49" t="str">
        <x:v>2025-26</x:v>
      </x:c>
      <x:c r="B1403" s="63" t="n">
        <x:v>6155</x:v>
      </x:c>
      <x:c r="C1403" s="49" t="str">
        <x:v>G.H.Raisoni College of Engineering &amp; Management, Wagholi, Pune</x:v>
      </x:c>
      <x:c r="D1403" s="72" t="n">
        <x:v>615537210</x:v>
      </x:c>
      <x:c r="E1403" s="49" t="str">
        <x:v>Electronics and Telecommunication Engg</x:v>
      </x:c>
      <x:c r="F1403" s="73" t="n">
        <x:v>24</x:v>
      </x:c>
      <x:c r="G1403" s="73" t="n">
        <x:v>11</x:v>
      </x:c>
      <x:c r="H1403" s="73"/>
      <x:c r="I1403" s="73" t="n">
        <x:v>13</x:v>
      </x:c>
      <x:c r="J1403" s="73" t="n">
        <x:v>0</x:v>
      </x:c>
      <x:c r="K1403" s="49" t="str">
        <x:v>Un-Aided Autonomous Linguistic Minority - Hindi</x:v>
      </x:c>
      <x:c r="L1403" s="49" t="str">
        <x:v>MS Seats : 11 + Minority Seats : 13</x:v>
      </x:c>
      <x:c r="M1403" s="49" t="str">
        <x:v>https://dse2025.mahacet.org.in/dse25/admin/allotment/cap2/6155_4.pdf</x:v>
      </x:c>
    </x:row>
    <x:row r="1404">
      <x:c r="A1404" s="49" t="str">
        <x:v>2025-26</x:v>
      </x:c>
      <x:c r="B1404" s="63" t="n">
        <x:v>6155</x:v>
      </x:c>
      <x:c r="C1404" s="49" t="str">
        <x:v>G.H.Raisoni College of Engineering &amp; Management, Wagholi, Pune</x:v>
      </x:c>
      <x:c r="D1404" s="72" t="n">
        <x:v>615561210</x:v>
      </x:c>
      <x:c r="E1404" s="49" t="str">
        <x:v>Mechanical Engineering</x:v>
      </x:c>
      <x:c r="F1404" s="73" t="n">
        <x:v>38</x:v>
      </x:c>
      <x:c r="G1404" s="73" t="n">
        <x:v>18</x:v>
      </x:c>
      <x:c r="H1404" s="73"/>
      <x:c r="I1404" s="73" t="n">
        <x:v>20</x:v>
      </x:c>
      <x:c r="J1404" s="73" t="n">
        <x:v>0</x:v>
      </x:c>
      <x:c r="K1404" s="49" t="str">
        <x:v>Un-Aided Autonomous Linguistic Minority - Hindi</x:v>
      </x:c>
      <x:c r="L1404" s="49" t="str">
        <x:v>MS Seats : 18 + Minority Seats : 20</x:v>
      </x:c>
      <x:c r="M1404" s="49" t="str">
        <x:v>https://dse2025.mahacet.org.in/dse25/admin/allotment/cap2/6155_4.pdf</x:v>
      </x:c>
    </x:row>
    <x:row r="1405">
      <x:c r="A1405" s="49" t="str">
        <x:v>2025-26</x:v>
      </x:c>
      <x:c r="B1405" s="63" t="n">
        <x:v>6155</x:v>
      </x:c>
      <x:c r="C1405" s="49" t="str">
        <x:v>G.H.Raisoni College of Engineering &amp; Management, Wagholi, Pune</x:v>
      </x:c>
      <x:c r="D1405" s="72" t="n">
        <x:v>615591110</x:v>
      </x:c>
      <x:c r="E1405" s="49" t="str">
        <x:v>Computer Science and Engineering(Artificial Intelligence and Machine Learning)</x:v>
      </x:c>
      <x:c r="F1405" s="73" t="n">
        <x:v>12</x:v>
      </x:c>
      <x:c r="G1405" s="73" t="n">
        <x:v>5</x:v>
      </x:c>
      <x:c r="H1405" s="73"/>
      <x:c r="I1405" s="73" t="n">
        <x:v>7</x:v>
      </x:c>
      <x:c r="J1405" s="73" t="n">
        <x:v>0</x:v>
      </x:c>
      <x:c r="K1405" s="49" t="str">
        <x:v>Un-Aided Autonomous Linguistic Minority - Hindi</x:v>
      </x:c>
      <x:c r="L1405" s="49" t="str">
        <x:v>MS Seats : 5 + Minority Seats : 7</x:v>
      </x:c>
      <x:c r="M1405" s="49" t="str">
        <x:v>https://dse2025.mahacet.org.in/dse25/admin/allotment/cap2/6155_4.pdf</x:v>
      </x:c>
    </x:row>
    <x:row r="1406">
      <x:c r="A1406" s="49" t="str">
        <x:v>2025-26</x:v>
      </x:c>
      <x:c r="B1406" s="63" t="n">
        <x:v>6155</x:v>
      </x:c>
      <x:c r="C1406" s="49" t="str">
        <x:v>G.H.Raisoni College of Engineering &amp; Management, Wagholi, Pune</x:v>
      </x:c>
      <x:c r="D1406" s="72" t="n">
        <x:v>615591210</x:v>
      </x:c>
      <x:c r="E1406" s="49" t="str">
        <x:v>Computer Science and Engineering(Data Science)</x:v>
      </x:c>
      <x:c r="F1406" s="73" t="n">
        <x:v>7</x:v>
      </x:c>
      <x:c r="G1406" s="73" t="n">
        <x:v>3</x:v>
      </x:c>
      <x:c r="H1406" s="73"/>
      <x:c r="I1406" s="73" t="n">
        <x:v>4</x:v>
      </x:c>
      <x:c r="J1406" s="73" t="n">
        <x:v>0</x:v>
      </x:c>
      <x:c r="K1406" s="49" t="str">
        <x:v>Un-Aided Autonomous Linguistic Minority - Hindi</x:v>
      </x:c>
      <x:c r="L1406" s="49" t="str">
        <x:v>MS Seats : 3 + Minority Seats : 4</x:v>
      </x:c>
      <x:c r="M1406" s="49" t="str">
        <x:v>https://dse2025.mahacet.org.in/dse25/admin/allotment/cap2/6155_4.pdf</x:v>
      </x:c>
    </x:row>
    <x:row r="1407">
      <x:c r="A1407" s="49" t="str">
        <x:v>2025-26</x:v>
      </x:c>
      <x:c r="B1407" s="63" t="n">
        <x:v>6155</x:v>
      </x:c>
      <x:c r="C1407" s="49" t="str">
        <x:v>G.H.Raisoni College of Engineering &amp; Management, Wagholi, Pune</x:v>
      </x:c>
      <x:c r="D1407" s="72" t="n">
        <x:v>615591310</x:v>
      </x:c>
      <x:c r="E1407" s="49" t="str">
        <x:v>Computer Science and Engineering (Artificial Intelligence)</x:v>
      </x:c>
      <x:c r="F1407" s="73" t="n">
        <x:v>21</x:v>
      </x:c>
      <x:c r="G1407" s="73" t="n">
        <x:v>10</x:v>
      </x:c>
      <x:c r="H1407" s="73"/>
      <x:c r="I1407" s="73" t="n">
        <x:v>11</x:v>
      </x:c>
      <x:c r="J1407" s="73" t="n">
        <x:v>0</x:v>
      </x:c>
      <x:c r="K1407" s="49" t="str">
        <x:v>Un-Aided Autonomous Linguistic Minority - Hindi</x:v>
      </x:c>
      <x:c r="L1407" s="49" t="str">
        <x:v>MS Seats : 10 + Minority Seats : 11</x:v>
      </x:c>
      <x:c r="M1407" s="49" t="str">
        <x:v>https://dse2025.mahacet.org.in/dse25/admin/allotment/cap2/6155_4.pdf</x:v>
      </x:c>
    </x:row>
    <x:row r="1408">
      <x:c r="A1408" s="49" t="str">
        <x:v>2025-26</x:v>
      </x:c>
      <x:c r="B1408" s="63" t="n">
        <x:v>6156</x:v>
      </x:c>
      <x:c r="C1408" s="49" t="str">
        <x:v>Marathwada Mitra Mandal's College of Engineering, Karvenagar, Pune</x:v>
      </x:c>
      <x:c r="D1408" s="72" t="n">
        <x:v>615624510</x:v>
      </x:c>
      <x:c r="E1408" s="49" t="str">
        <x:v>Computer Engineering</x:v>
      </x:c>
      <x:c r="F1408" s="73" t="n">
        <x:v>16</x:v>
      </x:c>
      <x:c r="G1408" s="73" t="n">
        <x:v>13</x:v>
      </x:c>
      <x:c r="H1408" s="73" t="n">
        <x:v>3</x:v>
      </x:c>
      <x:c r="I1408" s="73"/>
      <x:c r="J1408" s="73" t="n">
        <x:v>0</x:v>
      </x:c>
      <x:c r="K1408" s="49" t="str">
        <x:v>Un-Aided Autonomous</x:v>
      </x:c>
      <x:c r="L1408" s="49" t="str">
        <x:v>MS Seats : 13+ EWS : 3</x:v>
      </x:c>
      <x:c r="M1408" s="49" t="str">
        <x:v>https://dse2025.mahacet.org.in/dse25/admin/allotment/cap2/6156_4.pdf</x:v>
      </x:c>
    </x:row>
    <x:row r="1409">
      <x:c r="A1409" s="49" t="str">
        <x:v>2025-26</x:v>
      </x:c>
      <x:c r="B1409" s="63" t="n">
        <x:v>6156</x:v>
      </x:c>
      <x:c r="C1409" s="49" t="str">
        <x:v>Marathwada Mitra Mandal's College of Engineering, Karvenagar, Pune</x:v>
      </x:c>
      <x:c r="D1409" s="72" t="n">
        <x:v>615624610</x:v>
      </x:c>
      <x:c r="E1409" s="49" t="str">
        <x:v>Information Technology</x:v>
      </x:c>
      <x:c r="F1409" s="73" t="n">
        <x:v>17</x:v>
      </x:c>
      <x:c r="G1409" s="73" t="n">
        <x:v>13</x:v>
      </x:c>
      <x:c r="H1409" s="73" t="n">
        <x:v>4</x:v>
      </x:c>
      <x:c r="I1409" s="73"/>
      <x:c r="J1409" s="73" t="n">
        <x:v>0</x:v>
      </x:c>
      <x:c r="K1409" s="49" t="str">
        <x:v>Un-Aided Autonomous</x:v>
      </x:c>
      <x:c r="L1409" s="49" t="str">
        <x:v>MS Seats : 13+ EWS : 4</x:v>
      </x:c>
      <x:c r="M1409" s="49" t="str">
        <x:v>https://dse2025.mahacet.org.in/dse25/admin/allotment/cap2/6156_4.pdf</x:v>
      </x:c>
    </x:row>
    <x:row r="1410">
      <x:c r="A1410" s="49" t="str">
        <x:v>2025-26</x:v>
      </x:c>
      <x:c r="B1410" s="63" t="n">
        <x:v>6156</x:v>
      </x:c>
      <x:c r="C1410" s="49" t="str">
        <x:v>Marathwada Mitra Mandal's College of Engineering, Karvenagar, Pune</x:v>
      </x:c>
      <x:c r="D1410" s="72" t="n">
        <x:v>615629310</x:v>
      </x:c>
      <x:c r="E1410" s="49" t="str">
        <x:v>Electrical Engineering</x:v>
      </x:c>
      <x:c r="F1410" s="73" t="n">
        <x:v>15</x:v>
      </x:c>
      <x:c r="G1410" s="73" t="n">
        <x:v>14</x:v>
      </x:c>
      <x:c r="H1410" s="73" t="n">
        <x:v>1</x:v>
      </x:c>
      <x:c r="I1410" s="73"/>
      <x:c r="J1410" s="73" t="n">
        <x:v>0</x:v>
      </x:c>
      <x:c r="K1410" s="49" t="str">
        <x:v>Un-Aided Autonomous</x:v>
      </x:c>
      <x:c r="L1410" s="49" t="str">
        <x:v>MS Seats : 14+ EWS : 1</x:v>
      </x:c>
      <x:c r="M1410" s="49" t="str">
        <x:v>https://dse2025.mahacet.org.in/dse25/admin/allotment/cap2/6156_4.pdf</x:v>
      </x:c>
    </x:row>
    <x:row r="1411">
      <x:c r="A1411" s="49" t="str">
        <x:v>2025-26</x:v>
      </x:c>
      <x:c r="B1411" s="63" t="n">
        <x:v>6156</x:v>
      </x:c>
      <x:c r="C1411" s="49" t="str">
        <x:v>Marathwada Mitra Mandal's College of Engineering, Karvenagar, Pune</x:v>
      </x:c>
      <x:c r="D1411" s="72" t="n">
        <x:v>615637210</x:v>
      </x:c>
      <x:c r="E1411" s="49" t="str">
        <x:v>Electronics and Telecommunication Engg</x:v>
      </x:c>
      <x:c r="F1411" s="73" t="n">
        <x:v>16</x:v>
      </x:c>
      <x:c r="G1411" s="73" t="n">
        <x:v>13</x:v>
      </x:c>
      <x:c r="H1411" s="73" t="n">
        <x:v>3</x:v>
      </x:c>
      <x:c r="I1411" s="73"/>
      <x:c r="J1411" s="73" t="n">
        <x:v>0</x:v>
      </x:c>
      <x:c r="K1411" s="49" t="str">
        <x:v>Un-Aided Autonomous</x:v>
      </x:c>
      <x:c r="L1411" s="49" t="str">
        <x:v>MS Seats : 13+ EWS : 3</x:v>
      </x:c>
      <x:c r="M1411" s="49" t="str">
        <x:v>https://dse2025.mahacet.org.in/dse25/admin/allotment/cap2/6156_4.pdf</x:v>
      </x:c>
    </x:row>
    <x:row r="1412">
      <x:c r="A1412" s="49" t="str">
        <x:v>2025-26</x:v>
      </x:c>
      <x:c r="B1412" s="63" t="n">
        <x:v>6156</x:v>
      </x:c>
      <x:c r="C1412" s="49" t="str">
        <x:v>Marathwada Mitra Mandal's College of Engineering, Karvenagar, Pune</x:v>
      </x:c>
      <x:c r="D1412" s="72" t="n">
        <x:v>615661210</x:v>
      </x:c>
      <x:c r="E1412" s="49" t="str">
        <x:v>Mechanical Engineering</x:v>
      </x:c>
      <x:c r="F1412" s="73" t="n">
        <x:v>20</x:v>
      </x:c>
      <x:c r="G1412" s="73" t="n">
        <x:v>17</x:v>
      </x:c>
      <x:c r="H1412" s="73" t="n">
        <x:v>3</x:v>
      </x:c>
      <x:c r="I1412" s="73"/>
      <x:c r="J1412" s="73" t="n">
        <x:v>0</x:v>
      </x:c>
      <x:c r="K1412" s="49" t="str">
        <x:v>Un-Aided Autonomous</x:v>
      </x:c>
      <x:c r="L1412" s="49" t="str">
        <x:v>MS Seats : 17+ EWS : 3</x:v>
      </x:c>
      <x:c r="M1412" s="49" t="str">
        <x:v>https://dse2025.mahacet.org.in/dse25/admin/allotment/cap2/6156_4.pdf</x:v>
      </x:c>
    </x:row>
    <x:row r="1413">
      <x:c r="A1413" s="49" t="str">
        <x:v>2025-26</x:v>
      </x:c>
      <x:c r="B1413" s="63" t="n">
        <x:v>6156</x:v>
      </x:c>
      <x:c r="C1413" s="49" t="str">
        <x:v>Marathwada Mitra Mandal's College of Engineering, Karvenagar, Pune</x:v>
      </x:c>
      <x:c r="D1413" s="72" t="n">
        <x:v>615699510</x:v>
      </x:c>
      <x:c r="E1413" s="49" t="str">
        <x:v>Artificial Intelligence and Data Science</x:v>
      </x:c>
      <x:c r="F1413" s="73" t="n">
        <x:v>17</x:v>
      </x:c>
      <x:c r="G1413" s="73" t="n">
        <x:v>13</x:v>
      </x:c>
      <x:c r="H1413" s="73" t="n">
        <x:v>4</x:v>
      </x:c>
      <x:c r="I1413" s="73"/>
      <x:c r="J1413" s="73" t="n">
        <x:v>0</x:v>
      </x:c>
      <x:c r="K1413" s="49" t="str">
        <x:v>Un-Aided Autonomous</x:v>
      </x:c>
      <x:c r="L1413" s="49" t="str">
        <x:v>MS Seats : 13+ EWS : 4</x:v>
      </x:c>
      <x:c r="M1413" s="49" t="str">
        <x:v>https://dse2025.mahacet.org.in/dse25/admin/allotment/cap2/6156_4.pdf</x:v>
      </x:c>
    </x:row>
    <x:row r="1414">
      <x:c r="A1414" s="49" t="str">
        <x:v>2025-26</x:v>
      </x:c>
      <x:c r="B1414" s="63" t="n">
        <x:v>6175</x:v>
      </x:c>
      <x:c r="C1414" s="49" t="str">
        <x:v>Pimpri Chinchwad Education Trust, Pimpri Chinchwad College of Engineering, Pune</x:v>
      </x:c>
      <x:c r="D1414" s="72" t="n">
        <x:v>617519110</x:v>
      </x:c>
      <x:c r="E1414" s="49" t="str">
        <x:v>Civil Engineering</x:v>
      </x:c>
      <x:c r="F1414" s="73" t="n">
        <x:v>13</x:v>
      </x:c>
      <x:c r="G1414" s="73" t="n">
        <x:v>9</x:v>
      </x:c>
      <x:c r="H1414" s="73" t="n">
        <x:v>4</x:v>
      </x:c>
      <x:c r="I1414" s="73"/>
      <x:c r="J1414" s="73" t="n">
        <x:v>0</x:v>
      </x:c>
      <x:c r="K1414" s="49" t="str">
        <x:v>Un-Aided Autonomous</x:v>
      </x:c>
      <x:c r="L1414" s="49" t="str">
        <x:v>MS Seats : 9+ EWS : 4</x:v>
      </x:c>
      <x:c r="M1414" s="49" t="str">
        <x:v>https://dse2025.mahacet.org.in/dse25/admin/allotment/cap2/6175_4.pdf</x:v>
      </x:c>
    </x:row>
    <x:row r="1415">
      <x:c r="A1415" s="49" t="str">
        <x:v>2025-26</x:v>
      </x:c>
      <x:c r="B1415" s="63" t="n">
        <x:v>6175</x:v>
      </x:c>
      <x:c r="C1415" s="49" t="str">
        <x:v>Pimpri Chinchwad Education Trust, Pimpri Chinchwad College of Engineering, Pune</x:v>
      </x:c>
      <x:c r="D1415" s="72" t="n">
        <x:v>617524510</x:v>
      </x:c>
      <x:c r="E1415" s="49" t="str">
        <x:v>Computer Engineering</x:v>
      </x:c>
      <x:c r="F1415" s="73" t="n">
        <x:v>32</x:v>
      </x:c>
      <x:c r="G1415" s="73" t="n">
        <x:v>27</x:v>
      </x:c>
      <x:c r="H1415" s="73" t="n">
        <x:v>5</x:v>
      </x:c>
      <x:c r="I1415" s="73"/>
      <x:c r="J1415" s="73" t="n">
        <x:v>0</x:v>
      </x:c>
      <x:c r="K1415" s="49" t="str">
        <x:v>Un-Aided Autonomous</x:v>
      </x:c>
      <x:c r="L1415" s="49" t="str">
        <x:v>MS Seats : 27+ EWS : 5</x:v>
      </x:c>
      <x:c r="M1415" s="49" t="str">
        <x:v>https://dse2025.mahacet.org.in/dse25/admin/allotment/cap2/6175_4.pdf</x:v>
      </x:c>
    </x:row>
    <x:row r="1416">
      <x:c r="A1416" s="49" t="str">
        <x:v>2025-26</x:v>
      </x:c>
      <x:c r="B1416" s="63" t="n">
        <x:v>6175</x:v>
      </x:c>
      <x:c r="C1416" s="49" t="str">
        <x:v>Pimpri Chinchwad Education Trust, Pimpri Chinchwad College of Engineering, Pune</x:v>
      </x:c>
      <x:c r="D1416" s="72" t="n">
        <x:v>617524590</x:v>
      </x:c>
      <x:c r="E1416" s="49" t="str">
        <x:v>Computer Engineering</x:v>
      </x:c>
      <x:c r="F1416" s="73" t="n">
        <x:v>10</x:v>
      </x:c>
      <x:c r="G1416" s="73" t="n">
        <x:v>7</x:v>
      </x:c>
      <x:c r="H1416" s="73" t="n">
        <x:v>3</x:v>
      </x:c>
      <x:c r="I1416" s="73"/>
      <x:c r="J1416" s="73" t="n">
        <x:v>0</x:v>
      </x:c>
      <x:c r="K1416" s="49" t="str">
        <x:v>Un-Aided Autonomous</x:v>
      </x:c>
      <x:c r="L1416" s="49" t="str">
        <x:v>MS Seats : 7+ EWS : 3</x:v>
      </x:c>
      <x:c r="M1416" s="49" t="str">
        <x:v>https://dse2025.mahacet.org.in/dse25/admin/allotment/cap2/6175_4.pdf</x:v>
      </x:c>
    </x:row>
    <x:row r="1417">
      <x:c r="A1417" s="49" t="str">
        <x:v>2025-26</x:v>
      </x:c>
      <x:c r="B1417" s="63" t="n">
        <x:v>6175</x:v>
      </x:c>
      <x:c r="C1417" s="49" t="str">
        <x:v>Pimpri Chinchwad Education Trust, Pimpri Chinchwad College of Engineering, Pune</x:v>
      </x:c>
      <x:c r="D1417" s="72" t="n">
        <x:v>617524610</x:v>
      </x:c>
      <x:c r="E1417" s="49" t="str">
        <x:v>Information Technology</x:v>
      </x:c>
      <x:c r="F1417" s="73" t="n">
        <x:v>15</x:v>
      </x:c>
      <x:c r="G1417" s="73" t="n">
        <x:v>13</x:v>
      </x:c>
      <x:c r="H1417" s="73" t="n">
        <x:v>2</x:v>
      </x:c>
      <x:c r="I1417" s="73"/>
      <x:c r="J1417" s="73" t="n">
        <x:v>0</x:v>
      </x:c>
      <x:c r="K1417" s="49" t="str">
        <x:v>Un-Aided Autonomous</x:v>
      </x:c>
      <x:c r="L1417" s="49" t="str">
        <x:v>MS Seats : 13+ EWS : 2</x:v>
      </x:c>
      <x:c r="M1417" s="49" t="str">
        <x:v>https://dse2025.mahacet.org.in/dse25/admin/allotment/cap2/6175_4.pdf</x:v>
      </x:c>
    </x:row>
    <x:row r="1418">
      <x:c r="A1418" s="49" t="str">
        <x:v>2025-26</x:v>
      </x:c>
      <x:c r="B1418" s="63" t="n">
        <x:v>6175</x:v>
      </x:c>
      <x:c r="C1418" s="49" t="str">
        <x:v>Pimpri Chinchwad Education Trust, Pimpri Chinchwad College of Engineering, Pune</x:v>
      </x:c>
      <x:c r="D1418" s="72" t="n">
        <x:v>617537210</x:v>
      </x:c>
      <x:c r="E1418" s="49" t="str">
        <x:v>Electronics and Telecommunication Engg</x:v>
      </x:c>
      <x:c r="F1418" s="73" t="n">
        <x:v>25</x:v>
      </x:c>
      <x:c r="G1418" s="73" t="n">
        <x:v>21</x:v>
      </x:c>
      <x:c r="H1418" s="73" t="n">
        <x:v>4</x:v>
      </x:c>
      <x:c r="I1418" s="73"/>
      <x:c r="J1418" s="73" t="n">
        <x:v>0</x:v>
      </x:c>
      <x:c r="K1418" s="49" t="str">
        <x:v>Un-Aided Autonomous</x:v>
      </x:c>
      <x:c r="L1418" s="49" t="str">
        <x:v>MS Seats : 21+ EWS : 4</x:v>
      </x:c>
      <x:c r="M1418" s="49" t="str">
        <x:v>https://dse2025.mahacet.org.in/dse25/admin/allotment/cap2/6175_4.pdf</x:v>
      </x:c>
    </x:row>
    <x:row r="1419">
      <x:c r="A1419" s="49" t="str">
        <x:v>2025-26</x:v>
      </x:c>
      <x:c r="B1419" s="63" t="n">
        <x:v>6175</x:v>
      </x:c>
      <x:c r="C1419" s="49" t="str">
        <x:v>Pimpri Chinchwad Education Trust, Pimpri Chinchwad College of Engineering, Pune</x:v>
      </x:c>
      <x:c r="D1419" s="72" t="n">
        <x:v>617561210</x:v>
      </x:c>
      <x:c r="E1419" s="49" t="str">
        <x:v>Mechanical Engineering</x:v>
      </x:c>
      <x:c r="F1419" s="73" t="n">
        <x:v>26</x:v>
      </x:c>
      <x:c r="G1419" s="73" t="n">
        <x:v>24</x:v>
      </x:c>
      <x:c r="H1419" s="73" t="n">
        <x:v>2</x:v>
      </x:c>
      <x:c r="I1419" s="73"/>
      <x:c r="J1419" s="73" t="n">
        <x:v>0</x:v>
      </x:c>
      <x:c r="K1419" s="49" t="str">
        <x:v>Un-Aided Autonomous</x:v>
      </x:c>
      <x:c r="L1419" s="49" t="str">
        <x:v>MS Seats : 24+ EWS : 2</x:v>
      </x:c>
      <x:c r="M1419" s="49" t="str">
        <x:v>https://dse2025.mahacet.org.in/dse25/admin/allotment/cap2/6175_4.pdf</x:v>
      </x:c>
    </x:row>
    <x:row r="1420">
      <x:c r="A1420" s="49" t="str">
        <x:v>2025-26</x:v>
      </x:c>
      <x:c r="B1420" s="63" t="n">
        <x:v>6175</x:v>
      </x:c>
      <x:c r="C1420" s="49" t="str">
        <x:v>Pimpri Chinchwad Education Trust, Pimpri Chinchwad College of Engineering, Pune</x:v>
      </x:c>
      <x:c r="D1420" s="72" t="n">
        <x:v>617591110</x:v>
      </x:c>
      <x:c r="E1420" s="49" t="str">
        <x:v>Computer Science and Engineering(Artificial Intelligence and Machine Learning)</x:v>
      </x:c>
      <x:c r="F1420" s="73" t="n">
        <x:v>16</x:v>
      </x:c>
      <x:c r="G1420" s="73" t="n">
        <x:v>13</x:v>
      </x:c>
      <x:c r="H1420" s="73" t="n">
        <x:v>3</x:v>
      </x:c>
      <x:c r="I1420" s="73"/>
      <x:c r="J1420" s="73" t="n">
        <x:v>0</x:v>
      </x:c>
      <x:c r="K1420" s="49" t="str">
        <x:v>Un-Aided Autonomous</x:v>
      </x:c>
      <x:c r="L1420" s="49" t="str">
        <x:v>MS Seats : 13+ EWS : 3</x:v>
      </x:c>
      <x:c r="M1420" s="49" t="str">
        <x:v>https://dse2025.mahacet.org.in/dse25/admin/allotment/cap2/6175_4.pdf</x:v>
      </x:c>
    </x:row>
    <x:row r="1421">
      <x:c r="A1421" s="49" t="str">
        <x:v>2025-26</x:v>
      </x:c>
      <x:c r="B1421" s="63" t="n">
        <x:v>6177</x:v>
      </x:c>
      <x:c r="C1421" s="49" t="str">
        <x:v>Sinhgad College of Engineering, Vadgaon (BK), Pune</x:v>
      </x:c>
      <x:c r="D1421" s="72" t="n">
        <x:v>617708210</x:v>
      </x:c>
      <x:c r="E1421" s="49" t="str">
        <x:v>Bio Technology</x:v>
      </x:c>
      <x:c r="F1421" s="73" t="n">
        <x:v>19</x:v>
      </x:c>
      <x:c r="G1421" s="73" t="n">
        <x:v>15</x:v>
      </x:c>
      <x:c r="H1421" s="73" t="n">
        <x:v>4</x:v>
      </x:c>
      <x:c r="I1421" s="73"/>
      <x:c r="J1421" s="73" t="n">
        <x:v>0</x:v>
      </x:c>
      <x:c r="K1421" s="49" t="str">
        <x:v>Un-Aided</x:v>
      </x:c>
      <x:c r="L1421" s="49" t="str">
        <x:v>MS Seats : 15+ EWS : 4</x:v>
      </x:c>
      <x:c r="M1421" s="49" t="str">
        <x:v>https://dse2025.mahacet.org.in/dse25/admin/allotment/cap2/6177_4.pdf</x:v>
      </x:c>
    </x:row>
    <x:row r="1422">
      <x:c r="A1422" s="49" t="str">
        <x:v>2025-26</x:v>
      </x:c>
      <x:c r="B1422" s="63" t="n">
        <x:v>6177</x:v>
      </x:c>
      <x:c r="C1422" s="49" t="str">
        <x:v>Sinhgad College of Engineering, Vadgaon (BK), Pune</x:v>
      </x:c>
      <x:c r="D1422" s="72" t="n">
        <x:v>617719110</x:v>
      </x:c>
      <x:c r="E1422" s="49" t="str">
        <x:v>Civil Engineering</x:v>
      </x:c>
      <x:c r="F1422" s="73" t="n">
        <x:v>60</x:v>
      </x:c>
      <x:c r="G1422" s="73" t="n">
        <x:v>53</x:v>
      </x:c>
      <x:c r="H1422" s="73" t="n">
        <x:v>7</x:v>
      </x:c>
      <x:c r="I1422" s="73"/>
      <x:c r="J1422" s="73" t="n">
        <x:v>0</x:v>
      </x:c>
      <x:c r="K1422" s="49" t="str">
        <x:v>Un-Aided</x:v>
      </x:c>
      <x:c r="L1422" s="49" t="str">
        <x:v>MS Seats : 53+ EWS : 7</x:v>
      </x:c>
      <x:c r="M1422" s="49" t="str">
        <x:v>https://dse2025.mahacet.org.in/dse25/admin/allotment/cap2/6177_4.pdf</x:v>
      </x:c>
    </x:row>
    <x:row r="1423">
      <x:c r="A1423" s="49" t="str">
        <x:v>2025-26</x:v>
      </x:c>
      <x:c r="B1423" s="63" t="n">
        <x:v>6177</x:v>
      </x:c>
      <x:c r="C1423" s="49" t="str">
        <x:v>Sinhgad College of Engineering, Vadgaon (BK), Pune</x:v>
      </x:c>
      <x:c r="D1423" s="72" t="n">
        <x:v>617724510</x:v>
      </x:c>
      <x:c r="E1423" s="49" t="str">
        <x:v>Computer Engineering</x:v>
      </x:c>
      <x:c r="F1423" s="73" t="n">
        <x:v>26</x:v>
      </x:c>
      <x:c r="G1423" s="73" t="n">
        <x:v>23</x:v>
      </x:c>
      <x:c r="H1423" s="73" t="n">
        <x:v>3</x:v>
      </x:c>
      <x:c r="I1423" s="73"/>
      <x:c r="J1423" s="73" t="n">
        <x:v>0</x:v>
      </x:c>
      <x:c r="K1423" s="49" t="str">
        <x:v>Un-Aided</x:v>
      </x:c>
      <x:c r="L1423" s="49" t="str">
        <x:v>MS Seats : 23+ EWS : 3</x:v>
      </x:c>
      <x:c r="M1423" s="49" t="str">
        <x:v>https://dse2025.mahacet.org.in/dse25/admin/allotment/cap2/6177_4.pdf</x:v>
      </x:c>
    </x:row>
    <x:row r="1424">
      <x:c r="A1424" s="49" t="str">
        <x:v>2025-26</x:v>
      </x:c>
      <x:c r="B1424" s="63" t="n">
        <x:v>6177</x:v>
      </x:c>
      <x:c r="C1424" s="49" t="str">
        <x:v>Sinhgad College of Engineering, Vadgaon (BK), Pune</x:v>
      </x:c>
      <x:c r="D1424" s="72" t="n">
        <x:v>617724610</x:v>
      </x:c>
      <x:c r="E1424" s="49" t="str">
        <x:v>Information Technology</x:v>
      </x:c>
      <x:c r="F1424" s="73" t="n">
        <x:v>17</x:v>
      </x:c>
      <x:c r="G1424" s="73" t="n">
        <x:v>13</x:v>
      </x:c>
      <x:c r="H1424" s="73" t="n">
        <x:v>4</x:v>
      </x:c>
      <x:c r="I1424" s="73"/>
      <x:c r="J1424" s="73" t="n">
        <x:v>0</x:v>
      </x:c>
      <x:c r="K1424" s="49" t="str">
        <x:v>Un-Aided</x:v>
      </x:c>
      <x:c r="L1424" s="49" t="str">
        <x:v>MS Seats : 13+ EWS : 4</x:v>
      </x:c>
      <x:c r="M1424" s="49" t="str">
        <x:v>https://dse2025.mahacet.org.in/dse25/admin/allotment/cap2/6177_4.pdf</x:v>
      </x:c>
    </x:row>
    <x:row r="1425">
      <x:c r="A1425" s="49" t="str">
        <x:v>2025-26</x:v>
      </x:c>
      <x:c r="B1425" s="63" t="n">
        <x:v>6177</x:v>
      </x:c>
      <x:c r="C1425" s="49" t="str">
        <x:v>Sinhgad College of Engineering, Vadgaon (BK), Pune</x:v>
      </x:c>
      <x:c r="D1425" s="72" t="n">
        <x:v>617737210</x:v>
      </x:c>
      <x:c r="E1425" s="49" t="str">
        <x:v>Electronics and Telecommunication Engg</x:v>
      </x:c>
      <x:c r="F1425" s="73" t="n">
        <x:v>34</x:v>
      </x:c>
      <x:c r="G1425" s="73" t="n">
        <x:v>30</x:v>
      </x:c>
      <x:c r="H1425" s="73" t="n">
        <x:v>4</x:v>
      </x:c>
      <x:c r="I1425" s="73"/>
      <x:c r="J1425" s="73" t="n">
        <x:v>0</x:v>
      </x:c>
      <x:c r="K1425" s="49" t="str">
        <x:v>Un-Aided</x:v>
      </x:c>
      <x:c r="L1425" s="49" t="str">
        <x:v>MS Seats : 30+ EWS : 4</x:v>
      </x:c>
      <x:c r="M1425" s="49" t="str">
        <x:v>https://dse2025.mahacet.org.in/dse25/admin/allotment/cap2/6177_4.pdf</x:v>
      </x:c>
    </x:row>
    <x:row r="1426">
      <x:c r="A1426" s="49" t="str">
        <x:v>2025-26</x:v>
      </x:c>
      <x:c r="B1426" s="63" t="n">
        <x:v>6177</x:v>
      </x:c>
      <x:c r="C1426" s="49" t="str">
        <x:v>Sinhgad College of Engineering, Vadgaon (BK), Pune</x:v>
      </x:c>
      <x:c r="D1426" s="72" t="n">
        <x:v>617750710</x:v>
      </x:c>
      <x:c r="E1426" s="49" t="str">
        <x:v>Chemical Engineering</x:v>
      </x:c>
      <x:c r="F1426" s="73" t="n">
        <x:v>14</x:v>
      </x:c>
      <x:c r="G1426" s="73" t="n">
        <x:v>13</x:v>
      </x:c>
      <x:c r="H1426" s="73" t="n">
        <x:v>1</x:v>
      </x:c>
      <x:c r="I1426" s="73"/>
      <x:c r="J1426" s="73" t="n">
        <x:v>0</x:v>
      </x:c>
      <x:c r="K1426" s="49" t="str">
        <x:v>Un-Aided</x:v>
      </x:c>
      <x:c r="L1426" s="49" t="str">
        <x:v>MS Seats : 13+ EWS : 1</x:v>
      </x:c>
      <x:c r="M1426" s="49" t="str">
        <x:v>https://dse2025.mahacet.org.in/dse25/admin/allotment/cap2/6177_4.pdf</x:v>
      </x:c>
    </x:row>
    <x:row r="1427">
      <x:c r="A1427" s="49" t="str">
        <x:v>2025-26</x:v>
      </x:c>
      <x:c r="B1427" s="63" t="n">
        <x:v>6177</x:v>
      </x:c>
      <x:c r="C1427" s="49" t="str">
        <x:v>Sinhgad College of Engineering, Vadgaon (BK), Pune</x:v>
      </x:c>
      <x:c r="D1427" s="72" t="n">
        <x:v>617761210</x:v>
      </x:c>
      <x:c r="E1427" s="49" t="str">
        <x:v>Mechanical Engineering</x:v>
      </x:c>
      <x:c r="F1427" s="73" t="n">
        <x:v>77</x:v>
      </x:c>
      <x:c r="G1427" s="73" t="n">
        <x:v>68</x:v>
      </x:c>
      <x:c r="H1427" s="73" t="n">
        <x:v>9</x:v>
      </x:c>
      <x:c r="I1427" s="73"/>
      <x:c r="J1427" s="73" t="n">
        <x:v>0</x:v>
      </x:c>
      <x:c r="K1427" s="49" t="str">
        <x:v>Un-Aided</x:v>
      </x:c>
      <x:c r="L1427" s="49" t="str">
        <x:v>MS Seats : 68+ EWS : 9</x:v>
      </x:c>
      <x:c r="M1427" s="49" t="str">
        <x:v>https://dse2025.mahacet.org.in/dse25/admin/allotment/cap2/6177_4.pdf</x:v>
      </x:c>
    </x:row>
    <x:row r="1428">
      <x:c r="A1428" s="49" t="str">
        <x:v>2025-26</x:v>
      </x:c>
      <x:c r="B1428" s="63" t="n">
        <x:v>6178</x:v>
      </x:c>
      <x:c r="C1428" s="49" t="str">
        <x:v>Sinhgad Technical Education Society's Smt. Kashibai Navale College of Engineering,Vadgaon,Pune</x:v>
      </x:c>
      <x:c r="D1428" s="72" t="n">
        <x:v>617824510</x:v>
      </x:c>
      <x:c r="E1428" s="49" t="str">
        <x:v>Computer Engineering</x:v>
      </x:c>
      <x:c r="F1428" s="73" t="n">
        <x:v>39</x:v>
      </x:c>
      <x:c r="G1428" s="73" t="n">
        <x:v>34</x:v>
      </x:c>
      <x:c r="H1428" s="73" t="n">
        <x:v>5</x:v>
      </x:c>
      <x:c r="I1428" s="73"/>
      <x:c r="J1428" s="73" t="n">
        <x:v>0</x:v>
      </x:c>
      <x:c r="K1428" s="49" t="str">
        <x:v>Un-Aided</x:v>
      </x:c>
      <x:c r="L1428" s="49" t="str">
        <x:v>MS Seats : 34+ EWS : 5</x:v>
      </x:c>
      <x:c r="M1428" s="49" t="str">
        <x:v>https://dse2025.mahacet.org.in/dse25/admin/allotment/cap2/6178_4.pdf</x:v>
      </x:c>
    </x:row>
    <x:row r="1429">
      <x:c r="A1429" s="49" t="str">
        <x:v>2025-26</x:v>
      </x:c>
      <x:c r="B1429" s="63" t="n">
        <x:v>6178</x:v>
      </x:c>
      <x:c r="C1429" s="49" t="str">
        <x:v>Sinhgad Technical Education Society's Smt. Kashibai Navale College of Engineering,Vadgaon,Pune</x:v>
      </x:c>
      <x:c r="D1429" s="72" t="n">
        <x:v>617824610</x:v>
      </x:c>
      <x:c r="E1429" s="49" t="str">
        <x:v>Information Technology</x:v>
      </x:c>
      <x:c r="F1429" s="73" t="n">
        <x:v>16</x:v>
      </x:c>
      <x:c r="G1429" s="73" t="n">
        <x:v>13</x:v>
      </x:c>
      <x:c r="H1429" s="73" t="n">
        <x:v>3</x:v>
      </x:c>
      <x:c r="I1429" s="73"/>
      <x:c r="J1429" s="73" t="n">
        <x:v>0</x:v>
      </x:c>
      <x:c r="K1429" s="49" t="str">
        <x:v>Un-Aided</x:v>
      </x:c>
      <x:c r="L1429" s="49" t="str">
        <x:v>MS Seats : 13+ EWS : 3</x:v>
      </x:c>
      <x:c r="M1429" s="49" t="str">
        <x:v>https://dse2025.mahacet.org.in/dse25/admin/allotment/cap2/6178_4.pdf</x:v>
      </x:c>
    </x:row>
    <x:row r="1430">
      <x:c r="A1430" s="49" t="str">
        <x:v>2025-26</x:v>
      </x:c>
      <x:c r="B1430" s="63" t="n">
        <x:v>6178</x:v>
      </x:c>
      <x:c r="C1430" s="49" t="str">
        <x:v>Sinhgad Technical Education Society's Smt. Kashibai Navale College of Engineering,Vadgaon,Pune</x:v>
      </x:c>
      <x:c r="D1430" s="72" t="n">
        <x:v>617837210</x:v>
      </x:c>
      <x:c r="E1430" s="49" t="str">
        <x:v>Electronics and Telecommunication Engg</x:v>
      </x:c>
      <x:c r="F1430" s="73" t="n">
        <x:v>43</x:v>
      </x:c>
      <x:c r="G1430" s="73" t="n">
        <x:v>38</x:v>
      </x:c>
      <x:c r="H1430" s="73" t="n">
        <x:v>5</x:v>
      </x:c>
      <x:c r="I1430" s="73"/>
      <x:c r="J1430" s="73" t="n">
        <x:v>0</x:v>
      </x:c>
      <x:c r="K1430" s="49" t="str">
        <x:v>Un-Aided</x:v>
      </x:c>
      <x:c r="L1430" s="49" t="str">
        <x:v>MS Seats : 38+ EWS : 5</x:v>
      </x:c>
      <x:c r="M1430" s="49" t="str">
        <x:v>https://dse2025.mahacet.org.in/dse25/admin/allotment/cap2/6178_4.pdf</x:v>
      </x:c>
    </x:row>
    <x:row r="1431">
      <x:c r="A1431" s="49" t="str">
        <x:v>2025-26</x:v>
      </x:c>
      <x:c r="B1431" s="63" t="n">
        <x:v>6178</x:v>
      </x:c>
      <x:c r="C1431" s="49" t="str">
        <x:v>Sinhgad Technical Education Society's Smt. Kashibai Navale College of Engineering,Vadgaon,Pune</x:v>
      </x:c>
      <x:c r="D1431" s="72" t="n">
        <x:v>617861210</x:v>
      </x:c>
      <x:c r="E1431" s="49" t="str">
        <x:v>Mechanical Engineering</x:v>
      </x:c>
      <x:c r="F1431" s="73" t="n">
        <x:v>87</x:v>
      </x:c>
      <x:c r="G1431" s="73" t="n">
        <x:v>64</x:v>
      </x:c>
      <x:c r="H1431" s="73" t="n">
        <x:v>23</x:v>
      </x:c>
      <x:c r="I1431" s="73"/>
      <x:c r="J1431" s="73" t="n">
        <x:v>0</x:v>
      </x:c>
      <x:c r="K1431" s="49" t="str">
        <x:v>Un-Aided</x:v>
      </x:c>
      <x:c r="L1431" s="49" t="str">
        <x:v>MS Seats : 64+ EWS : 23</x:v>
      </x:c>
      <x:c r="M1431" s="49" t="str">
        <x:v>https://dse2025.mahacet.org.in/dse25/admin/allotment/cap2/6178_4.pdf</x:v>
      </x:c>
    </x:row>
    <x:row r="1432">
      <x:c r="A1432" s="49" t="str">
        <x:v>2025-26</x:v>
      </x:c>
      <x:c r="B1432" s="63" t="n">
        <x:v>6179</x:v>
      </x:c>
      <x:c r="C1432" s="49" t="str">
        <x:v>Indira College of Engineering &amp; Management, Pune</x:v>
      </x:c>
      <x:c r="D1432" s="72" t="n">
        <x:v>617924510</x:v>
      </x:c>
      <x:c r="E1432" s="49" t="str">
        <x:v>Computer Engineering</x:v>
      </x:c>
      <x:c r="F1432" s="73" t="n">
        <x:v>22</x:v>
      </x:c>
      <x:c r="G1432" s="73" t="n">
        <x:v>17</x:v>
      </x:c>
      <x:c r="H1432" s="73" t="n">
        <x:v>5</x:v>
      </x:c>
      <x:c r="I1432" s="73"/>
      <x:c r="J1432" s="73" t="n">
        <x:v>0</x:v>
      </x:c>
      <x:c r="K1432" s="49" t="str">
        <x:v>Un-Aided Autonomous</x:v>
      </x:c>
      <x:c r="L1432" s="49" t="str">
        <x:v>MS Seats : 17+ EWS : 5</x:v>
      </x:c>
      <x:c r="M1432" s="49" t="str">
        <x:v>https://dse2025.mahacet.org.in/dse25/admin/allotment/cap2/6179_4.pdf</x:v>
      </x:c>
    </x:row>
    <x:row r="1433">
      <x:c r="A1433" s="49" t="str">
        <x:v>2025-26</x:v>
      </x:c>
      <x:c r="B1433" s="63" t="n">
        <x:v>6179</x:v>
      </x:c>
      <x:c r="C1433" s="49" t="str">
        <x:v>Indira College of Engineering &amp; Management, Pune</x:v>
      </x:c>
      <x:c r="D1433" s="72" t="n">
        <x:v>617924610</x:v>
      </x:c>
      <x:c r="E1433" s="49" t="str">
        <x:v>Information Technology</x:v>
      </x:c>
      <x:c r="F1433" s="73" t="n">
        <x:v>9</x:v>
      </x:c>
      <x:c r="G1433" s="73" t="n">
        <x:v>7</x:v>
      </x:c>
      <x:c r="H1433" s="73" t="n">
        <x:v>2</x:v>
      </x:c>
      <x:c r="I1433" s="73"/>
      <x:c r="J1433" s="73" t="n">
        <x:v>0</x:v>
      </x:c>
      <x:c r="K1433" s="49" t="str">
        <x:v>Un-Aided Autonomous</x:v>
      </x:c>
      <x:c r="L1433" s="49" t="str">
        <x:v>MS Seats : 7+ EWS : 2</x:v>
      </x:c>
      <x:c r="M1433" s="49" t="str">
        <x:v>https://dse2025.mahacet.org.in/dse25/admin/allotment/cap2/6179_4.pdf</x:v>
      </x:c>
    </x:row>
    <x:row r="1434">
      <x:c r="A1434" s="49" t="str">
        <x:v>2025-26</x:v>
      </x:c>
      <x:c r="B1434" s="63" t="n">
        <x:v>6179</x:v>
      </x:c>
      <x:c r="C1434" s="49" t="str">
        <x:v>Indira College of Engineering &amp; Management, Pune</x:v>
      </x:c>
      <x:c r="D1434" s="72" t="n">
        <x:v>617937210</x:v>
      </x:c>
      <x:c r="E1434" s="49" t="str">
        <x:v>Electronics and Telecommunication Engg</x:v>
      </x:c>
      <x:c r="F1434" s="73" t="n">
        <x:v>9</x:v>
      </x:c>
      <x:c r="G1434" s="73" t="n">
        <x:v>8</x:v>
      </x:c>
      <x:c r="H1434" s="73" t="n">
        <x:v>1</x:v>
      </x:c>
      <x:c r="I1434" s="73"/>
      <x:c r="J1434" s="73" t="n">
        <x:v>0</x:v>
      </x:c>
      <x:c r="K1434" s="49" t="str">
        <x:v>Un-Aided Autonomous</x:v>
      </x:c>
      <x:c r="L1434" s="49" t="str">
        <x:v>MS Seats : 8+ EWS : 1</x:v>
      </x:c>
      <x:c r="M1434" s="49" t="str">
        <x:v>https://dse2025.mahacet.org.in/dse25/admin/allotment/cap2/6179_4.pdf</x:v>
      </x:c>
    </x:row>
    <x:row r="1435">
      <x:c r="A1435" s="49" t="str">
        <x:v>2025-26</x:v>
      </x:c>
      <x:c r="B1435" s="63" t="n">
        <x:v>6179</x:v>
      </x:c>
      <x:c r="C1435" s="49" t="str">
        <x:v>Indira College of Engineering &amp; Management, Pune</x:v>
      </x:c>
      <x:c r="D1435" s="72" t="n">
        <x:v>617961210</x:v>
      </x:c>
      <x:c r="E1435" s="49" t="str">
        <x:v>Mechanical Engineering</x:v>
      </x:c>
      <x:c r="F1435" s="73" t="n">
        <x:v>33</x:v>
      </x:c>
      <x:c r="G1435" s="73" t="n">
        <x:v>26</x:v>
      </x:c>
      <x:c r="H1435" s="73" t="n">
        <x:v>7</x:v>
      </x:c>
      <x:c r="I1435" s="73"/>
      <x:c r="J1435" s="73" t="n">
        <x:v>0</x:v>
      </x:c>
      <x:c r="K1435" s="49" t="str">
        <x:v>Un-Aided Autonomous</x:v>
      </x:c>
      <x:c r="L1435" s="49" t="str">
        <x:v>MS Seats : 26+ EWS : 7</x:v>
      </x:c>
      <x:c r="M1435" s="49" t="str">
        <x:v>https://dse2025.mahacet.org.in/dse25/admin/allotment/cap2/6179_4.pdf</x:v>
      </x:c>
    </x:row>
    <x:row r="1436">
      <x:c r="A1436" s="49" t="str">
        <x:v>2025-26</x:v>
      </x:c>
      <x:c r="B1436" s="63" t="n">
        <x:v>6179</x:v>
      </x:c>
      <x:c r="C1436" s="49" t="str">
        <x:v>Indira College of Engineering &amp; Management, Pune</x:v>
      </x:c>
      <x:c r="D1436" s="72" t="n">
        <x:v>617999510</x:v>
      </x:c>
      <x:c r="E1436" s="49" t="str">
        <x:v>Artificial Intelligence and Data Science</x:v>
      </x:c>
      <x:c r="F1436" s="73" t="n">
        <x:v>10</x:v>
      </x:c>
      <x:c r="G1436" s="73" t="n">
        <x:v>7</x:v>
      </x:c>
      <x:c r="H1436" s="73" t="n">
        <x:v>3</x:v>
      </x:c>
      <x:c r="I1436" s="73"/>
      <x:c r="J1436" s="73" t="n">
        <x:v>0</x:v>
      </x:c>
      <x:c r="K1436" s="49" t="str">
        <x:v>Un-Aided Autonomous</x:v>
      </x:c>
      <x:c r="L1436" s="49" t="str">
        <x:v>MS Seats : 7+ EWS : 3</x:v>
      </x:c>
      <x:c r="M1436" s="49" t="str">
        <x:v>https://dse2025.mahacet.org.in/dse25/admin/allotment/cap2/6179_4.pdf</x:v>
      </x:c>
    </x:row>
    <x:row r="1437">
      <x:c r="A1437" s="49" t="str">
        <x:v>2025-26</x:v>
      </x:c>
      <x:c r="B1437" s="63" t="n">
        <x:v>6182</x:v>
      </x:c>
      <x:c r="C1437" s="49" t="str">
        <x:v>Sinhgad Technical Education Society, Sinhgad Institute of Technology and Science, Narhe (Ambegaon)</x:v>
      </x:c>
      <x:c r="D1437" s="72" t="n">
        <x:v>618219110</x:v>
      </x:c>
      <x:c r="E1437" s="49" t="str">
        <x:v>Civil Engineering</x:v>
      </x:c>
      <x:c r="F1437" s="73" t="n">
        <x:v>15</x:v>
      </x:c>
      <x:c r="G1437" s="73" t="n">
        <x:v>9</x:v>
      </x:c>
      <x:c r="H1437" s="73" t="n">
        <x:v>6</x:v>
      </x:c>
      <x:c r="I1437" s="73"/>
      <x:c r="J1437" s="73" t="n">
        <x:v>0</x:v>
      </x:c>
      <x:c r="K1437" s="49" t="str">
        <x:v>Un-Aided</x:v>
      </x:c>
      <x:c r="L1437" s="49" t="str">
        <x:v>MS Seats : 9+ EWS : 6</x:v>
      </x:c>
      <x:c r="M1437" s="49" t="str">
        <x:v>https://dse2025.mahacet.org.in/dse25/admin/allotment/cap2/6182_4.pdf</x:v>
      </x:c>
    </x:row>
    <x:row r="1438">
      <x:c r="A1438" s="49" t="str">
        <x:v>2025-26</x:v>
      </x:c>
      <x:c r="B1438" s="63" t="n">
        <x:v>6182</x:v>
      </x:c>
      <x:c r="C1438" s="49" t="str">
        <x:v>Sinhgad Technical Education Society, Sinhgad Institute of Technology and Science, Narhe (Ambegaon)</x:v>
      </x:c>
      <x:c r="D1438" s="72" t="n">
        <x:v>618224510</x:v>
      </x:c>
      <x:c r="E1438" s="49" t="str">
        <x:v>Computer Engineering</x:v>
      </x:c>
      <x:c r="F1438" s="73" t="n">
        <x:v>17</x:v>
      </x:c>
      <x:c r="G1438" s="73" t="n">
        <x:v>14</x:v>
      </x:c>
      <x:c r="H1438" s="73" t="n">
        <x:v>3</x:v>
      </x:c>
      <x:c r="I1438" s="73"/>
      <x:c r="J1438" s="73" t="n">
        <x:v>0</x:v>
      </x:c>
      <x:c r="K1438" s="49" t="str">
        <x:v>Un-Aided</x:v>
      </x:c>
      <x:c r="L1438" s="49" t="str">
        <x:v>MS Seats : 14+ EWS : 3</x:v>
      </x:c>
      <x:c r="M1438" s="49" t="str">
        <x:v>https://dse2025.mahacet.org.in/dse25/admin/allotment/cap2/6182_4.pdf</x:v>
      </x:c>
    </x:row>
    <x:row r="1439">
      <x:c r="A1439" s="49" t="str">
        <x:v>2025-26</x:v>
      </x:c>
      <x:c r="B1439" s="63" t="n">
        <x:v>6182</x:v>
      </x:c>
      <x:c r="C1439" s="49" t="str">
        <x:v>Sinhgad Technical Education Society, Sinhgad Institute of Technology and Science, Narhe (Ambegaon)</x:v>
      </x:c>
      <x:c r="D1439" s="72" t="n">
        <x:v>618224610</x:v>
      </x:c>
      <x:c r="E1439" s="49" t="str">
        <x:v>Information Technology</x:v>
      </x:c>
      <x:c r="F1439" s="73" t="n">
        <x:v>9</x:v>
      </x:c>
      <x:c r="G1439" s="73" t="n">
        <x:v>7</x:v>
      </x:c>
      <x:c r="H1439" s="73" t="n">
        <x:v>2</x:v>
      </x:c>
      <x:c r="I1439" s="73"/>
      <x:c r="J1439" s="73" t="n">
        <x:v>0</x:v>
      </x:c>
      <x:c r="K1439" s="49" t="str">
        <x:v>Un-Aided</x:v>
      </x:c>
      <x:c r="L1439" s="49" t="str">
        <x:v>MS Seats : 7+ EWS : 2</x:v>
      </x:c>
      <x:c r="M1439" s="49" t="str">
        <x:v>https://dse2025.mahacet.org.in/dse25/admin/allotment/cap2/6182_4.pdf</x:v>
      </x:c>
    </x:row>
    <x:row r="1440">
      <x:c r="A1440" s="49" t="str">
        <x:v>2025-26</x:v>
      </x:c>
      <x:c r="B1440" s="63" t="n">
        <x:v>6182</x:v>
      </x:c>
      <x:c r="C1440" s="49" t="str">
        <x:v>Sinhgad Technical Education Society, Sinhgad Institute of Technology and Science, Narhe (Ambegaon)</x:v>
      </x:c>
      <x:c r="D1440" s="72" t="n">
        <x:v>618237210</x:v>
      </x:c>
      <x:c r="E1440" s="49" t="str">
        <x:v>Electronics and Telecommunication Engg</x:v>
      </x:c>
      <x:c r="F1440" s="73" t="n">
        <x:v>20</x:v>
      </x:c>
      <x:c r="G1440" s="73" t="n">
        <x:v>15</x:v>
      </x:c>
      <x:c r="H1440" s="73" t="n">
        <x:v>5</x:v>
      </x:c>
      <x:c r="I1440" s="73"/>
      <x:c r="J1440" s="73" t="n">
        <x:v>0</x:v>
      </x:c>
      <x:c r="K1440" s="49" t="str">
        <x:v>Un-Aided</x:v>
      </x:c>
      <x:c r="L1440" s="49" t="str">
        <x:v>MS Seats : 15+ EWS : 5</x:v>
      </x:c>
      <x:c r="M1440" s="49" t="str">
        <x:v>https://dse2025.mahacet.org.in/dse25/admin/allotment/cap2/6182_4.pdf</x:v>
      </x:c>
    </x:row>
    <x:row r="1441">
      <x:c r="A1441" s="49" t="str">
        <x:v>2025-26</x:v>
      </x:c>
      <x:c r="B1441" s="63" t="n">
        <x:v>6182</x:v>
      </x:c>
      <x:c r="C1441" s="49" t="str">
        <x:v>Sinhgad Technical Education Society, Sinhgad Institute of Technology and Science, Narhe (Ambegaon)</x:v>
      </x:c>
      <x:c r="D1441" s="72" t="n">
        <x:v>618261210</x:v>
      </x:c>
      <x:c r="E1441" s="49" t="str">
        <x:v>Mechanical Engineering</x:v>
      </x:c>
      <x:c r="F1441" s="73" t="n">
        <x:v>28</x:v>
      </x:c>
      <x:c r="G1441" s="73" t="n">
        <x:v>19</x:v>
      </x:c>
      <x:c r="H1441" s="73" t="n">
        <x:v>9</x:v>
      </x:c>
      <x:c r="I1441" s="73"/>
      <x:c r="J1441" s="73" t="n">
        <x:v>0</x:v>
      </x:c>
      <x:c r="K1441" s="49" t="str">
        <x:v>Un-Aided</x:v>
      </x:c>
      <x:c r="L1441" s="49" t="str">
        <x:v>MS Seats : 19+ EWS : 9</x:v>
      </x:c>
      <x:c r="M1441" s="49" t="str">
        <x:v>https://dse2025.mahacet.org.in/dse25/admin/allotment/cap2/6182_4.pdf</x:v>
      </x:c>
    </x:row>
    <x:row r="1442">
      <x:c r="A1442" s="49" t="str">
        <x:v>2025-26</x:v>
      </x:c>
      <x:c r="B1442" s="63" t="n">
        <x:v>6183</x:v>
      </x:c>
      <x:c r="C1442" s="49" t="str">
        <x:v>Al-Ameen Educational and Medical Foundation, College of Engineering, Koregaon, Bhima</x:v>
      </x:c>
      <x:c r="D1442" s="72" t="n">
        <x:v>618324510</x:v>
      </x:c>
      <x:c r="E1442" s="49" t="str">
        <x:v>Computer Engineering</x:v>
      </x:c>
      <x:c r="F1442" s="73" t="n">
        <x:v>52</x:v>
      </x:c>
      <x:c r="G1442" s="73" t="n">
        <x:v>25</x:v>
      </x:c>
      <x:c r="H1442" s="73"/>
      <x:c r="I1442" s="73" t="n">
        <x:v>27</x:v>
      </x:c>
      <x:c r="J1442" s="73" t="n">
        <x:v>0</x:v>
      </x:c>
      <x:c r="K1442" s="49" t="str">
        <x:v>Un-Aided Religious Minority - Muslim</x:v>
      </x:c>
      <x:c r="L1442" s="49" t="str">
        <x:v>MS Seats : 25 + Minority Seats : 27</x:v>
      </x:c>
      <x:c r="M1442" s="49" t="str">
        <x:v>https://dse2025.mahacet.org.in/dse25/admin/allotment/cap2/6183_4.pdf</x:v>
      </x:c>
    </x:row>
    <x:row r="1443">
      <x:c r="A1443" s="49" t="str">
        <x:v>2025-26</x:v>
      </x:c>
      <x:c r="B1443" s="63" t="n">
        <x:v>6183</x:v>
      </x:c>
      <x:c r="C1443" s="49" t="str">
        <x:v>Al-Ameen Educational and Medical Foundation, College of Engineering, Koregaon, Bhima</x:v>
      </x:c>
      <x:c r="D1443" s="72" t="n">
        <x:v>618337210</x:v>
      </x:c>
      <x:c r="E1443" s="49" t="str">
        <x:v>Electronics and Telecommunication Engg</x:v>
      </x:c>
      <x:c r="F1443" s="73" t="n">
        <x:v>25</x:v>
      </x:c>
      <x:c r="G1443" s="73" t="n">
        <x:v>12</x:v>
      </x:c>
      <x:c r="H1443" s="73"/>
      <x:c r="I1443" s="73" t="n">
        <x:v>13</x:v>
      </x:c>
      <x:c r="J1443" s="73" t="n">
        <x:v>0</x:v>
      </x:c>
      <x:c r="K1443" s="49" t="str">
        <x:v>Un-Aided Religious Minority - Muslim</x:v>
      </x:c>
      <x:c r="L1443" s="49" t="str">
        <x:v>MS Seats : 12 + Minority Seats : 13</x:v>
      </x:c>
      <x:c r="M1443" s="49" t="str">
        <x:v>https://dse2025.mahacet.org.in/dse25/admin/allotment/cap2/6183_4.pdf</x:v>
      </x:c>
    </x:row>
    <x:row r="1444">
      <x:c r="A1444" s="49" t="str">
        <x:v>2025-26</x:v>
      </x:c>
      <x:c r="B1444" s="63" t="n">
        <x:v>6183</x:v>
      </x:c>
      <x:c r="C1444" s="49" t="str">
        <x:v>Al-Ameen Educational and Medical Foundation, College of Engineering, Koregaon, Bhima</x:v>
      </x:c>
      <x:c r="D1444" s="72" t="n">
        <x:v>618361210</x:v>
      </x:c>
      <x:c r="E1444" s="49" t="str">
        <x:v>Mechanical Engineering</x:v>
      </x:c>
      <x:c r="F1444" s="73" t="n">
        <x:v>54</x:v>
      </x:c>
      <x:c r="G1444" s="73" t="n">
        <x:v>26</x:v>
      </x:c>
      <x:c r="H1444" s="73"/>
      <x:c r="I1444" s="73" t="n">
        <x:v>28</x:v>
      </x:c>
      <x:c r="J1444" s="73" t="n">
        <x:v>0</x:v>
      </x:c>
      <x:c r="K1444" s="49" t="str">
        <x:v>Un-Aided Religious Minority - Muslim</x:v>
      </x:c>
      <x:c r="L1444" s="49" t="str">
        <x:v>MS Seats : 26 + Minority Seats : 28</x:v>
      </x:c>
      <x:c r="M1444" s="49" t="str">
        <x:v>https://dse2025.mahacet.org.in/dse25/admin/allotment/cap2/6183_4.pdf</x:v>
      </x:c>
    </x:row>
    <x:row r="1445">
      <x:c r="A1445" s="49" t="str">
        <x:v>2025-26</x:v>
      </x:c>
      <x:c r="B1445" s="63" t="n">
        <x:v>6184</x:v>
      </x:c>
      <x:c r="C1445" s="49" t="str">
        <x:v>K. J.'s Educational Institut Trinity College of Engineering and Research, Pisoli, Haveli</x:v>
      </x:c>
      <x:c r="D1445" s="72" t="n">
        <x:v>618419110</x:v>
      </x:c>
      <x:c r="E1445" s="49" t="str">
        <x:v>Civil Engineering</x:v>
      </x:c>
      <x:c r="F1445" s="73" t="n">
        <x:v>7</x:v>
      </x:c>
      <x:c r="G1445" s="73" t="n">
        <x:v>7</x:v>
      </x:c>
      <x:c r="H1445" s="73" t="n">
        <x:v>0</x:v>
      </x:c>
      <x:c r="I1445" s="73"/>
      <x:c r="J1445" s="73" t="n">
        <x:v>0</x:v>
      </x:c>
      <x:c r="K1445" s="49" t="str">
        <x:v>Un-Aided</x:v>
      </x:c>
      <x:c r="L1445" s="49" t="str">
        <x:v>MS Seats : 7+ EWS : 0</x:v>
      </x:c>
      <x:c r="M1445" s="49" t="str">
        <x:v>https://dse2025.mahacet.org.in/dse25/admin/allotment/cap2/6184_4.pdf</x:v>
      </x:c>
    </x:row>
    <x:row r="1446">
      <x:c r="A1446" s="49" t="str">
        <x:v>2025-26</x:v>
      </x:c>
      <x:c r="B1446" s="63" t="n">
        <x:v>6184</x:v>
      </x:c>
      <x:c r="C1446" s="49" t="str">
        <x:v>K. J.'s Educational Institut Trinity College of Engineering and Research, Pisoli, Haveli</x:v>
      </x:c>
      <x:c r="D1446" s="72" t="n">
        <x:v>618424510</x:v>
      </x:c>
      <x:c r="E1446" s="49" t="str">
        <x:v>Computer Engineering</x:v>
      </x:c>
      <x:c r="F1446" s="73" t="n">
        <x:v>26</x:v>
      </x:c>
      <x:c r="G1446" s="73" t="n">
        <x:v>22</x:v>
      </x:c>
      <x:c r="H1446" s="73" t="n">
        <x:v>4</x:v>
      </x:c>
      <x:c r="I1446" s="73"/>
      <x:c r="J1446" s="73" t="n">
        <x:v>0</x:v>
      </x:c>
      <x:c r="K1446" s="49" t="str">
        <x:v>Un-Aided</x:v>
      </x:c>
      <x:c r="L1446" s="49" t="str">
        <x:v>MS Seats : 22+ EWS : 4</x:v>
      </x:c>
      <x:c r="M1446" s="49" t="str">
        <x:v>https://dse2025.mahacet.org.in/dse25/admin/allotment/cap2/6184_4.pdf</x:v>
      </x:c>
    </x:row>
    <x:row r="1447">
      <x:c r="A1447" s="49" t="str">
        <x:v>2025-26</x:v>
      </x:c>
      <x:c r="B1447" s="63" t="n">
        <x:v>6184</x:v>
      </x:c>
      <x:c r="C1447" s="49" t="str">
        <x:v>K. J.'s Educational Institut Trinity College of Engineering and Research, Pisoli, Haveli</x:v>
      </x:c>
      <x:c r="D1447" s="72" t="n">
        <x:v>618424610</x:v>
      </x:c>
      <x:c r="E1447" s="49" t="str">
        <x:v>Information Technology</x:v>
      </x:c>
      <x:c r="F1447" s="73" t="n">
        <x:v>10</x:v>
      </x:c>
      <x:c r="G1447" s="73" t="n">
        <x:v>7</x:v>
      </x:c>
      <x:c r="H1447" s="73" t="n">
        <x:v>3</x:v>
      </x:c>
      <x:c r="I1447" s="73"/>
      <x:c r="J1447" s="73" t="n">
        <x:v>0</x:v>
      </x:c>
      <x:c r="K1447" s="49" t="str">
        <x:v>Un-Aided</x:v>
      </x:c>
      <x:c r="L1447" s="49" t="str">
        <x:v>MS Seats : 7+ EWS : 3</x:v>
      </x:c>
      <x:c r="M1447" s="49" t="str">
        <x:v>https://dse2025.mahacet.org.in/dse25/admin/allotment/cap2/6184_4.pdf</x:v>
      </x:c>
    </x:row>
    <x:row r="1448">
      <x:c r="A1448" s="49" t="str">
        <x:v>2025-26</x:v>
      </x:c>
      <x:c r="B1448" s="63" t="n">
        <x:v>6184</x:v>
      </x:c>
      <x:c r="C1448" s="49" t="str">
        <x:v>K. J.'s Educational Institut Trinity College of Engineering and Research, Pisoli, Haveli</x:v>
      </x:c>
      <x:c r="D1448" s="72" t="n">
        <x:v>618429310</x:v>
      </x:c>
      <x:c r="E1448" s="49" t="str">
        <x:v>Electrical Engineering</x:v>
      </x:c>
      <x:c r="F1448" s="73" t="n">
        <x:v>26</x:v>
      </x:c>
      <x:c r="G1448" s="73" t="n">
        <x:v>21</x:v>
      </x:c>
      <x:c r="H1448" s="73" t="n">
        <x:v>5</x:v>
      </x:c>
      <x:c r="I1448" s="73"/>
      <x:c r="J1448" s="73" t="n">
        <x:v>0</x:v>
      </x:c>
      <x:c r="K1448" s="49" t="str">
        <x:v>Un-Aided</x:v>
      </x:c>
      <x:c r="L1448" s="49" t="str">
        <x:v>MS Seats : 21+ EWS : 5</x:v>
      </x:c>
      <x:c r="M1448" s="49" t="str">
        <x:v>https://dse2025.mahacet.org.in/dse25/admin/allotment/cap2/6184_4.pdf</x:v>
      </x:c>
    </x:row>
    <x:row r="1449">
      <x:c r="A1449" s="49" t="str">
        <x:v>2025-26</x:v>
      </x:c>
      <x:c r="B1449" s="63" t="n">
        <x:v>6184</x:v>
      </x:c>
      <x:c r="C1449" s="49" t="str">
        <x:v>K. J.'s Educational Institut Trinity College of Engineering and Research, Pisoli, Haveli</x:v>
      </x:c>
      <x:c r="D1449" s="72" t="n">
        <x:v>618437210</x:v>
      </x:c>
      <x:c r="E1449" s="49" t="str">
        <x:v>Electronics and Telecommunication Engg</x:v>
      </x:c>
      <x:c r="F1449" s="73" t="n">
        <x:v>10</x:v>
      </x:c>
      <x:c r="G1449" s="73" t="n">
        <x:v>7</x:v>
      </x:c>
      <x:c r="H1449" s="73" t="n">
        <x:v>3</x:v>
      </x:c>
      <x:c r="I1449" s="73"/>
      <x:c r="J1449" s="73" t="n">
        <x:v>0</x:v>
      </x:c>
      <x:c r="K1449" s="49" t="str">
        <x:v>Un-Aided</x:v>
      </x:c>
      <x:c r="L1449" s="49" t="str">
        <x:v>MS Seats : 7+ EWS : 3</x:v>
      </x:c>
      <x:c r="M1449" s="49" t="str">
        <x:v>https://dse2025.mahacet.org.in/dse25/admin/allotment/cap2/6184_4.pdf</x:v>
      </x:c>
    </x:row>
    <x:row r="1450">
      <x:c r="A1450" s="49" t="str">
        <x:v>2025-26</x:v>
      </x:c>
      <x:c r="B1450" s="63" t="n">
        <x:v>6184</x:v>
      </x:c>
      <x:c r="C1450" s="49" t="str">
        <x:v>K. J.'s Educational Institut Trinity College of Engineering and Research, Pisoli, Haveli</x:v>
      </x:c>
      <x:c r="D1450" s="72" t="n">
        <x:v>618461210</x:v>
      </x:c>
      <x:c r="E1450" s="49" t="str">
        <x:v>Mechanical Engineering</x:v>
      </x:c>
      <x:c r="F1450" s="73" t="n">
        <x:v>22</x:v>
      </x:c>
      <x:c r="G1450" s="73" t="n">
        <x:v>19</x:v>
      </x:c>
      <x:c r="H1450" s="73" t="n">
        <x:v>3</x:v>
      </x:c>
      <x:c r="I1450" s="73"/>
      <x:c r="J1450" s="73" t="n">
        <x:v>0</x:v>
      </x:c>
      <x:c r="K1450" s="49" t="str">
        <x:v>Un-Aided</x:v>
      </x:c>
      <x:c r="L1450" s="49" t="str">
        <x:v>MS Seats : 19+ EWS : 3</x:v>
      </x:c>
      <x:c r="M1450" s="49" t="str">
        <x:v>https://dse2025.mahacet.org.in/dse25/admin/allotment/cap2/6184_4.pdf</x:v>
      </x:c>
    </x:row>
    <x:row r="1451">
      <x:c r="A1451" s="49" t="str">
        <x:v>2025-26</x:v>
      </x:c>
      <x:c r="B1451" s="63" t="n">
        <x:v>6185</x:v>
      </x:c>
      <x:c r="C1451" s="49" t="str">
        <x:v>Sinhgad Institute of Technology</x:v>
      </x:c>
      <x:c r="D1451" s="72" t="n">
        <x:v>618524510</x:v>
      </x:c>
      <x:c r="E1451" s="49" t="str">
        <x:v>Computer Engineering</x:v>
      </x:c>
      <x:c r="F1451" s="73" t="n">
        <x:v>33</x:v>
      </x:c>
      <x:c r="G1451" s="73" t="n">
        <x:v>25</x:v>
      </x:c>
      <x:c r="H1451" s="73" t="n">
        <x:v>8</x:v>
      </x:c>
      <x:c r="I1451" s="73"/>
      <x:c r="J1451" s="73" t="n">
        <x:v>0</x:v>
      </x:c>
      <x:c r="K1451" s="49" t="str">
        <x:v>Un-Aided</x:v>
      </x:c>
      <x:c r="L1451" s="49" t="str">
        <x:v>MS Seats : 25+ EWS : 8</x:v>
      </x:c>
      <x:c r="M1451" s="49" t="str">
        <x:v>https://dse2025.mahacet.org.in/dse25/admin/allotment/cap2/6185_4.pdf</x:v>
      </x:c>
    </x:row>
    <x:row r="1452">
      <x:c r="A1452" s="49" t="str">
        <x:v>2025-26</x:v>
      </x:c>
      <x:c r="B1452" s="63" t="n">
        <x:v>6185</x:v>
      </x:c>
      <x:c r="C1452" s="49" t="str">
        <x:v>Sinhgad Institute of Technology</x:v>
      </x:c>
      <x:c r="D1452" s="72" t="n">
        <x:v>618524610</x:v>
      </x:c>
      <x:c r="E1452" s="49" t="str">
        <x:v>Information Technology</x:v>
      </x:c>
      <x:c r="F1452" s="73" t="n">
        <x:v>13</x:v>
      </x:c>
      <x:c r="G1452" s="73" t="n">
        <x:v>10</x:v>
      </x:c>
      <x:c r="H1452" s="73" t="n">
        <x:v>3</x:v>
      </x:c>
      <x:c r="I1452" s="73"/>
      <x:c r="J1452" s="73" t="n">
        <x:v>0</x:v>
      </x:c>
      <x:c r="K1452" s="49" t="str">
        <x:v>Un-Aided</x:v>
      </x:c>
      <x:c r="L1452" s="49" t="str">
        <x:v>MS Seats : 10+ EWS : 3</x:v>
      </x:c>
      <x:c r="M1452" s="49" t="str">
        <x:v>https://dse2025.mahacet.org.in/dse25/admin/allotment/cap2/6185_4.pdf</x:v>
      </x:c>
    </x:row>
    <x:row r="1453">
      <x:c r="A1453" s="49" t="str">
        <x:v>2025-26</x:v>
      </x:c>
      <x:c r="B1453" s="63" t="n">
        <x:v>6185</x:v>
      </x:c>
      <x:c r="C1453" s="49" t="str">
        <x:v>Sinhgad Institute of Technology</x:v>
      </x:c>
      <x:c r="D1453" s="72" t="n">
        <x:v>618529310</x:v>
      </x:c>
      <x:c r="E1453" s="49" t="str">
        <x:v>Electrical Engineering</x:v>
      </x:c>
      <x:c r="F1453" s="73" t="n">
        <x:v>42</x:v>
      </x:c>
      <x:c r="G1453" s="73" t="n">
        <x:v>37</x:v>
      </x:c>
      <x:c r="H1453" s="73" t="n">
        <x:v>5</x:v>
      </x:c>
      <x:c r="I1453" s="73"/>
      <x:c r="J1453" s="73" t="n">
        <x:v>0</x:v>
      </x:c>
      <x:c r="K1453" s="49" t="str">
        <x:v>Un-Aided</x:v>
      </x:c>
      <x:c r="L1453" s="49" t="str">
        <x:v>MS Seats : 37+ EWS : 5</x:v>
      </x:c>
      <x:c r="M1453" s="49" t="str">
        <x:v>https://dse2025.mahacet.org.in/dse25/admin/allotment/cap2/6185_4.pdf</x:v>
      </x:c>
    </x:row>
    <x:row r="1454">
      <x:c r="A1454" s="49" t="str">
        <x:v>2025-26</x:v>
      </x:c>
      <x:c r="B1454" s="63" t="n">
        <x:v>6185</x:v>
      </x:c>
      <x:c r="C1454" s="49" t="str">
        <x:v>Sinhgad Institute of Technology</x:v>
      </x:c>
      <x:c r="D1454" s="72" t="n">
        <x:v>618537210</x:v>
      </x:c>
      <x:c r="E1454" s="49" t="str">
        <x:v>Electronics and Telecommunication Engg</x:v>
      </x:c>
      <x:c r="F1454" s="73" t="n">
        <x:v>33</x:v>
      </x:c>
      <x:c r="G1454" s="73" t="n">
        <x:v>25</x:v>
      </x:c>
      <x:c r="H1454" s="73" t="n">
        <x:v>8</x:v>
      </x:c>
      <x:c r="I1454" s="73"/>
      <x:c r="J1454" s="73" t="n">
        <x:v>0</x:v>
      </x:c>
      <x:c r="K1454" s="49" t="str">
        <x:v>Un-Aided</x:v>
      </x:c>
      <x:c r="L1454" s="49" t="str">
        <x:v>MS Seats : 25+ EWS : 8</x:v>
      </x:c>
      <x:c r="M1454" s="49" t="str">
        <x:v>https://dse2025.mahacet.org.in/dse25/admin/allotment/cap2/6185_4.pdf</x:v>
      </x:c>
    </x:row>
    <x:row r="1455">
      <x:c r="A1455" s="49" t="str">
        <x:v>2025-26</x:v>
      </x:c>
      <x:c r="B1455" s="63" t="n">
        <x:v>6185</x:v>
      </x:c>
      <x:c r="C1455" s="49" t="str">
        <x:v>Sinhgad Institute of Technology</x:v>
      </x:c>
      <x:c r="D1455" s="72" t="n">
        <x:v>618561210</x:v>
      </x:c>
      <x:c r="E1455" s="49" t="str">
        <x:v>Mechanical Engineering</x:v>
      </x:c>
      <x:c r="F1455" s="73" t="n">
        <x:v>174</x:v>
      </x:c>
      <x:c r="G1455" s="73" t="n">
        <x:v>150</x:v>
      </x:c>
      <x:c r="H1455" s="73" t="n">
        <x:v>24</x:v>
      </x:c>
      <x:c r="I1455" s="73"/>
      <x:c r="J1455" s="73" t="n">
        <x:v>0</x:v>
      </x:c>
      <x:c r="K1455" s="49" t="str">
        <x:v>Un-Aided</x:v>
      </x:c>
      <x:c r="L1455" s="49" t="str">
        <x:v>MS Seats : 150+ EWS : 24</x:v>
      </x:c>
      <x:c r="M1455" s="49" t="str">
        <x:v>https://dse2025.mahacet.org.in/dse25/admin/allotment/cap2/6185_4.pdf</x:v>
      </x:c>
    </x:row>
    <x:row r="1456">
      <x:c r="A1456" s="49" t="str">
        <x:v>2025-26</x:v>
      </x:c>
      <x:c r="B1456" s="63" t="n">
        <x:v>6187</x:v>
      </x:c>
      <x:c r="C1456" s="49" t="str">
        <x:v>Sinhgad Academy of Engineering, Kondhwa (BK) Kondhwa-Saswad Road, Pune</x:v>
      </x:c>
      <x:c r="D1456" s="72" t="n">
        <x:v>618719110</x:v>
      </x:c>
      <x:c r="E1456" s="49" t="str">
        <x:v>Civil Engineering</x:v>
      </x:c>
      <x:c r="F1456" s="73" t="n">
        <x:v>52</x:v>
      </x:c>
      <x:c r="G1456" s="73" t="n">
        <x:v>47</x:v>
      </x:c>
      <x:c r="H1456" s="73" t="n">
        <x:v>5</x:v>
      </x:c>
      <x:c r="I1456" s="73"/>
      <x:c r="J1456" s="73" t="n">
        <x:v>0</x:v>
      </x:c>
      <x:c r="K1456" s="49" t="str">
        <x:v>Un-Aided</x:v>
      </x:c>
      <x:c r="L1456" s="49" t="str">
        <x:v>MS Seats : 47+ EWS : 5</x:v>
      </x:c>
      <x:c r="M1456" s="49" t="str">
        <x:v>https://dse2025.mahacet.org.in/dse25/admin/allotment/cap2/6187_4.pdf</x:v>
      </x:c>
    </x:row>
    <x:row r="1457">
      <x:c r="A1457" s="49" t="str">
        <x:v>2025-26</x:v>
      </x:c>
      <x:c r="B1457" s="63" t="n">
        <x:v>6187</x:v>
      </x:c>
      <x:c r="C1457" s="49" t="str">
        <x:v>Sinhgad Academy of Engineering, Kondhwa (BK) Kondhwa-Saswad Road, Pune</x:v>
      </x:c>
      <x:c r="D1457" s="72" t="n">
        <x:v>618724510</x:v>
      </x:c>
      <x:c r="E1457" s="49" t="str">
        <x:v>Computer Engineering</x:v>
      </x:c>
      <x:c r="F1457" s="73" t="n">
        <x:v>24</x:v>
      </x:c>
      <x:c r="G1457" s="73" t="n">
        <x:v>21</x:v>
      </x:c>
      <x:c r="H1457" s="73" t="n">
        <x:v>3</x:v>
      </x:c>
      <x:c r="I1457" s="73"/>
      <x:c r="J1457" s="73" t="n">
        <x:v>0</x:v>
      </x:c>
      <x:c r="K1457" s="49" t="str">
        <x:v>Un-Aided</x:v>
      </x:c>
      <x:c r="L1457" s="49" t="str">
        <x:v>MS Seats : 21+ EWS : 3</x:v>
      </x:c>
      <x:c r="M1457" s="49" t="str">
        <x:v>https://dse2025.mahacet.org.in/dse25/admin/allotment/cap2/6187_4.pdf</x:v>
      </x:c>
    </x:row>
    <x:row r="1458">
      <x:c r="A1458" s="49" t="str">
        <x:v>2025-26</x:v>
      </x:c>
      <x:c r="B1458" s="63" t="n">
        <x:v>6187</x:v>
      </x:c>
      <x:c r="C1458" s="49" t="str">
        <x:v>Sinhgad Academy of Engineering, Kondhwa (BK) Kondhwa-Saswad Road, Pune</x:v>
      </x:c>
      <x:c r="D1458" s="72" t="n">
        <x:v>618724610</x:v>
      </x:c>
      <x:c r="E1458" s="49" t="str">
        <x:v>Information Technology</x:v>
      </x:c>
      <x:c r="F1458" s="73" t="n">
        <x:v>9</x:v>
      </x:c>
      <x:c r="G1458" s="73" t="n">
        <x:v>7</x:v>
      </x:c>
      <x:c r="H1458" s="73" t="n">
        <x:v>2</x:v>
      </x:c>
      <x:c r="I1458" s="73"/>
      <x:c r="J1458" s="73" t="n">
        <x:v>0</x:v>
      </x:c>
      <x:c r="K1458" s="49" t="str">
        <x:v>Un-Aided</x:v>
      </x:c>
      <x:c r="L1458" s="49" t="str">
        <x:v>MS Seats : 7+ EWS : 2</x:v>
      </x:c>
      <x:c r="M1458" s="49" t="str">
        <x:v>https://dse2025.mahacet.org.in/dse25/admin/allotment/cap2/6187_4.pdf</x:v>
      </x:c>
    </x:row>
    <x:row r="1459">
      <x:c r="A1459" s="49" t="str">
        <x:v>2025-26</x:v>
      </x:c>
      <x:c r="B1459" s="63" t="n">
        <x:v>6187</x:v>
      </x:c>
      <x:c r="C1459" s="49" t="str">
        <x:v>Sinhgad Academy of Engineering, Kondhwa (BK) Kondhwa-Saswad Road, Pune</x:v>
      </x:c>
      <x:c r="D1459" s="72" t="n">
        <x:v>618737210</x:v>
      </x:c>
      <x:c r="E1459" s="49" t="str">
        <x:v>Electronics and Telecommunication Engg</x:v>
      </x:c>
      <x:c r="F1459" s="73" t="n">
        <x:v>20</x:v>
      </x:c>
      <x:c r="G1459" s="73" t="n">
        <x:v>16</x:v>
      </x:c>
      <x:c r="H1459" s="73" t="n">
        <x:v>4</x:v>
      </x:c>
      <x:c r="I1459" s="73"/>
      <x:c r="J1459" s="73" t="n">
        <x:v>0</x:v>
      </x:c>
      <x:c r="K1459" s="49" t="str">
        <x:v>Un-Aided</x:v>
      </x:c>
      <x:c r="L1459" s="49" t="str">
        <x:v>MS Seats : 16+ EWS : 4</x:v>
      </x:c>
      <x:c r="M1459" s="49" t="str">
        <x:v>https://dse2025.mahacet.org.in/dse25/admin/allotment/cap2/6187_4.pdf</x:v>
      </x:c>
    </x:row>
    <x:row r="1460">
      <x:c r="A1460" s="49" t="str">
        <x:v>2025-26</x:v>
      </x:c>
      <x:c r="B1460" s="63" t="n">
        <x:v>6187</x:v>
      </x:c>
      <x:c r="C1460" s="49" t="str">
        <x:v>Sinhgad Academy of Engineering, Kondhwa (BK) Kondhwa-Saswad Road, Pune</x:v>
      </x:c>
      <x:c r="D1460" s="72" t="n">
        <x:v>618761210</x:v>
      </x:c>
      <x:c r="E1460" s="49" t="str">
        <x:v>Mechanical Engineering</x:v>
      </x:c>
      <x:c r="F1460" s="73" t="n">
        <x:v>74</x:v>
      </x:c>
      <x:c r="G1460" s="73" t="n">
        <x:v>61</x:v>
      </x:c>
      <x:c r="H1460" s="73" t="n">
        <x:v>13</x:v>
      </x:c>
      <x:c r="I1460" s="73"/>
      <x:c r="J1460" s="73" t="n">
        <x:v>0</x:v>
      </x:c>
      <x:c r="K1460" s="49" t="str">
        <x:v>Un-Aided</x:v>
      </x:c>
      <x:c r="L1460" s="49" t="str">
        <x:v>MS Seats : 61+ EWS : 13</x:v>
      </x:c>
      <x:c r="M1460" s="49" t="str">
        <x:v>https://dse2025.mahacet.org.in/dse25/admin/allotment/cap2/6187_4.pdf</x:v>
      </x:c>
    </x:row>
    <x:row r="1461">
      <x:c r="A1461" s="49" t="str">
        <x:v>2025-26</x:v>
      </x:c>
      <x:c r="B1461" s="63" t="n">
        <x:v>6203</x:v>
      </x:c>
      <x:c r="C1461" s="49" t="str">
        <x:v>Marathwada Mitra Mandal's Institute of Technology, Lohgaon, Pune</x:v>
      </x:c>
      <x:c r="D1461" s="72" t="n">
        <x:v>620319110</x:v>
      </x:c>
      <x:c r="E1461" s="49" t="str">
        <x:v>Civil Engineering</x:v>
      </x:c>
      <x:c r="F1461" s="73" t="n">
        <x:v>36</x:v>
      </x:c>
      <x:c r="G1461" s="73" t="n">
        <x:v>29</x:v>
      </x:c>
      <x:c r="H1461" s="73" t="n">
        <x:v>7</x:v>
      </x:c>
      <x:c r="I1461" s="73"/>
      <x:c r="J1461" s="73" t="n">
        <x:v>0</x:v>
      </x:c>
      <x:c r="K1461" s="49" t="str">
        <x:v>Un-Aided</x:v>
      </x:c>
      <x:c r="L1461" s="49" t="str">
        <x:v>MS Seats : 29+ EWS : 7</x:v>
      </x:c>
      <x:c r="M1461" s="49" t="str">
        <x:v>https://dse2025.mahacet.org.in/dse25/admin/allotment/cap2/6203_4.pdf</x:v>
      </x:c>
    </x:row>
    <x:row r="1462">
      <x:c r="A1462" s="49" t="str">
        <x:v>2025-26</x:v>
      </x:c>
      <x:c r="B1462" s="63" t="n">
        <x:v>6203</x:v>
      </x:c>
      <x:c r="C1462" s="49" t="str">
        <x:v>Marathwada Mitra Mandal's Institute of Technology, Lohgaon, Pune</x:v>
      </x:c>
      <x:c r="D1462" s="72" t="n">
        <x:v>620324510</x:v>
      </x:c>
      <x:c r="E1462" s="49" t="str">
        <x:v>Computer Engineering</x:v>
      </x:c>
      <x:c r="F1462" s="73" t="n">
        <x:v>23</x:v>
      </x:c>
      <x:c r="G1462" s="73" t="n">
        <x:v>18</x:v>
      </x:c>
      <x:c r="H1462" s="73" t="n">
        <x:v>5</x:v>
      </x:c>
      <x:c r="I1462" s="73"/>
      <x:c r="J1462" s="73" t="n">
        <x:v>0</x:v>
      </x:c>
      <x:c r="K1462" s="49" t="str">
        <x:v>Un-Aided</x:v>
      </x:c>
      <x:c r="L1462" s="49" t="str">
        <x:v>MS Seats : 18+ EWS : 5</x:v>
      </x:c>
      <x:c r="M1462" s="49" t="str">
        <x:v>https://dse2025.mahacet.org.in/dse25/admin/allotment/cap2/6203_4.pdf</x:v>
      </x:c>
    </x:row>
    <x:row r="1463">
      <x:c r="A1463" s="49" t="str">
        <x:v>2025-26</x:v>
      </x:c>
      <x:c r="B1463" s="63" t="n">
        <x:v>6203</x:v>
      </x:c>
      <x:c r="C1463" s="49" t="str">
        <x:v>Marathwada Mitra Mandal's Institute of Technology, Lohgaon, Pune</x:v>
      </x:c>
      <x:c r="D1463" s="72" t="n">
        <x:v>620326610</x:v>
      </x:c>
      <x:c r="E1463" s="49" t="str">
        <x:v>Robotics and Artificial Intelligence</x:v>
      </x:c>
      <x:c r="F1463" s="73" t="n">
        <x:v>16</x:v>
      </x:c>
      <x:c r="G1463" s="73" t="n">
        <x:v>12</x:v>
      </x:c>
      <x:c r="H1463" s="73" t="n">
        <x:v>4</x:v>
      </x:c>
      <x:c r="I1463" s="73"/>
      <x:c r="J1463" s="73" t="n">
        <x:v>0</x:v>
      </x:c>
      <x:c r="K1463" s="49" t="str">
        <x:v>Un-Aided</x:v>
      </x:c>
      <x:c r="L1463" s="49" t="str">
        <x:v>MS Seats : 12+ EWS : 4</x:v>
      </x:c>
      <x:c r="M1463" s="49" t="str">
        <x:v>https://dse2025.mahacet.org.in/dse25/admin/allotment/cap2/6203_4.pdf</x:v>
      </x:c>
    </x:row>
    <x:row r="1464">
      <x:c r="A1464" s="49" t="str">
        <x:v>2025-26</x:v>
      </x:c>
      <x:c r="B1464" s="63" t="n">
        <x:v>6203</x:v>
      </x:c>
      <x:c r="C1464" s="49" t="str">
        <x:v>Marathwada Mitra Mandal's Institute of Technology, Lohgaon, Pune</x:v>
      </x:c>
      <x:c r="D1464" s="72" t="n">
        <x:v>620361210</x:v>
      </x:c>
      <x:c r="E1464" s="49" t="str">
        <x:v>Mechanical Engineering</x:v>
      </x:c>
      <x:c r="F1464" s="73" t="n">
        <x:v>22</x:v>
      </x:c>
      <x:c r="G1464" s="73" t="n">
        <x:v>18</x:v>
      </x:c>
      <x:c r="H1464" s="73" t="n">
        <x:v>4</x:v>
      </x:c>
      <x:c r="I1464" s="73"/>
      <x:c r="J1464" s="73" t="n">
        <x:v>0</x:v>
      </x:c>
      <x:c r="K1464" s="49" t="str">
        <x:v>Un-Aided</x:v>
      </x:c>
      <x:c r="L1464" s="49" t="str">
        <x:v>MS Seats : 18+ EWS : 4</x:v>
      </x:c>
      <x:c r="M1464" s="49" t="str">
        <x:v>https://dse2025.mahacet.org.in/dse25/admin/allotment/cap2/6203_4.pdf</x:v>
      </x:c>
    </x:row>
    <x:row r="1465">
      <x:c r="A1465" s="49" t="str">
        <x:v>2025-26</x:v>
      </x:c>
      <x:c r="B1465" s="63" t="n">
        <x:v>6203</x:v>
      </x:c>
      <x:c r="C1465" s="49" t="str">
        <x:v>Marathwada Mitra Mandal's Institute of Technology, Lohgaon, Pune</x:v>
      </x:c>
      <x:c r="D1465" s="72" t="n">
        <x:v>620362410</x:v>
      </x:c>
      <x:c r="E1465" s="49" t="str">
        <x:v>Mechatronics Engineering</x:v>
      </x:c>
      <x:c r="F1465" s="73" t="n">
        <x:v>17</x:v>
      </x:c>
      <x:c r="G1465" s="73" t="n">
        <x:v>13</x:v>
      </x:c>
      <x:c r="H1465" s="73" t="n">
        <x:v>4</x:v>
      </x:c>
      <x:c r="I1465" s="73"/>
      <x:c r="J1465" s="73" t="n">
        <x:v>0</x:v>
      </x:c>
      <x:c r="K1465" s="49" t="str">
        <x:v>Un-Aided</x:v>
      </x:c>
      <x:c r="L1465" s="49" t="str">
        <x:v>MS Seats : 13+ EWS : 4</x:v>
      </x:c>
      <x:c r="M1465" s="49" t="str">
        <x:v>https://dse2025.mahacet.org.in/dse25/admin/allotment/cap2/6203_4.pdf</x:v>
      </x:c>
    </x:row>
    <x:row r="1466">
      <x:c r="A1466" s="49" t="str">
        <x:v>2025-26</x:v>
      </x:c>
      <x:c r="B1466" s="63" t="n">
        <x:v>6203</x:v>
      </x:c>
      <x:c r="C1466" s="49" t="str">
        <x:v>Marathwada Mitra Mandal's Institute of Technology, Lohgaon, Pune</x:v>
      </x:c>
      <x:c r="D1466" s="72" t="n">
        <x:v>620399510</x:v>
      </x:c>
      <x:c r="E1466" s="49" t="str">
        <x:v>Artificial Intelligence and Data Science</x:v>
      </x:c>
      <x:c r="F1466" s="73" t="n">
        <x:v>19</x:v>
      </x:c>
      <x:c r="G1466" s="73" t="n">
        <x:v>14</x:v>
      </x:c>
      <x:c r="H1466" s="73" t="n">
        <x:v>5</x:v>
      </x:c>
      <x:c r="I1466" s="73"/>
      <x:c r="J1466" s="73" t="n">
        <x:v>0</x:v>
      </x:c>
      <x:c r="K1466" s="49" t="str">
        <x:v>Un-Aided</x:v>
      </x:c>
      <x:c r="L1466" s="49" t="str">
        <x:v>MS Seats : 14+ EWS : 5</x:v>
      </x:c>
      <x:c r="M1466" s="49" t="str">
        <x:v>https://dse2025.mahacet.org.in/dse25/admin/allotment/cap2/6203_4.pdf</x:v>
      </x:c>
    </x:row>
    <x:row r="1467">
      <x:c r="A1467" s="49" t="str">
        <x:v>2025-26</x:v>
      </x:c>
      <x:c r="B1467" s="63" t="n">
        <x:v>6206</x:v>
      </x:c>
      <x:c r="C1467" s="49" t="str">
        <x:v>Pune District Education Association's College of Engineering, Manjari(Bk), Hadapsar, Pune</x:v>
      </x:c>
      <x:c r="D1467" s="72" t="n">
        <x:v>620624510</x:v>
      </x:c>
      <x:c r="E1467" s="49" t="str">
        <x:v>Computer Engineering</x:v>
      </x:c>
      <x:c r="F1467" s="73" t="n">
        <x:v>34</x:v>
      </x:c>
      <x:c r="G1467" s="73" t="n">
        <x:v>27</x:v>
      </x:c>
      <x:c r="H1467" s="73" t="n">
        <x:v>7</x:v>
      </x:c>
      <x:c r="I1467" s="73"/>
      <x:c r="J1467" s="73" t="n">
        <x:v>0</x:v>
      </x:c>
      <x:c r="K1467" s="49" t="str">
        <x:v>Un-Aided</x:v>
      </x:c>
      <x:c r="L1467" s="49" t="str">
        <x:v>MS Seats : 27+ EWS : 7</x:v>
      </x:c>
      <x:c r="M1467" s="49" t="str">
        <x:v>https://dse2025.mahacet.org.in/dse25/admin/allotment/cap2/6206_4.pdf</x:v>
      </x:c>
    </x:row>
    <x:row r="1468">
      <x:c r="A1468" s="49" t="str">
        <x:v>2025-26</x:v>
      </x:c>
      <x:c r="B1468" s="63" t="n">
        <x:v>6206</x:v>
      </x:c>
      <x:c r="C1468" s="49" t="str">
        <x:v>Pune District Education Association's College of Engineering, Manjari(Bk), Hadapsar, Pune</x:v>
      </x:c>
      <x:c r="D1468" s="72" t="n">
        <x:v>620624610</x:v>
      </x:c>
      <x:c r="E1468" s="49" t="str">
        <x:v>Information Technology</x:v>
      </x:c>
      <x:c r="F1468" s="73" t="n">
        <x:v>10</x:v>
      </x:c>
      <x:c r="G1468" s="73" t="n">
        <x:v>9</x:v>
      </x:c>
      <x:c r="H1468" s="73" t="n">
        <x:v>1</x:v>
      </x:c>
      <x:c r="I1468" s="73"/>
      <x:c r="J1468" s="73" t="n">
        <x:v>0</x:v>
      </x:c>
      <x:c r="K1468" s="49" t="str">
        <x:v>Un-Aided</x:v>
      </x:c>
      <x:c r="L1468" s="49" t="str">
        <x:v>MS Seats : 9+ EWS : 1</x:v>
      </x:c>
      <x:c r="M1468" s="49" t="str">
        <x:v>https://dse2025.mahacet.org.in/dse25/admin/allotment/cap2/6206_4.pdf</x:v>
      </x:c>
    </x:row>
    <x:row r="1469">
      <x:c r="A1469" s="49" t="str">
        <x:v>2025-26</x:v>
      </x:c>
      <x:c r="B1469" s="63" t="n">
        <x:v>6206</x:v>
      </x:c>
      <x:c r="C1469" s="49" t="str">
        <x:v>Pune District Education Association's College of Engineering, Manjari(Bk), Hadapsar, Pune</x:v>
      </x:c>
      <x:c r="D1469" s="72" t="n">
        <x:v>620637210</x:v>
      </x:c>
      <x:c r="E1469" s="49" t="str">
        <x:v>Electronics and Telecommunication Engg</x:v>
      </x:c>
      <x:c r="F1469" s="73" t="n">
        <x:v>21</x:v>
      </x:c>
      <x:c r="G1469" s="73" t="n">
        <x:v>17</x:v>
      </x:c>
      <x:c r="H1469" s="73" t="n">
        <x:v>4</x:v>
      </x:c>
      <x:c r="I1469" s="73"/>
      <x:c r="J1469" s="73" t="n">
        <x:v>0</x:v>
      </x:c>
      <x:c r="K1469" s="49" t="str">
        <x:v>Un-Aided</x:v>
      </x:c>
      <x:c r="L1469" s="49" t="str">
        <x:v>MS Seats : 17+ EWS : 4</x:v>
      </x:c>
      <x:c r="M1469" s="49" t="str">
        <x:v>https://dse2025.mahacet.org.in/dse25/admin/allotment/cap2/6206_4.pdf</x:v>
      </x:c>
    </x:row>
    <x:row r="1470">
      <x:c r="A1470" s="49" t="str">
        <x:v>2025-26</x:v>
      </x:c>
      <x:c r="B1470" s="63" t="n">
        <x:v>6206</x:v>
      </x:c>
      <x:c r="C1470" s="49" t="str">
        <x:v>Pune District Education Association's College of Engineering, Manjari(Bk), Hadapsar, Pune</x:v>
      </x:c>
      <x:c r="D1470" s="72" t="n">
        <x:v>620661210</x:v>
      </x:c>
      <x:c r="E1470" s="49" t="str">
        <x:v>Mechanical Engineering</x:v>
      </x:c>
      <x:c r="F1470" s="73" t="n">
        <x:v>32</x:v>
      </x:c>
      <x:c r="G1470" s="73" t="n">
        <x:v>26</x:v>
      </x:c>
      <x:c r="H1470" s="73" t="n">
        <x:v>6</x:v>
      </x:c>
      <x:c r="I1470" s="73"/>
      <x:c r="J1470" s="73" t="n">
        <x:v>0</x:v>
      </x:c>
      <x:c r="K1470" s="49" t="str">
        <x:v>Un-Aided</x:v>
      </x:c>
      <x:c r="L1470" s="49" t="str">
        <x:v>MS Seats : 26+ EWS : 6</x:v>
      </x:c>
      <x:c r="M1470" s="49" t="str">
        <x:v>https://dse2025.mahacet.org.in/dse25/admin/allotment/cap2/6206_4.pdf</x:v>
      </x:c>
    </x:row>
    <x:row r="1471">
      <x:c r="A1471" s="49" t="str">
        <x:v>2025-26</x:v>
      </x:c>
      <x:c r="B1471" s="63" t="n">
        <x:v>6206</x:v>
      </x:c>
      <x:c r="C1471" s="49" t="str">
        <x:v>Pune District Education Association's College of Engineering, Manjari(Bk), Hadapsar, Pune</x:v>
      </x:c>
      <x:c r="D1471" s="72" t="n">
        <x:v>620699510</x:v>
      </x:c>
      <x:c r="E1471" s="49" t="str">
        <x:v>Artificial Intelligence and Data Science</x:v>
      </x:c>
      <x:c r="F1471" s="73" t="n">
        <x:v>10</x:v>
      </x:c>
      <x:c r="G1471" s="73" t="n">
        <x:v>7</x:v>
      </x:c>
      <x:c r="H1471" s="73" t="n">
        <x:v>3</x:v>
      </x:c>
      <x:c r="I1471" s="73"/>
      <x:c r="J1471" s="73" t="n">
        <x:v>0</x:v>
      </x:c>
      <x:c r="K1471" s="49" t="str">
        <x:v>Un-Aided</x:v>
      </x:c>
      <x:c r="L1471" s="49" t="str">
        <x:v>MS Seats : 7+ EWS : 3</x:v>
      </x:c>
      <x:c r="M1471" s="49" t="str">
        <x:v>https://dse2025.mahacet.org.in/dse25/admin/allotment/cap2/6206_4.pdf</x:v>
      </x:c>
    </x:row>
    <x:row r="1472">
      <x:c r="A1472" s="49" t="str">
        <x:v>2025-26</x:v>
      </x:c>
      <x:c r="B1472" s="63" t="n">
        <x:v>6207</x:v>
      </x:c>
      <x:c r="C1472" s="49" t="str">
        <x:v>Dr. D. Y. Patil Unitech Society's Dr. D. Y. Patil Institute of Technology, Pimpri, Pune</x:v>
      </x:c>
      <x:c r="D1472" s="72" t="n">
        <x:v>620719110</x:v>
      </x:c>
      <x:c r="E1472" s="49" t="str">
        <x:v>Civil Engineering</x:v>
      </x:c>
      <x:c r="F1472" s="73" t="n">
        <x:v>23</x:v>
      </x:c>
      <x:c r="G1472" s="73" t="n">
        <x:v>18</x:v>
      </x:c>
      <x:c r="H1472" s="73" t="n">
        <x:v>5</x:v>
      </x:c>
      <x:c r="I1472" s="73"/>
      <x:c r="J1472" s="73" t="n">
        <x:v>0</x:v>
      </x:c>
      <x:c r="K1472" s="49" t="str">
        <x:v>Un-Aided</x:v>
      </x:c>
      <x:c r="L1472" s="49" t="str">
        <x:v>MS Seats : 18+ EWS : 5</x:v>
      </x:c>
      <x:c r="M1472" s="49" t="str">
        <x:v>https://dse2025.mahacet.org.in/dse25/admin/allotment/cap2/6207_4.pdf</x:v>
      </x:c>
    </x:row>
    <x:row r="1473">
      <x:c r="A1473" s="49" t="str">
        <x:v>2025-26</x:v>
      </x:c>
      <x:c r="B1473" s="63" t="n">
        <x:v>6207</x:v>
      </x:c>
      <x:c r="C1473" s="49" t="str">
        <x:v>Dr. D. Y. Patil Unitech Society's Dr. D. Y. Patil Institute of Technology, Pimpri, Pune</x:v>
      </x:c>
      <x:c r="D1473" s="72" t="n">
        <x:v>620724510</x:v>
      </x:c>
      <x:c r="E1473" s="49" t="str">
        <x:v>Computer Engineering</x:v>
      </x:c>
      <x:c r="F1473" s="73" t="n">
        <x:v>33</x:v>
      </x:c>
      <x:c r="G1473" s="73" t="n">
        <x:v>28</x:v>
      </x:c>
      <x:c r="H1473" s="73" t="n">
        <x:v>5</x:v>
      </x:c>
      <x:c r="I1473" s="73"/>
      <x:c r="J1473" s="73" t="n">
        <x:v>0</x:v>
      </x:c>
      <x:c r="K1473" s="49" t="str">
        <x:v>Un-Aided</x:v>
      </x:c>
      <x:c r="L1473" s="49" t="str">
        <x:v>MS Seats : 28+ EWS : 5</x:v>
      </x:c>
      <x:c r="M1473" s="49" t="str">
        <x:v>https://dse2025.mahacet.org.in/dse25/admin/allotment/cap2/6207_4.pdf</x:v>
      </x:c>
    </x:row>
    <x:row r="1474">
      <x:c r="A1474" s="49" t="str">
        <x:v>2025-26</x:v>
      </x:c>
      <x:c r="B1474" s="63" t="n">
        <x:v>6207</x:v>
      </x:c>
      <x:c r="C1474" s="49" t="str">
        <x:v>Dr. D. Y. Patil Unitech Society's Dr. D. Y. Patil Institute of Technology, Pimpri, Pune</x:v>
      </x:c>
      <x:c r="D1474" s="72" t="n">
        <x:v>620724610</x:v>
      </x:c>
      <x:c r="E1474" s="49" t="str">
        <x:v>Information Technology</x:v>
      </x:c>
      <x:c r="F1474" s="73" t="n">
        <x:v>8</x:v>
      </x:c>
      <x:c r="G1474" s="73" t="n">
        <x:v>7</x:v>
      </x:c>
      <x:c r="H1474" s="73" t="n">
        <x:v>1</x:v>
      </x:c>
      <x:c r="I1474" s="73"/>
      <x:c r="J1474" s="73" t="n">
        <x:v>0</x:v>
      </x:c>
      <x:c r="K1474" s="49" t="str">
        <x:v>Un-Aided</x:v>
      </x:c>
      <x:c r="L1474" s="49" t="str">
        <x:v>MS Seats : 7+ EWS : 1</x:v>
      </x:c>
      <x:c r="M1474" s="49" t="str">
        <x:v>https://dse2025.mahacet.org.in/dse25/admin/allotment/cap2/6207_4.pdf</x:v>
      </x:c>
    </x:row>
    <x:row r="1475">
      <x:c r="A1475" s="49" t="str">
        <x:v>2025-26</x:v>
      </x:c>
      <x:c r="B1475" s="63" t="n">
        <x:v>6207</x:v>
      </x:c>
      <x:c r="C1475" s="49" t="str">
        <x:v>Dr. D. Y. Patil Unitech Society's Dr. D. Y. Patil Institute of Technology, Pimpri, Pune</x:v>
      </x:c>
      <x:c r="D1475" s="72" t="n">
        <x:v>620729310</x:v>
      </x:c>
      <x:c r="E1475" s="49" t="str">
        <x:v>Electrical Engineering</x:v>
      </x:c>
      <x:c r="F1475" s="73" t="n">
        <x:v>8</x:v>
      </x:c>
      <x:c r="G1475" s="73" t="n">
        <x:v>7</x:v>
      </x:c>
      <x:c r="H1475" s="73" t="n">
        <x:v>1</x:v>
      </x:c>
      <x:c r="I1475" s="73"/>
      <x:c r="J1475" s="73" t="n">
        <x:v>0</x:v>
      </x:c>
      <x:c r="K1475" s="49" t="str">
        <x:v>Un-Aided</x:v>
      </x:c>
      <x:c r="L1475" s="49" t="str">
        <x:v>MS Seats : 7+ EWS : 1</x:v>
      </x:c>
      <x:c r="M1475" s="49" t="str">
        <x:v>https://dse2025.mahacet.org.in/dse25/admin/allotment/cap2/6207_4.pdf</x:v>
      </x:c>
    </x:row>
    <x:row r="1476">
      <x:c r="A1476" s="49" t="str">
        <x:v>2025-26</x:v>
      </x:c>
      <x:c r="B1476" s="63" t="n">
        <x:v>6207</x:v>
      </x:c>
      <x:c r="C1476" s="49" t="str">
        <x:v>Dr. D. Y. Patil Unitech Society's Dr. D. Y. Patil Institute of Technology, Pimpri, Pune</x:v>
      </x:c>
      <x:c r="D1476" s="72" t="n">
        <x:v>620737210</x:v>
      </x:c>
      <x:c r="E1476" s="49" t="str">
        <x:v>Electronics and Telecommunication Engg</x:v>
      </x:c>
      <x:c r="F1476" s="73" t="n">
        <x:v>31</x:v>
      </x:c>
      <x:c r="G1476" s="73" t="n">
        <x:v>24</x:v>
      </x:c>
      <x:c r="H1476" s="73" t="n">
        <x:v>7</x:v>
      </x:c>
      <x:c r="I1476" s="73"/>
      <x:c r="J1476" s="73" t="n">
        <x:v>0</x:v>
      </x:c>
      <x:c r="K1476" s="49" t="str">
        <x:v>Un-Aided</x:v>
      </x:c>
      <x:c r="L1476" s="49" t="str">
        <x:v>MS Seats : 24+ EWS : 7</x:v>
      </x:c>
      <x:c r="M1476" s="49" t="str">
        <x:v>https://dse2025.mahacet.org.in/dse25/admin/allotment/cap2/6207_4.pdf</x:v>
      </x:c>
    </x:row>
    <x:row r="1477">
      <x:c r="A1477" s="49" t="str">
        <x:v>2025-26</x:v>
      </x:c>
      <x:c r="B1477" s="63" t="n">
        <x:v>6207</x:v>
      </x:c>
      <x:c r="C1477" s="49" t="str">
        <x:v>Dr. D. Y. Patil Unitech Society's Dr. D. Y. Patil Institute of Technology, Pimpri, Pune</x:v>
      </x:c>
      <x:c r="D1477" s="72" t="n">
        <x:v>620746610</x:v>
      </x:c>
      <x:c r="E1477" s="49" t="str">
        <x:v>Instrumentation Engineering</x:v>
      </x:c>
      <x:c r="F1477" s="73" t="n">
        <x:v>5</x:v>
      </x:c>
      <x:c r="G1477" s="73" t="n">
        <x:v>5</x:v>
      </x:c>
      <x:c r="H1477" s="73" t="n">
        <x:v>0</x:v>
      </x:c>
      <x:c r="I1477" s="73"/>
      <x:c r="J1477" s="73" t="n">
        <x:v>0</x:v>
      </x:c>
      <x:c r="K1477" s="49" t="str">
        <x:v>Un-Aided</x:v>
      </x:c>
      <x:c r="L1477" s="49" t="str">
        <x:v>MS Seats : 5+ EWS : 0</x:v>
      </x:c>
      <x:c r="M1477" s="49" t="str">
        <x:v>https://dse2025.mahacet.org.in/dse25/admin/allotment/cap2/6207_4.pdf</x:v>
      </x:c>
    </x:row>
    <x:row r="1478">
      <x:c r="A1478" s="49" t="str">
        <x:v>2025-26</x:v>
      </x:c>
      <x:c r="B1478" s="63" t="n">
        <x:v>6207</x:v>
      </x:c>
      <x:c r="C1478" s="49" t="str">
        <x:v>Dr. D. Y. Patil Unitech Society's Dr. D. Y. Patil Institute of Technology, Pimpri, Pune</x:v>
      </x:c>
      <x:c r="D1478" s="72" t="n">
        <x:v>620761210</x:v>
      </x:c>
      <x:c r="E1478" s="49" t="str">
        <x:v>Mechanical Engineering</x:v>
      </x:c>
      <x:c r="F1478" s="73" t="n">
        <x:v>25</x:v>
      </x:c>
      <x:c r="G1478" s="73" t="n">
        <x:v>22</x:v>
      </x:c>
      <x:c r="H1478" s="73" t="n">
        <x:v>3</x:v>
      </x:c>
      <x:c r="I1478" s="73"/>
      <x:c r="J1478" s="73" t="n">
        <x:v>0</x:v>
      </x:c>
      <x:c r="K1478" s="49" t="str">
        <x:v>Un-Aided</x:v>
      </x:c>
      <x:c r="L1478" s="49" t="str">
        <x:v>MS Seats : 22+ EWS : 3</x:v>
      </x:c>
      <x:c r="M1478" s="49" t="str">
        <x:v>https://dse2025.mahacet.org.in/dse25/admin/allotment/cap2/6207_4.pdf</x:v>
      </x:c>
    </x:row>
    <x:row r="1479">
      <x:c r="A1479" s="49" t="str">
        <x:v>2025-26</x:v>
      </x:c>
      <x:c r="B1479" s="63" t="n">
        <x:v>6207</x:v>
      </x:c>
      <x:c r="C1479" s="49" t="str">
        <x:v>Dr. D. Y. Patil Unitech Society's Dr. D. Y. Patil Institute of Technology, Pimpri, Pune</x:v>
      </x:c>
      <x:c r="D1479" s="72" t="n">
        <x:v>620791610</x:v>
      </x:c>
      <x:c r="E1479" s="49" t="str">
        <x:v>Automation and Robotics</x:v>
      </x:c>
      <x:c r="F1479" s="73" t="n">
        <x:v>8</x:v>
      </x:c>
      <x:c r="G1479" s="73" t="n">
        <x:v>7</x:v>
      </x:c>
      <x:c r="H1479" s="73" t="n">
        <x:v>1</x:v>
      </x:c>
      <x:c r="I1479" s="73"/>
      <x:c r="J1479" s="73" t="n">
        <x:v>0</x:v>
      </x:c>
      <x:c r="K1479" s="49" t="str">
        <x:v>Un-Aided</x:v>
      </x:c>
      <x:c r="L1479" s="49" t="str">
        <x:v>MS Seats : 7+ EWS : 1</x:v>
      </x:c>
      <x:c r="M1479" s="49" t="str">
        <x:v>https://dse2025.mahacet.org.in/dse25/admin/allotment/cap2/6207_4.pdf</x:v>
      </x:c>
    </x:row>
    <x:row r="1480">
      <x:c r="A1480" s="49" t="str">
        <x:v>2025-26</x:v>
      </x:c>
      <x:c r="B1480" s="63" t="n">
        <x:v>6207</x:v>
      </x:c>
      <x:c r="C1480" s="49" t="str">
        <x:v>Dr. D. Y. Patil Unitech Society's Dr. D. Y. Patil Institute of Technology, Pimpri, Pune</x:v>
      </x:c>
      <x:c r="D1480" s="72" t="n">
        <x:v>620799510</x:v>
      </x:c>
      <x:c r="E1480" s="49" t="str">
        <x:v>Artificial Intelligence and Data Science</x:v>
      </x:c>
      <x:c r="F1480" s="73" t="n">
        <x:v>26</x:v>
      </x:c>
      <x:c r="G1480" s="73" t="n">
        <x:v>24</x:v>
      </x:c>
      <x:c r="H1480" s="73" t="n">
        <x:v>2</x:v>
      </x:c>
      <x:c r="I1480" s="73"/>
      <x:c r="J1480" s="73" t="n">
        <x:v>0</x:v>
      </x:c>
      <x:c r="K1480" s="49" t="str">
        <x:v>Un-Aided</x:v>
      </x:c>
      <x:c r="L1480" s="49" t="str">
        <x:v>MS Seats : 24+ EWS : 2</x:v>
      </x:c>
      <x:c r="M1480" s="49" t="str">
        <x:v>https://dse2025.mahacet.org.in/dse25/admin/allotment/cap2/6207_4.pdf</x:v>
      </x:c>
    </x:row>
    <x:row r="1481">
      <x:c r="A1481" s="49" t="str">
        <x:v>2025-26</x:v>
      </x:c>
      <x:c r="B1481" s="63" t="n">
        <x:v>6214</x:v>
      </x:c>
      <x:c r="C1481" s="49" t="str">
        <x:v>K. E. Society's Rajarambapu Institute of Technology, Walwa, Sangli</x:v>
      </x:c>
      <x:c r="D1481" s="72" t="n">
        <x:v>621419110</x:v>
      </x:c>
      <x:c r="E1481" s="49" t="str">
        <x:v>Civil Engineering</x:v>
      </x:c>
      <x:c r="F1481" s="73" t="n">
        <x:v>14</x:v>
      </x:c>
      <x:c r="G1481" s="73" t="n">
        <x:v>13</x:v>
      </x:c>
      <x:c r="H1481" s="73" t="n">
        <x:v>1</x:v>
      </x:c>
      <x:c r="I1481" s="73"/>
      <x:c r="J1481" s="73" t="n">
        <x:v>0</x:v>
      </x:c>
      <x:c r="K1481" s="49" t="str">
        <x:v>Un-Aided Autonomous</x:v>
      </x:c>
      <x:c r="L1481" s="49" t="str">
        <x:v>MS Seats : 13+ EWS : 1</x:v>
      </x:c>
      <x:c r="M1481" s="49" t="str">
        <x:v>https://dse2025.mahacet.org.in/dse25/admin/allotment/cap2/6214_4.pdf</x:v>
      </x:c>
    </x:row>
    <x:row r="1482">
      <x:c r="A1482" s="49" t="str">
        <x:v>2025-26</x:v>
      </x:c>
      <x:c r="B1482" s="63" t="n">
        <x:v>6214</x:v>
      </x:c>
      <x:c r="C1482" s="49" t="str">
        <x:v>K. E. Society's Rajarambapu Institute of Technology, Walwa, Sangli</x:v>
      </x:c>
      <x:c r="D1482" s="72" t="n">
        <x:v>621421910</x:v>
      </x:c>
      <x:c r="E1482" s="49" t="str">
        <x:v>Robotics and Automation</x:v>
      </x:c>
      <x:c r="F1482" s="73" t="n">
        <x:v>15</x:v>
      </x:c>
      <x:c r="G1482" s="73" t="n">
        <x:v>13</x:v>
      </x:c>
      <x:c r="H1482" s="73" t="n">
        <x:v>2</x:v>
      </x:c>
      <x:c r="I1482" s="73"/>
      <x:c r="J1482" s="73" t="n">
        <x:v>0</x:v>
      </x:c>
      <x:c r="K1482" s="49" t="str">
        <x:v>Un-Aided Autonomous</x:v>
      </x:c>
      <x:c r="L1482" s="49" t="str">
        <x:v>MS Seats : 13+ EWS : 2</x:v>
      </x:c>
      <x:c r="M1482" s="49" t="str">
        <x:v>https://dse2025.mahacet.org.in/dse25/admin/allotment/cap2/6214_4.pdf</x:v>
      </x:c>
    </x:row>
    <x:row r="1483">
      <x:c r="A1483" s="49" t="str">
        <x:v>2025-26</x:v>
      </x:c>
      <x:c r="B1483" s="63" t="n">
        <x:v>6214</x:v>
      </x:c>
      <x:c r="C1483" s="49" t="str">
        <x:v>K. E. Society's Rajarambapu Institute of Technology, Walwa, Sangli</x:v>
      </x:c>
      <x:c r="D1483" s="72" t="n">
        <x:v>621424510</x:v>
      </x:c>
      <x:c r="E1483" s="49" t="str">
        <x:v>Computer Engineering</x:v>
      </x:c>
      <x:c r="F1483" s="73" t="n">
        <x:v>27</x:v>
      </x:c>
      <x:c r="G1483" s="73" t="n">
        <x:v>24</x:v>
      </x:c>
      <x:c r="H1483" s="73" t="n">
        <x:v>3</x:v>
      </x:c>
      <x:c r="I1483" s="73"/>
      <x:c r="J1483" s="73" t="n">
        <x:v>0</x:v>
      </x:c>
      <x:c r="K1483" s="49" t="str">
        <x:v>Un-Aided Autonomous</x:v>
      </x:c>
      <x:c r="L1483" s="49" t="str">
        <x:v>MS Seats : 24+ EWS : 3</x:v>
      </x:c>
      <x:c r="M1483" s="49" t="str">
        <x:v>https://dse2025.mahacet.org.in/dse25/admin/allotment/cap2/6214_4.pdf</x:v>
      </x:c>
    </x:row>
    <x:row r="1484">
      <x:c r="A1484" s="49" t="str">
        <x:v>2025-26</x:v>
      </x:c>
      <x:c r="B1484" s="63" t="n">
        <x:v>6214</x:v>
      </x:c>
      <x:c r="C1484" s="49" t="str">
        <x:v>K. E. Society's Rajarambapu Institute of Technology, Walwa, Sangli</x:v>
      </x:c>
      <x:c r="D1484" s="72" t="n">
        <x:v>621429310</x:v>
      </x:c>
      <x:c r="E1484" s="49" t="str">
        <x:v>Electrical Engineering</x:v>
      </x:c>
      <x:c r="F1484" s="73" t="n">
        <x:v>10</x:v>
      </x:c>
      <x:c r="G1484" s="73" t="n">
        <x:v>9</x:v>
      </x:c>
      <x:c r="H1484" s="73" t="n">
        <x:v>1</x:v>
      </x:c>
      <x:c r="I1484" s="73"/>
      <x:c r="J1484" s="73" t="n">
        <x:v>0</x:v>
      </x:c>
      <x:c r="K1484" s="49" t="str">
        <x:v>Un-Aided Autonomous</x:v>
      </x:c>
      <x:c r="L1484" s="49" t="str">
        <x:v>MS Seats : 9+ EWS : 1</x:v>
      </x:c>
      <x:c r="M1484" s="49" t="str">
        <x:v>https://dse2025.mahacet.org.in/dse25/admin/allotment/cap2/6214_4.pdf</x:v>
      </x:c>
    </x:row>
    <x:row r="1485">
      <x:c r="A1485" s="49" t="str">
        <x:v>2025-26</x:v>
      </x:c>
      <x:c r="B1485" s="63" t="n">
        <x:v>6214</x:v>
      </x:c>
      <x:c r="C1485" s="49" t="str">
        <x:v>K. E. Society's Rajarambapu Institute of Technology, Walwa, Sangli</x:v>
      </x:c>
      <x:c r="D1485" s="72" t="n">
        <x:v>621437210</x:v>
      </x:c>
      <x:c r="E1485" s="49" t="str">
        <x:v>Electronics and Telecommunication Engg</x:v>
      </x:c>
      <x:c r="F1485" s="73" t="n">
        <x:v>17</x:v>
      </x:c>
      <x:c r="G1485" s="73" t="n">
        <x:v>14</x:v>
      </x:c>
      <x:c r="H1485" s="73" t="n">
        <x:v>3</x:v>
      </x:c>
      <x:c r="I1485" s="73"/>
      <x:c r="J1485" s="73" t="n">
        <x:v>0</x:v>
      </x:c>
      <x:c r="K1485" s="49" t="str">
        <x:v>Un-Aided Autonomous</x:v>
      </x:c>
      <x:c r="L1485" s="49" t="str">
        <x:v>MS Seats : 14+ EWS : 3</x:v>
      </x:c>
      <x:c r="M1485" s="49" t="str">
        <x:v>https://dse2025.mahacet.org.in/dse25/admin/allotment/cap2/6214_4.pdf</x:v>
      </x:c>
    </x:row>
    <x:row r="1486">
      <x:c r="A1486" s="49" t="str">
        <x:v>2025-26</x:v>
      </x:c>
      <x:c r="B1486" s="63" t="n">
        <x:v>6214</x:v>
      </x:c>
      <x:c r="C1486" s="49" t="str">
        <x:v>K. E. Society's Rajarambapu Institute of Technology, Walwa, Sangli</x:v>
      </x:c>
      <x:c r="D1486" s="72" t="n">
        <x:v>621456810</x:v>
      </x:c>
      <x:c r="E1486" s="49" t="str">
        <x:v>Computer Science and Information Technology</x:v>
      </x:c>
      <x:c r="F1486" s="73" t="n">
        <x:v>10</x:v>
      </x:c>
      <x:c r="G1486" s="73" t="n">
        <x:v>9</x:v>
      </x:c>
      <x:c r="H1486" s="73" t="n">
        <x:v>1</x:v>
      </x:c>
      <x:c r="I1486" s="73"/>
      <x:c r="J1486" s="73" t="n">
        <x:v>0</x:v>
      </x:c>
      <x:c r="K1486" s="49" t="str">
        <x:v>Un-Aided Autonomous</x:v>
      </x:c>
      <x:c r="L1486" s="49" t="str">
        <x:v>MS Seats : 9+ EWS : 1</x:v>
      </x:c>
      <x:c r="M1486" s="49" t="str">
        <x:v>https://dse2025.mahacet.org.in/dse25/admin/allotment/cap2/6214_4.pdf</x:v>
      </x:c>
    </x:row>
    <x:row r="1487">
      <x:c r="A1487" s="49" t="str">
        <x:v>2025-26</x:v>
      </x:c>
      <x:c r="B1487" s="63" t="n">
        <x:v>6214</x:v>
      </x:c>
      <x:c r="C1487" s="49" t="str">
        <x:v>K. E. Society's Rajarambapu Institute of Technology, Walwa, Sangli</x:v>
      </x:c>
      <x:c r="D1487" s="72" t="n">
        <x:v>621461210</x:v>
      </x:c>
      <x:c r="E1487" s="49" t="str">
        <x:v>Mechanical Engineering</x:v>
      </x:c>
      <x:c r="F1487" s="73" t="n">
        <x:v>22</x:v>
      </x:c>
      <x:c r="G1487" s="73" t="n">
        <x:v>19</x:v>
      </x:c>
      <x:c r="H1487" s="73" t="n">
        <x:v>3</x:v>
      </x:c>
      <x:c r="I1487" s="73"/>
      <x:c r="J1487" s="73" t="n">
        <x:v>0</x:v>
      </x:c>
      <x:c r="K1487" s="49" t="str">
        <x:v>Un-Aided Autonomous</x:v>
      </x:c>
      <x:c r="L1487" s="49" t="str">
        <x:v>MS Seats : 19+ EWS : 3</x:v>
      </x:c>
      <x:c r="M1487" s="49" t="str">
        <x:v>https://dse2025.mahacet.org.in/dse25/admin/allotment/cap2/6214_4.pdf</x:v>
      </x:c>
    </x:row>
    <x:row r="1488">
      <x:c r="A1488" s="49" t="str">
        <x:v>2025-26</x:v>
      </x:c>
      <x:c r="B1488" s="63" t="n">
        <x:v>6214</x:v>
      </x:c>
      <x:c r="C1488" s="49" t="str">
        <x:v>K. E. Society's Rajarambapu Institute of Technology, Walwa, Sangli</x:v>
      </x:c>
      <x:c r="D1488" s="72" t="n">
        <x:v>621462410</x:v>
      </x:c>
      <x:c r="E1488" s="49" t="str">
        <x:v>Mechatronics Engineering</x:v>
      </x:c>
      <x:c r="F1488" s="73" t="n">
        <x:v>8</x:v>
      </x:c>
      <x:c r="G1488" s="73" t="n">
        <x:v>7</x:v>
      </x:c>
      <x:c r="H1488" s="73" t="n">
        <x:v>1</x:v>
      </x:c>
      <x:c r="I1488" s="73"/>
      <x:c r="J1488" s="73" t="n">
        <x:v>0</x:v>
      </x:c>
      <x:c r="K1488" s="49" t="str">
        <x:v>Un-Aided Autonomous</x:v>
      </x:c>
      <x:c r="L1488" s="49" t="str">
        <x:v>MS Seats : 7+ EWS : 1</x:v>
      </x:c>
      <x:c r="M1488" s="49" t="str">
        <x:v>https://dse2025.mahacet.org.in/dse25/admin/allotment/cap2/6214_4.pdf</x:v>
      </x:c>
    </x:row>
    <x:row r="1489">
      <x:c r="A1489" s="49" t="str">
        <x:v>2025-26</x:v>
      </x:c>
      <x:c r="B1489" s="63" t="n">
        <x:v>6214</x:v>
      </x:c>
      <x:c r="C1489" s="49" t="str">
        <x:v>K. E. Society's Rajarambapu Institute of Technology, Walwa, Sangli</x:v>
      </x:c>
      <x:c r="D1489" s="72" t="n">
        <x:v>621491110</x:v>
      </x:c>
      <x:c r="E1489" s="49" t="str">
        <x:v>Computer Science and Engineering(Artificial Intelligence and Machine Learning)</x:v>
      </x:c>
      <x:c r="F1489" s="73" t="n">
        <x:v>11</x:v>
      </x:c>
      <x:c r="G1489" s="73" t="n">
        <x:v>10</x:v>
      </x:c>
      <x:c r="H1489" s="73" t="n">
        <x:v>1</x:v>
      </x:c>
      <x:c r="I1489" s="73"/>
      <x:c r="J1489" s="73" t="n">
        <x:v>0</x:v>
      </x:c>
      <x:c r="K1489" s="49" t="str">
        <x:v>Un-Aided Autonomous</x:v>
      </x:c>
      <x:c r="L1489" s="49" t="str">
        <x:v>MS Seats : 10+ EWS : 1</x:v>
      </x:c>
      <x:c r="M1489" s="49" t="str">
        <x:v>https://dse2025.mahacet.org.in/dse25/admin/allotment/cap2/6214_4.pdf</x:v>
      </x:c>
    </x:row>
    <x:row r="1490">
      <x:c r="A1490" s="49" t="str">
        <x:v>2025-26</x:v>
      </x:c>
      <x:c r="B1490" s="63" t="n">
        <x:v>6217</x:v>
      </x:c>
      <x:c r="C1490" s="49" t="str">
        <x:v>Shri. Balasaheb Mane Shikshan Prasarak Mandal's, Ashokrao Mane Group of Institutions</x:v>
      </x:c>
      <x:c r="D1490" s="72" t="n">
        <x:v>621719110</x:v>
      </x:c>
      <x:c r="E1490" s="49" t="str">
        <x:v>Civil Engineering</x:v>
      </x:c>
      <x:c r="F1490" s="73" t="n">
        <x:v>11</x:v>
      </x:c>
      <x:c r="G1490" s="73" t="n">
        <x:v>8</x:v>
      </x:c>
      <x:c r="H1490" s="73" t="n">
        <x:v>3</x:v>
      </x:c>
      <x:c r="I1490" s="73"/>
      <x:c r="J1490" s="73" t="n">
        <x:v>0</x:v>
      </x:c>
      <x:c r="K1490" s="49" t="str">
        <x:v>Un-Aided</x:v>
      </x:c>
      <x:c r="L1490" s="49" t="str">
        <x:v>MS Seats : 8+ EWS : 3</x:v>
      </x:c>
      <x:c r="M1490" s="49" t="str">
        <x:v>https://dse2025.mahacet.org.in/dse25/admin/allotment/cap2/6217_4.pdf</x:v>
      </x:c>
    </x:row>
    <x:row r="1491">
      <x:c r="A1491" s="49" t="str">
        <x:v>2025-26</x:v>
      </x:c>
      <x:c r="B1491" s="63" t="n">
        <x:v>6217</x:v>
      </x:c>
      <x:c r="C1491" s="49" t="str">
        <x:v>Shri. Balasaheb Mane Shikshan Prasarak Mandal's, Ashokrao Mane Group of Institutions</x:v>
      </x:c>
      <x:c r="D1491" s="72" t="n">
        <x:v>621724210</x:v>
      </x:c>
      <x:c r="E1491" s="49" t="str">
        <x:v>Computer Science and Engineering</x:v>
      </x:c>
      <x:c r="F1491" s="73" t="n">
        <x:v>54</x:v>
      </x:c>
      <x:c r="G1491" s="73" t="n">
        <x:v>52</x:v>
      </x:c>
      <x:c r="H1491" s="73" t="n">
        <x:v>2</x:v>
      </x:c>
      <x:c r="I1491" s="73"/>
      <x:c r="J1491" s="73" t="n">
        <x:v>0</x:v>
      </x:c>
      <x:c r="K1491" s="49" t="str">
        <x:v>Un-Aided</x:v>
      </x:c>
      <x:c r="L1491" s="49" t="str">
        <x:v>MS Seats : 52+ EWS : 2</x:v>
      </x:c>
      <x:c r="M1491" s="49" t="str">
        <x:v>https://dse2025.mahacet.org.in/dse25/admin/allotment/cap2/6217_4.pdf</x:v>
      </x:c>
    </x:row>
    <x:row r="1492">
      <x:c r="A1492" s="49" t="str">
        <x:v>2025-26</x:v>
      </x:c>
      <x:c r="B1492" s="63" t="n">
        <x:v>6217</x:v>
      </x:c>
      <x:c r="C1492" s="49" t="str">
        <x:v>Shri. Balasaheb Mane Shikshan Prasarak Mandal's, Ashokrao Mane Group of Institutions</x:v>
      </x:c>
      <x:c r="D1492" s="72" t="n">
        <x:v>621726310</x:v>
      </x:c>
      <x:c r="E1492" s="49" t="str">
        <x:v>Artificial Intelligence (AI) and Data Science</x:v>
      </x:c>
      <x:c r="F1492" s="73" t="n">
        <x:v>21</x:v>
      </x:c>
      <x:c r="G1492" s="73" t="n">
        <x:v>17</x:v>
      </x:c>
      <x:c r="H1492" s="73" t="n">
        <x:v>4</x:v>
      </x:c>
      <x:c r="I1492" s="73"/>
      <x:c r="J1492" s="73" t="n">
        <x:v>0</x:v>
      </x:c>
      <x:c r="K1492" s="49" t="str">
        <x:v>Un-Aided</x:v>
      </x:c>
      <x:c r="L1492" s="49" t="str">
        <x:v>MS Seats : 17+ EWS : 4</x:v>
      </x:c>
      <x:c r="M1492" s="49" t="str">
        <x:v>https://dse2025.mahacet.org.in/dse25/admin/allotment/cap2/6217_4.pdf</x:v>
      </x:c>
    </x:row>
    <x:row r="1493">
      <x:c r="A1493" s="49" t="str">
        <x:v>2025-26</x:v>
      </x:c>
      <x:c r="B1493" s="63" t="n">
        <x:v>6217</x:v>
      </x:c>
      <x:c r="C1493" s="49" t="str">
        <x:v>Shri. Balasaheb Mane Shikshan Prasarak Mandal's, Ashokrao Mane Group of Institutions</x:v>
      </x:c>
      <x:c r="D1493" s="72" t="n">
        <x:v>621729310</x:v>
      </x:c>
      <x:c r="E1493" s="49" t="str">
        <x:v>Electrical Engineering</x:v>
      </x:c>
      <x:c r="F1493" s="73" t="n">
        <x:v>20</x:v>
      </x:c>
      <x:c r="G1493" s="73" t="n">
        <x:v>15</x:v>
      </x:c>
      <x:c r="H1493" s="73" t="n">
        <x:v>5</x:v>
      </x:c>
      <x:c r="I1493" s="73"/>
      <x:c r="J1493" s="73" t="n">
        <x:v>0</x:v>
      </x:c>
      <x:c r="K1493" s="49" t="str">
        <x:v>Un-Aided</x:v>
      </x:c>
      <x:c r="L1493" s="49" t="str">
        <x:v>MS Seats : 15+ EWS : 5</x:v>
      </x:c>
      <x:c r="M1493" s="49" t="str">
        <x:v>https://dse2025.mahacet.org.in/dse25/admin/allotment/cap2/6217_4.pdf</x:v>
      </x:c>
    </x:row>
    <x:row r="1494">
      <x:c r="A1494" s="49" t="str">
        <x:v>2025-26</x:v>
      </x:c>
      <x:c r="B1494" s="63" t="n">
        <x:v>6217</x:v>
      </x:c>
      <x:c r="C1494" s="49" t="str">
        <x:v>Shri. Balasaheb Mane Shikshan Prasarak Mandal's, Ashokrao Mane Group of Institutions</x:v>
      </x:c>
      <x:c r="D1494" s="72" t="n">
        <x:v>621737210</x:v>
      </x:c>
      <x:c r="E1494" s="49" t="str">
        <x:v>Electronics and Telecommunication Engg</x:v>
      </x:c>
      <x:c r="F1494" s="73" t="n">
        <x:v>22</x:v>
      </x:c>
      <x:c r="G1494" s="73" t="n">
        <x:v>17</x:v>
      </x:c>
      <x:c r="H1494" s="73" t="n">
        <x:v>5</x:v>
      </x:c>
      <x:c r="I1494" s="73"/>
      <x:c r="J1494" s="73" t="n">
        <x:v>0</x:v>
      </x:c>
      <x:c r="K1494" s="49" t="str">
        <x:v>Un-Aided</x:v>
      </x:c>
      <x:c r="L1494" s="49" t="str">
        <x:v>MS Seats : 17+ EWS : 5</x:v>
      </x:c>
      <x:c r="M1494" s="49" t="str">
        <x:v>https://dse2025.mahacet.org.in/dse25/admin/allotment/cap2/6217_4.pdf</x:v>
      </x:c>
    </x:row>
    <x:row r="1495">
      <x:c r="A1495" s="49" t="str">
        <x:v>2025-26</x:v>
      </x:c>
      <x:c r="B1495" s="63" t="n">
        <x:v>6217</x:v>
      </x:c>
      <x:c r="C1495" s="49" t="str">
        <x:v>Shri. Balasaheb Mane Shikshan Prasarak Mandal's, Ashokrao Mane Group of Institutions</x:v>
      </x:c>
      <x:c r="D1495" s="72" t="n">
        <x:v>621761210</x:v>
      </x:c>
      <x:c r="E1495" s="49" t="str">
        <x:v>Mechanical Engineering</x:v>
      </x:c>
      <x:c r="F1495" s="73" t="n">
        <x:v>14</x:v>
      </x:c>
      <x:c r="G1495" s="73" t="n">
        <x:v>14</x:v>
      </x:c>
      <x:c r="H1495" s="73" t="n">
        <x:v>0</x:v>
      </x:c>
      <x:c r="I1495" s="73"/>
      <x:c r="J1495" s="73" t="n">
        <x:v>0</x:v>
      </x:c>
      <x:c r="K1495" s="49" t="str">
        <x:v>Un-Aided</x:v>
      </x:c>
      <x:c r="L1495" s="49" t="str">
        <x:v>MS Seats : 14+ EWS : 0</x:v>
      </x:c>
      <x:c r="M1495" s="49" t="str">
        <x:v>https://dse2025.mahacet.org.in/dse25/admin/allotment/cap2/6217_4.pdf</x:v>
      </x:c>
    </x:row>
    <x:row r="1496">
      <x:c r="A1496" s="49" t="str">
        <x:v>2025-26</x:v>
      </x:c>
      <x:c r="B1496" s="63" t="n">
        <x:v>6217</x:v>
      </x:c>
      <x:c r="C1496" s="49" t="str">
        <x:v>Shri. Balasaheb Mane Shikshan Prasarak Mandal's, Ashokrao Mane Group of Institutions</x:v>
      </x:c>
      <x:c r="D1496" s="72" t="n">
        <x:v>621784410</x:v>
      </x:c>
      <x:c r="E1496" s="49" t="str">
        <x:v>Electronics and Computer Engineering</x:v>
      </x:c>
      <x:c r="F1496" s="73" t="n">
        <x:v>30</x:v>
      </x:c>
      <x:c r="G1496" s="73" t="n">
        <x:v>24</x:v>
      </x:c>
      <x:c r="H1496" s="73" t="n">
        <x:v>6</x:v>
      </x:c>
      <x:c r="I1496" s="73"/>
      <x:c r="J1496" s="73" t="n">
        <x:v>0</x:v>
      </x:c>
      <x:c r="K1496" s="49" t="str">
        <x:v>Un-Aided</x:v>
      </x:c>
      <x:c r="L1496" s="49" t="str">
        <x:v>MS Seats : 24+ EWS : 6</x:v>
      </x:c>
      <x:c r="M1496" s="49" t="str">
        <x:v>https://dse2025.mahacet.org.in/dse25/admin/allotment/cap2/6217_4.pdf</x:v>
      </x:c>
    </x:row>
    <x:row r="1497">
      <x:c r="A1497" s="49" t="str">
        <x:v>2025-26</x:v>
      </x:c>
      <x:c r="B1497" s="63" t="n">
        <x:v>6217</x:v>
      </x:c>
      <x:c r="C1497" s="49" t="str">
        <x:v>Shri. Balasaheb Mane Shikshan Prasarak Mandal's, Ashokrao Mane Group of Institutions</x:v>
      </x:c>
      <x:c r="D1497" s="72" t="n">
        <x:v>621792110</x:v>
      </x:c>
      <x:c r="E1497" s="49" t="str">
        <x:v>Artificial Intelligence and Machine Learning</x:v>
      </x:c>
      <x:c r="F1497" s="73" t="n">
        <x:v>29</x:v>
      </x:c>
      <x:c r="G1497" s="73" t="n">
        <x:v>24</x:v>
      </x:c>
      <x:c r="H1497" s="73" t="n">
        <x:v>5</x:v>
      </x:c>
      <x:c r="I1497" s="73"/>
      <x:c r="J1497" s="73" t="n">
        <x:v>0</x:v>
      </x:c>
      <x:c r="K1497" s="49" t="str">
        <x:v>Un-Aided</x:v>
      </x:c>
      <x:c r="L1497" s="49" t="str">
        <x:v>MS Seats : 24+ EWS : 5</x:v>
      </x:c>
      <x:c r="M1497" s="49" t="str">
        <x:v>https://dse2025.mahacet.org.in/dse25/admin/allotment/cap2/6217_4.pdf</x:v>
      </x:c>
    </x:row>
    <x:row r="1498">
      <x:c r="A1498" s="49" t="str">
        <x:v>2025-26</x:v>
      </x:c>
      <x:c r="B1498" s="63" t="n">
        <x:v>6219</x:v>
      </x:c>
      <x:c r="C1498" s="49" t="str">
        <x:v>KSGBS's Bharat- Ratna Indira Gandhi College of Engineering, Kegaon, Solapur</x:v>
      </x:c>
      <x:c r="D1498" s="72" t="n">
        <x:v>621919110</x:v>
      </x:c>
      <x:c r="E1498" s="49" t="str">
        <x:v>Civil Engineering</x:v>
      </x:c>
      <x:c r="F1498" s="73" t="n">
        <x:v>55</x:v>
      </x:c>
      <x:c r="G1498" s="73" t="n">
        <x:v>49</x:v>
      </x:c>
      <x:c r="H1498" s="73" t="n">
        <x:v>6</x:v>
      </x:c>
      <x:c r="I1498" s="73"/>
      <x:c r="J1498" s="73" t="n">
        <x:v>0</x:v>
      </x:c>
      <x:c r="K1498" s="49" t="str">
        <x:v>Un-Aided</x:v>
      </x:c>
      <x:c r="L1498" s="49" t="str">
        <x:v>MS Seats : 49+ EWS : 6</x:v>
      </x:c>
      <x:c r="M1498" s="49" t="str">
        <x:v>https://dse2025.mahacet.org.in/dse25/admin/allotment/cap2/6219_4.pdf</x:v>
      </x:c>
    </x:row>
    <x:row r="1499">
      <x:c r="A1499" s="49" t="str">
        <x:v>2025-26</x:v>
      </x:c>
      <x:c r="B1499" s="63" t="n">
        <x:v>6219</x:v>
      </x:c>
      <x:c r="C1499" s="49" t="str">
        <x:v>KSGBS's Bharat- Ratna Indira Gandhi College of Engineering, Kegaon, Solapur</x:v>
      </x:c>
      <x:c r="D1499" s="72" t="n">
        <x:v>621924210</x:v>
      </x:c>
      <x:c r="E1499" s="49" t="str">
        <x:v>Computer Science and Engineering</x:v>
      </x:c>
      <x:c r="F1499" s="73" t="n">
        <x:v>73</x:v>
      </x:c>
      <x:c r="G1499" s="73" t="n">
        <x:v>66</x:v>
      </x:c>
      <x:c r="H1499" s="73" t="n">
        <x:v>7</x:v>
      </x:c>
      <x:c r="I1499" s="73"/>
      <x:c r="J1499" s="73" t="n">
        <x:v>0</x:v>
      </x:c>
      <x:c r="K1499" s="49" t="str">
        <x:v>Un-Aided</x:v>
      </x:c>
      <x:c r="L1499" s="49" t="str">
        <x:v>MS Seats : 66+ EWS : 7</x:v>
      </x:c>
      <x:c r="M1499" s="49" t="str">
        <x:v>https://dse2025.mahacet.org.in/dse25/admin/allotment/cap2/6219_4.pdf</x:v>
      </x:c>
    </x:row>
    <x:row r="1500">
      <x:c r="A1500" s="49" t="str">
        <x:v>2025-26</x:v>
      </x:c>
      <x:c r="B1500" s="63" t="n">
        <x:v>6219</x:v>
      </x:c>
      <x:c r="C1500" s="49" t="str">
        <x:v>KSGBS's Bharat- Ratna Indira Gandhi College of Engineering, Kegaon, Solapur</x:v>
      </x:c>
      <x:c r="D1500" s="72" t="n">
        <x:v>621929310</x:v>
      </x:c>
      <x:c r="E1500" s="49" t="str">
        <x:v>Electrical Engineering</x:v>
      </x:c>
      <x:c r="F1500" s="73" t="n">
        <x:v>34</x:v>
      </x:c>
      <x:c r="G1500" s="73" t="n">
        <x:v>31</x:v>
      </x:c>
      <x:c r="H1500" s="73" t="n">
        <x:v>3</x:v>
      </x:c>
      <x:c r="I1500" s="73"/>
      <x:c r="J1500" s="73" t="n">
        <x:v>0</x:v>
      </x:c>
      <x:c r="K1500" s="49" t="str">
        <x:v>Un-Aided</x:v>
      </x:c>
      <x:c r="L1500" s="49" t="str">
        <x:v>MS Seats : 31+ EWS : 3</x:v>
      </x:c>
      <x:c r="M1500" s="49" t="str">
        <x:v>https://dse2025.mahacet.org.in/dse25/admin/allotment/cap2/6219_4.pdf</x:v>
      </x:c>
    </x:row>
    <x:row r="1501">
      <x:c r="A1501" s="49" t="str">
        <x:v>2025-26</x:v>
      </x:c>
      <x:c r="B1501" s="63" t="n">
        <x:v>6219</x:v>
      </x:c>
      <x:c r="C1501" s="49" t="str">
        <x:v>KSGBS's Bharat- Ratna Indira Gandhi College of Engineering, Kegaon, Solapur</x:v>
      </x:c>
      <x:c r="D1501" s="72" t="n">
        <x:v>621937210</x:v>
      </x:c>
      <x:c r="E1501" s="49" t="str">
        <x:v>Electronics and Telecommunication Engg</x:v>
      </x:c>
      <x:c r="F1501" s="73" t="n">
        <x:v>33</x:v>
      </x:c>
      <x:c r="G1501" s="73" t="n">
        <x:v>30</x:v>
      </x:c>
      <x:c r="H1501" s="73" t="n">
        <x:v>3</x:v>
      </x:c>
      <x:c r="I1501" s="73"/>
      <x:c r="J1501" s="73" t="n">
        <x:v>0</x:v>
      </x:c>
      <x:c r="K1501" s="49" t="str">
        <x:v>Un-Aided</x:v>
      </x:c>
      <x:c r="L1501" s="49" t="str">
        <x:v>MS Seats : 30+ EWS : 3</x:v>
      </x:c>
      <x:c r="M1501" s="49" t="str">
        <x:v>https://dse2025.mahacet.org.in/dse25/admin/allotment/cap2/6219_4.pdf</x:v>
      </x:c>
    </x:row>
    <x:row r="1502">
      <x:c r="A1502" s="49" t="str">
        <x:v>2025-26</x:v>
      </x:c>
      <x:c r="B1502" s="63" t="n">
        <x:v>6219</x:v>
      </x:c>
      <x:c r="C1502" s="49" t="str">
        <x:v>KSGBS's Bharat- Ratna Indira Gandhi College of Engineering, Kegaon, Solapur</x:v>
      </x:c>
      <x:c r="D1502" s="72" t="n">
        <x:v>621946110</x:v>
      </x:c>
      <x:c r="E1502" s="49" t="str">
        <x:v>Bio Medical Engineering</x:v>
      </x:c>
      <x:c r="F1502" s="73" t="n">
        <x:v>54</x:v>
      </x:c>
      <x:c r="G1502" s="73" t="n">
        <x:v>48</x:v>
      </x:c>
      <x:c r="H1502" s="73" t="n">
        <x:v>6</x:v>
      </x:c>
      <x:c r="I1502" s="73"/>
      <x:c r="J1502" s="73" t="n">
        <x:v>0</x:v>
      </x:c>
      <x:c r="K1502" s="49" t="str">
        <x:v>Un-Aided</x:v>
      </x:c>
      <x:c r="L1502" s="49" t="str">
        <x:v>MS Seats : 48+ EWS : 6</x:v>
      </x:c>
      <x:c r="M1502" s="49" t="str">
        <x:v>https://dse2025.mahacet.org.in/dse25/admin/allotment/cap2/6219_4.pdf</x:v>
      </x:c>
    </x:row>
    <x:row r="1503">
      <x:c r="A1503" s="49" t="str">
        <x:v>2025-26</x:v>
      </x:c>
      <x:c r="B1503" s="63" t="n">
        <x:v>6219</x:v>
      </x:c>
      <x:c r="C1503" s="49" t="str">
        <x:v>KSGBS's Bharat- Ratna Indira Gandhi College of Engineering, Kegaon, Solapur</x:v>
      </x:c>
      <x:c r="D1503" s="72" t="n">
        <x:v>621961210</x:v>
      </x:c>
      <x:c r="E1503" s="49" t="str">
        <x:v>Mechanical Engineering</x:v>
      </x:c>
      <x:c r="F1503" s="73" t="n">
        <x:v>60</x:v>
      </x:c>
      <x:c r="G1503" s="73" t="n">
        <x:v>54</x:v>
      </x:c>
      <x:c r="H1503" s="73" t="n">
        <x:v>6</x:v>
      </x:c>
      <x:c r="I1503" s="73"/>
      <x:c r="J1503" s="73" t="n">
        <x:v>0</x:v>
      </x:c>
      <x:c r="K1503" s="49" t="str">
        <x:v>Un-Aided</x:v>
      </x:c>
      <x:c r="L1503" s="49" t="str">
        <x:v>MS Seats : 54+ EWS : 6</x:v>
      </x:c>
      <x:c r="M1503" s="49" t="str">
        <x:v>https://dse2025.mahacet.org.in/dse25/admin/allotment/cap2/6219_4.pdf</x:v>
      </x:c>
    </x:row>
    <x:row r="1504">
      <x:c r="A1504" s="49" t="str">
        <x:v>2025-26</x:v>
      </x:c>
      <x:c r="B1504" s="63" t="n">
        <x:v>6220</x:v>
      </x:c>
      <x:c r="C1504" s="49" t="str">
        <x:v>SVERI's College of Engineering, Pandharpur</x:v>
      </x:c>
      <x:c r="D1504" s="72" t="n">
        <x:v>622019110</x:v>
      </x:c>
      <x:c r="E1504" s="49" t="str">
        <x:v>Civil Engineering</x:v>
      </x:c>
      <x:c r="F1504" s="73" t="n">
        <x:v>30</x:v>
      </x:c>
      <x:c r="G1504" s="73" t="n">
        <x:v>21</x:v>
      </x:c>
      <x:c r="H1504" s="73" t="n">
        <x:v>9</x:v>
      </x:c>
      <x:c r="I1504" s="73"/>
      <x:c r="J1504" s="73" t="n">
        <x:v>0</x:v>
      </x:c>
      <x:c r="K1504" s="49" t="str">
        <x:v>Un-Aided Autonomous</x:v>
      </x:c>
      <x:c r="L1504" s="49" t="str">
        <x:v>MS Seats : 21+ EWS : 9</x:v>
      </x:c>
      <x:c r="M1504" s="49" t="str">
        <x:v>https://dse2025.mahacet.org.in/dse25/admin/allotment/cap2/6220_4.pdf</x:v>
      </x:c>
    </x:row>
    <x:row r="1505">
      <x:c r="A1505" s="49" t="str">
        <x:v>2025-26</x:v>
      </x:c>
      <x:c r="B1505" s="63" t="n">
        <x:v>6220</x:v>
      </x:c>
      <x:c r="C1505" s="49" t="str">
        <x:v>SVERI's College of Engineering, Pandharpur</x:v>
      </x:c>
      <x:c r="D1505" s="72" t="n">
        <x:v>622024210</x:v>
      </x:c>
      <x:c r="E1505" s="49" t="str">
        <x:v>Computer Science and Engineering</x:v>
      </x:c>
      <x:c r="F1505" s="73" t="n">
        <x:v>15</x:v>
      </x:c>
      <x:c r="G1505" s="73" t="n">
        <x:v>13</x:v>
      </x:c>
      <x:c r="H1505" s="73" t="n">
        <x:v>2</x:v>
      </x:c>
      <x:c r="I1505" s="73"/>
      <x:c r="J1505" s="73" t="n">
        <x:v>0</x:v>
      </x:c>
      <x:c r="K1505" s="49" t="str">
        <x:v>Un-Aided Autonomous</x:v>
      </x:c>
      <x:c r="L1505" s="49" t="str">
        <x:v>MS Seats : 13+ EWS : 2</x:v>
      </x:c>
      <x:c r="M1505" s="49" t="str">
        <x:v>https://dse2025.mahacet.org.in/dse25/admin/allotment/cap2/6220_4.pdf</x:v>
      </x:c>
    </x:row>
    <x:row r="1506">
      <x:c r="A1506" s="49" t="str">
        <x:v>2025-26</x:v>
      </x:c>
      <x:c r="B1506" s="63" t="n">
        <x:v>6220</x:v>
      </x:c>
      <x:c r="C1506" s="49" t="str">
        <x:v>SVERI's College of Engineering, Pandharpur</x:v>
      </x:c>
      <x:c r="D1506" s="72" t="n">
        <x:v>622029310</x:v>
      </x:c>
      <x:c r="E1506" s="49" t="str">
        <x:v>Electrical Engineering</x:v>
      </x:c>
      <x:c r="F1506" s="73" t="n">
        <x:v>26</x:v>
      </x:c>
      <x:c r="G1506" s="73" t="n">
        <x:v>23</x:v>
      </x:c>
      <x:c r="H1506" s="73" t="n">
        <x:v>3</x:v>
      </x:c>
      <x:c r="I1506" s="73"/>
      <x:c r="J1506" s="73" t="n">
        <x:v>0</x:v>
      </x:c>
      <x:c r="K1506" s="49" t="str">
        <x:v>Un-Aided Autonomous</x:v>
      </x:c>
      <x:c r="L1506" s="49" t="str">
        <x:v>MS Seats : 23+ EWS : 3</x:v>
      </x:c>
      <x:c r="M1506" s="49" t="str">
        <x:v>https://dse2025.mahacet.org.in/dse25/admin/allotment/cap2/6220_4.pdf</x:v>
      </x:c>
    </x:row>
    <x:row r="1507">
      <x:c r="A1507" s="49" t="str">
        <x:v>2025-26</x:v>
      </x:c>
      <x:c r="B1507" s="63" t="n">
        <x:v>6220</x:v>
      </x:c>
      <x:c r="C1507" s="49" t="str">
        <x:v>SVERI's College of Engineering, Pandharpur</x:v>
      </x:c>
      <x:c r="D1507" s="72" t="n">
        <x:v>622037210</x:v>
      </x:c>
      <x:c r="E1507" s="49" t="str">
        <x:v>Electronics and Telecommunication Engg</x:v>
      </x:c>
      <x:c r="F1507" s="73" t="n">
        <x:v>16</x:v>
      </x:c>
      <x:c r="G1507" s="73" t="n">
        <x:v>13</x:v>
      </x:c>
      <x:c r="H1507" s="73" t="n">
        <x:v>3</x:v>
      </x:c>
      <x:c r="I1507" s="73"/>
      <x:c r="J1507" s="73" t="n">
        <x:v>0</x:v>
      </x:c>
      <x:c r="K1507" s="49" t="str">
        <x:v>Un-Aided Autonomous</x:v>
      </x:c>
      <x:c r="L1507" s="49" t="str">
        <x:v>MS Seats : 13+ EWS : 3</x:v>
      </x:c>
      <x:c r="M1507" s="49" t="str">
        <x:v>https://dse2025.mahacet.org.in/dse25/admin/allotment/cap2/6220_4.pdf</x:v>
      </x:c>
    </x:row>
    <x:row r="1508">
      <x:c r="A1508" s="49" t="str">
        <x:v>2025-26</x:v>
      </x:c>
      <x:c r="B1508" s="63" t="n">
        <x:v>6220</x:v>
      </x:c>
      <x:c r="C1508" s="49" t="str">
        <x:v>SVERI's College of Engineering, Pandharpur</x:v>
      </x:c>
      <x:c r="D1508" s="72" t="n">
        <x:v>622061210</x:v>
      </x:c>
      <x:c r="E1508" s="49" t="str">
        <x:v>Mechanical Engineering</x:v>
      </x:c>
      <x:c r="F1508" s="73" t="n">
        <x:v>15</x:v>
      </x:c>
      <x:c r="G1508" s="73" t="n">
        <x:v>13</x:v>
      </x:c>
      <x:c r="H1508" s="73" t="n">
        <x:v>2</x:v>
      </x:c>
      <x:c r="I1508" s="73"/>
      <x:c r="J1508" s="73" t="n">
        <x:v>0</x:v>
      </x:c>
      <x:c r="K1508" s="49" t="str">
        <x:v>Un-Aided Autonomous</x:v>
      </x:c>
      <x:c r="L1508" s="49" t="str">
        <x:v>MS Seats : 13+ EWS : 2</x:v>
      </x:c>
      <x:c r="M1508" s="49" t="str">
        <x:v>https://dse2025.mahacet.org.in/dse25/admin/allotment/cap2/6220_4.pdf</x:v>
      </x:c>
    </x:row>
    <x:row r="1509">
      <x:c r="A1509" s="49" t="str">
        <x:v>2025-26</x:v>
      </x:c>
      <x:c r="B1509" s="63" t="n">
        <x:v>6222</x:v>
      </x:c>
      <x:c r="C1509" s="49" t="str">
        <x:v>Dattajirao Kadam Technical Education Society's Textile &amp; Engineering Institute, Ichalkaranji.</x:v>
      </x:c>
      <x:c r="D1509" s="72" t="n">
        <x:v>622219110</x:v>
      </x:c>
      <x:c r="E1509" s="49" t="str">
        <x:v>Civil Engineering</x:v>
      </x:c>
      <x:c r="F1509" s="73" t="n">
        <x:v>17</x:v>
      </x:c>
      <x:c r="G1509" s="73" t="n">
        <x:v>16</x:v>
      </x:c>
      <x:c r="H1509" s="73" t="n">
        <x:v>1</x:v>
      </x:c>
      <x:c r="I1509" s="73"/>
      <x:c r="J1509" s="73" t="n">
        <x:v>0</x:v>
      </x:c>
      <x:c r="K1509" s="49" t="str">
        <x:v>Un-Aided Autonomous</x:v>
      </x:c>
      <x:c r="L1509" s="49" t="str">
        <x:v>MS Seats : 16+ EWS : 1</x:v>
      </x:c>
      <x:c r="M1509" s="49" t="str">
        <x:v>https://dse2025.mahacet.org.in/dse25/admin/allotment/cap2/6222_4.pdf</x:v>
      </x:c>
    </x:row>
    <x:row r="1510">
      <x:c r="A1510" s="49" t="str">
        <x:v>2025-26</x:v>
      </x:c>
      <x:c r="B1510" s="63" t="n">
        <x:v>6222</x:v>
      </x:c>
      <x:c r="C1510" s="49" t="str">
        <x:v>Dattajirao Kadam Technical Education Society's Textile &amp; Engineering Institute, Ichalkaranji.</x:v>
      </x:c>
      <x:c r="D1510" s="72" t="n">
        <x:v>622224210</x:v>
      </x:c>
      <x:c r="E1510" s="49" t="str">
        <x:v>Computer Science and Engineering</x:v>
      </x:c>
      <x:c r="F1510" s="73" t="n">
        <x:v>17</x:v>
      </x:c>
      <x:c r="G1510" s="73" t="n">
        <x:v>14</x:v>
      </x:c>
      <x:c r="H1510" s="73" t="n">
        <x:v>3</x:v>
      </x:c>
      <x:c r="I1510" s="73"/>
      <x:c r="J1510" s="73" t="n">
        <x:v>0</x:v>
      </x:c>
      <x:c r="K1510" s="49" t="str">
        <x:v>Un-Aided Autonomous</x:v>
      </x:c>
      <x:c r="L1510" s="49" t="str">
        <x:v>MS Seats : 14+ EWS : 3</x:v>
      </x:c>
      <x:c r="M1510" s="49" t="str">
        <x:v>https://dse2025.mahacet.org.in/dse25/admin/allotment/cap2/6222_4.pdf</x:v>
      </x:c>
    </x:row>
    <x:row r="1511">
      <x:c r="A1511" s="49" t="str">
        <x:v>2025-26</x:v>
      </x:c>
      <x:c r="B1511" s="63" t="n">
        <x:v>6222</x:v>
      </x:c>
      <x:c r="C1511" s="49" t="str">
        <x:v>Dattajirao Kadam Technical Education Society's Textile &amp; Engineering Institute, Ichalkaranji.</x:v>
      </x:c>
      <x:c r="D1511" s="72" t="n">
        <x:v>622226310</x:v>
      </x:c>
      <x:c r="E1511" s="49" t="str">
        <x:v>Artificial Intelligence (AI) and Data Science</x:v>
      </x:c>
      <x:c r="F1511" s="73" t="n">
        <x:v>8</x:v>
      </x:c>
      <x:c r="G1511" s="73" t="n">
        <x:v>7</x:v>
      </x:c>
      <x:c r="H1511" s="73" t="n">
        <x:v>1</x:v>
      </x:c>
      <x:c r="I1511" s="73"/>
      <x:c r="J1511" s="73" t="n">
        <x:v>0</x:v>
      </x:c>
      <x:c r="K1511" s="49" t="str">
        <x:v>Un-Aided Autonomous</x:v>
      </x:c>
      <x:c r="L1511" s="49" t="str">
        <x:v>MS Seats : 7+ EWS : 1</x:v>
      </x:c>
      <x:c r="M1511" s="49" t="str">
        <x:v>https://dse2025.mahacet.org.in/dse25/admin/allotment/cap2/6222_4.pdf</x:v>
      </x:c>
    </x:row>
    <x:row r="1512">
      <x:c r="A1512" s="49" t="str">
        <x:v>2025-26</x:v>
      </x:c>
      <x:c r="B1512" s="63" t="n">
        <x:v>6222</x:v>
      </x:c>
      <x:c r="C1512" s="49" t="str">
        <x:v>Dattajirao Kadam Technical Education Society's Textile &amp; Engineering Institute, Ichalkaranji.</x:v>
      </x:c>
      <x:c r="D1512" s="72" t="n">
        <x:v>622229310</x:v>
      </x:c>
      <x:c r="E1512" s="49" t="str">
        <x:v>Electrical Engineering</x:v>
      </x:c>
      <x:c r="F1512" s="73" t="n">
        <x:v>8</x:v>
      </x:c>
      <x:c r="G1512" s="73" t="n">
        <x:v>7</x:v>
      </x:c>
      <x:c r="H1512" s="73" t="n">
        <x:v>1</x:v>
      </x:c>
      <x:c r="I1512" s="73"/>
      <x:c r="J1512" s="73" t="n">
        <x:v>0</x:v>
      </x:c>
      <x:c r="K1512" s="49" t="str">
        <x:v>Un-Aided Autonomous</x:v>
      </x:c>
      <x:c r="L1512" s="49" t="str">
        <x:v>MS Seats : 7+ EWS : 1</x:v>
      </x:c>
      <x:c r="M1512" s="49" t="str">
        <x:v>https://dse2025.mahacet.org.in/dse25/admin/allotment/cap2/6222_4.pdf</x:v>
      </x:c>
    </x:row>
    <x:row r="1513">
      <x:c r="A1513" s="49" t="str">
        <x:v>2025-26</x:v>
      </x:c>
      <x:c r="B1513" s="63" t="n">
        <x:v>6222</x:v>
      </x:c>
      <x:c r="C1513" s="49" t="str">
        <x:v>Dattajirao Kadam Technical Education Society's Textile &amp; Engineering Institute, Ichalkaranji.</x:v>
      </x:c>
      <x:c r="D1513" s="72" t="n">
        <x:v>622237210</x:v>
      </x:c>
      <x:c r="E1513" s="49" t="str">
        <x:v>Electronics and Telecommunication Engg</x:v>
      </x:c>
      <x:c r="F1513" s="73" t="n">
        <x:v>15</x:v>
      </x:c>
      <x:c r="G1513" s="73" t="n">
        <x:v>13</x:v>
      </x:c>
      <x:c r="H1513" s="73" t="n">
        <x:v>2</x:v>
      </x:c>
      <x:c r="I1513" s="73"/>
      <x:c r="J1513" s="73" t="n">
        <x:v>0</x:v>
      </x:c>
      <x:c r="K1513" s="49" t="str">
        <x:v>Un-Aided Autonomous</x:v>
      </x:c>
      <x:c r="L1513" s="49" t="str">
        <x:v>MS Seats : 13+ EWS : 2</x:v>
      </x:c>
      <x:c r="M1513" s="49" t="str">
        <x:v>https://dse2025.mahacet.org.in/dse25/admin/allotment/cap2/6222_4.pdf</x:v>
      </x:c>
    </x:row>
    <x:row r="1514">
      <x:c r="A1514" s="49" t="str">
        <x:v>2025-26</x:v>
      </x:c>
      <x:c r="B1514" s="63" t="n">
        <x:v>6222</x:v>
      </x:c>
      <x:c r="C1514" s="49" t="str">
        <x:v>Dattajirao Kadam Technical Education Society's Textile &amp; Engineering Institute, Ichalkaranji.</x:v>
      </x:c>
      <x:c r="D1514" s="72" t="n">
        <x:v>622246510</x:v>
      </x:c>
      <x:c r="E1514" s="49" t="str">
        <x:v>Technical Textiles</x:v>
      </x:c>
      <x:c r="F1514" s="73" t="n">
        <x:v>4</x:v>
      </x:c>
      <x:c r="G1514" s="73" t="n">
        <x:v>4</x:v>
      </x:c>
      <x:c r="H1514" s="73" t="n">
        <x:v>0</x:v>
      </x:c>
      <x:c r="I1514" s="73"/>
      <x:c r="J1514" s="73" t="n">
        <x:v>0</x:v>
      </x:c>
      <x:c r="K1514" s="49" t="str">
        <x:v>Un-Aided Autonomous</x:v>
      </x:c>
      <x:c r="L1514" s="49" t="str">
        <x:v>MS Seats : 4+ EWS : 0</x:v>
      </x:c>
      <x:c r="M1514" s="49" t="str">
        <x:v>https://dse2025.mahacet.org.in/dse25/admin/allotment/cap2/6222_4.pdf</x:v>
      </x:c>
    </x:row>
    <x:row r="1515">
      <x:c r="A1515" s="49" t="str">
        <x:v>2025-26</x:v>
      </x:c>
      <x:c r="B1515" s="63" t="n">
        <x:v>6222</x:v>
      </x:c>
      <x:c r="C1515" s="49" t="str">
        <x:v>Dattajirao Kadam Technical Education Society's Textile &amp; Engineering Institute, Ichalkaranji.</x:v>
      </x:c>
      <x:c r="D1515" s="72" t="n">
        <x:v>622257010</x:v>
      </x:c>
      <x:c r="E1515" s="49" t="str">
        <x:v>Fashion Technology</x:v>
      </x:c>
      <x:c r="F1515" s="73" t="n">
        <x:v>9</x:v>
      </x:c>
      <x:c r="G1515" s="73" t="n">
        <x:v>9</x:v>
      </x:c>
      <x:c r="H1515" s="73" t="n">
        <x:v>0</x:v>
      </x:c>
      <x:c r="I1515" s="73"/>
      <x:c r="J1515" s="73" t="n">
        <x:v>0</x:v>
      </x:c>
      <x:c r="K1515" s="49" t="str">
        <x:v>Un-Aided Autonomous</x:v>
      </x:c>
      <x:c r="L1515" s="49" t="str">
        <x:v>MS Seats : 9+ EWS : 0</x:v>
      </x:c>
      <x:c r="M1515" s="49" t="str">
        <x:v>https://dse2025.mahacet.org.in/dse25/admin/allotment/cap2/6222_4.pdf</x:v>
      </x:c>
    </x:row>
    <x:row r="1516">
      <x:c r="A1516" s="49" t="str">
        <x:v>2025-26</x:v>
      </x:c>
      <x:c r="B1516" s="63" t="n">
        <x:v>6222</x:v>
      </x:c>
      <x:c r="C1516" s="49" t="str">
        <x:v>Dattajirao Kadam Technical Education Society's Textile &amp; Engineering Institute, Ichalkaranji.</x:v>
      </x:c>
      <x:c r="D1516" s="72" t="n">
        <x:v>622261210</x:v>
      </x:c>
      <x:c r="E1516" s="49" t="str">
        <x:v>Mechanical Engineering</x:v>
      </x:c>
      <x:c r="F1516" s="73" t="n">
        <x:v>10</x:v>
      </x:c>
      <x:c r="G1516" s="73" t="n">
        <x:v>9</x:v>
      </x:c>
      <x:c r="H1516" s="73" t="n">
        <x:v>1</x:v>
      </x:c>
      <x:c r="I1516" s="73"/>
      <x:c r="J1516" s="73" t="n">
        <x:v>0</x:v>
      </x:c>
      <x:c r="K1516" s="49" t="str">
        <x:v>Un-Aided Autonomous</x:v>
      </x:c>
      <x:c r="L1516" s="49" t="str">
        <x:v>MS Seats : 9+ EWS : 1</x:v>
      </x:c>
      <x:c r="M1516" s="49" t="str">
        <x:v>https://dse2025.mahacet.org.in/dse25/admin/allotment/cap2/6222_4.pdf</x:v>
      </x:c>
    </x:row>
    <x:row r="1517">
      <x:c r="A1517" s="49" t="str">
        <x:v>2025-26</x:v>
      </x:c>
      <x:c r="B1517" s="63" t="n">
        <x:v>6222</x:v>
      </x:c>
      <x:c r="C1517" s="49" t="str">
        <x:v>Dattajirao Kadam Technical Education Society's Textile &amp; Engineering Institute, Ichalkaranji.</x:v>
      </x:c>
      <x:c r="D1517" s="72" t="n">
        <x:v>622288610</x:v>
      </x:c>
      <x:c r="E1517" s="49" t="str">
        <x:v>Man Made Textile Technology</x:v>
      </x:c>
      <x:c r="F1517" s="73" t="n">
        <x:v>7</x:v>
      </x:c>
      <x:c r="G1517" s="73" t="n">
        <x:v>7</x:v>
      </x:c>
      <x:c r="H1517" s="73" t="n">
        <x:v>0</x:v>
      </x:c>
      <x:c r="I1517" s="73"/>
      <x:c r="J1517" s="73" t="n">
        <x:v>0</x:v>
      </x:c>
      <x:c r="K1517" s="49" t="str">
        <x:v>Un-Aided Autonomous</x:v>
      </x:c>
      <x:c r="L1517" s="49" t="str">
        <x:v>MS Seats : 7+ EWS : 0</x:v>
      </x:c>
      <x:c r="M1517" s="49" t="str">
        <x:v>https://dse2025.mahacet.org.in/dse25/admin/allotment/cap2/6222_4.pdf</x:v>
      </x:c>
    </x:row>
    <x:row r="1518">
      <x:c r="A1518" s="49" t="str">
        <x:v>2025-26</x:v>
      </x:c>
      <x:c r="B1518" s="63" t="n">
        <x:v>6222</x:v>
      </x:c>
      <x:c r="C1518" s="49" t="str">
        <x:v>Dattajirao Kadam Technical Education Society's Textile &amp; Engineering Institute, Ichalkaranji.</x:v>
      </x:c>
      <x:c r="D1518" s="72" t="n">
        <x:v>622289010</x:v>
      </x:c>
      <x:c r="E1518" s="49" t="str">
        <x:v>Textile Chemistry</x:v>
      </x:c>
      <x:c r="F1518" s="73" t="n">
        <x:v>21</x:v>
      </x:c>
      <x:c r="G1518" s="73" t="n">
        <x:v>18</x:v>
      </x:c>
      <x:c r="H1518" s="73" t="n">
        <x:v>3</x:v>
      </x:c>
      <x:c r="I1518" s="73"/>
      <x:c r="J1518" s="73" t="n">
        <x:v>0</x:v>
      </x:c>
      <x:c r="K1518" s="49" t="str">
        <x:v>Un-Aided Autonomous</x:v>
      </x:c>
      <x:c r="L1518" s="49" t="str">
        <x:v>MS Seats : 18+ EWS : 3</x:v>
      </x:c>
      <x:c r="M1518" s="49" t="str">
        <x:v>https://dse2025.mahacet.org.in/dse25/admin/allotment/cap2/6222_4.pdf</x:v>
      </x:c>
    </x:row>
    <x:row r="1519">
      <x:c r="A1519" s="49" t="str">
        <x:v>2025-26</x:v>
      </x:c>
      <x:c r="B1519" s="63" t="n">
        <x:v>6222</x:v>
      </x:c>
      <x:c r="C1519" s="49" t="str">
        <x:v>Dattajirao Kadam Technical Education Society's Textile &amp; Engineering Institute, Ichalkaranji.</x:v>
      </x:c>
      <x:c r="D1519" s="72" t="n">
        <x:v>622289610</x:v>
      </x:c>
      <x:c r="E1519" s="49" t="str">
        <x:v>Textile Technology</x:v>
      </x:c>
      <x:c r="F1519" s="73" t="n">
        <x:v>16</x:v>
      </x:c>
      <x:c r="G1519" s="73" t="n">
        <x:v>14</x:v>
      </x:c>
      <x:c r="H1519" s="73" t="n">
        <x:v>2</x:v>
      </x:c>
      <x:c r="I1519" s="73"/>
      <x:c r="J1519" s="73" t="n">
        <x:v>0</x:v>
      </x:c>
      <x:c r="K1519" s="49" t="str">
        <x:v>Un-Aided Autonomous</x:v>
      </x:c>
      <x:c r="L1519" s="49" t="str">
        <x:v>MS Seats : 14+ EWS : 2</x:v>
      </x:c>
      <x:c r="M1519" s="49" t="str">
        <x:v>https://dse2025.mahacet.org.in/dse25/admin/allotment/cap2/6222_4.pdf</x:v>
      </x:c>
    </x:row>
    <x:row r="1520">
      <x:c r="A1520" s="49" t="str">
        <x:v>2025-26</x:v>
      </x:c>
      <x:c r="B1520" s="63" t="n">
        <x:v>6222</x:v>
      </x:c>
      <x:c r="C1520" s="49" t="str">
        <x:v>Dattajirao Kadam Technical Education Society's Textile &amp; Engineering Institute, Ichalkaranji.</x:v>
      </x:c>
      <x:c r="D1520" s="72" t="n">
        <x:v>622291110</x:v>
      </x:c>
      <x:c r="E1520" s="49" t="str">
        <x:v>Computer Science and Engineering(Artificial Intelligence and Machine Learning)</x:v>
      </x:c>
      <x:c r="F1520" s="73" t="n">
        <x:v>15</x:v>
      </x:c>
      <x:c r="G1520" s="73" t="n">
        <x:v>13</x:v>
      </x:c>
      <x:c r="H1520" s="73" t="n">
        <x:v>2</x:v>
      </x:c>
      <x:c r="I1520" s="73"/>
      <x:c r="J1520" s="73" t="n">
        <x:v>0</x:v>
      </x:c>
      <x:c r="K1520" s="49" t="str">
        <x:v>Un-Aided Autonomous</x:v>
      </x:c>
      <x:c r="L1520" s="49" t="str">
        <x:v>MS Seats : 13+ EWS : 2</x:v>
      </x:c>
      <x:c r="M1520" s="49" t="str">
        <x:v>https://dse2025.mahacet.org.in/dse25/admin/allotment/cap2/6222_4.pdf</x:v>
      </x:c>
    </x:row>
    <x:row r="1521">
      <x:c r="A1521" s="49" t="str">
        <x:v>2025-26</x:v>
      </x:c>
      <x:c r="B1521" s="63" t="n">
        <x:v>6223</x:v>
      </x:c>
      <x:c r="C1521" s="49" t="str">
        <x:v>Pradnya Niketan Education Society's Nagesh Karajagi Orchid College of Engineering &amp; Technology, Solapur</x:v>
      </x:c>
      <x:c r="D1521" s="72" t="n">
        <x:v>622319110</x:v>
      </x:c>
      <x:c r="E1521" s="49" t="str">
        <x:v>Civil Engineering</x:v>
      </x:c>
      <x:c r="F1521" s="73" t="n">
        <x:v>11</x:v>
      </x:c>
      <x:c r="G1521" s="73" t="n">
        <x:v>10</x:v>
      </x:c>
      <x:c r="H1521" s="73" t="n">
        <x:v>1</x:v>
      </x:c>
      <x:c r="I1521" s="73"/>
      <x:c r="J1521" s="73" t="n">
        <x:v>0</x:v>
      </x:c>
      <x:c r="K1521" s="49" t="str">
        <x:v>Un-Aided Autonomous</x:v>
      </x:c>
      <x:c r="L1521" s="49" t="str">
        <x:v>MS Seats : 10+ EWS : 1</x:v>
      </x:c>
      <x:c r="M1521" s="49" t="str">
        <x:v>https://dse2025.mahacet.org.in/dse25/admin/allotment/cap2/6223_4.pdf</x:v>
      </x:c>
    </x:row>
    <x:row r="1522">
      <x:c r="A1522" s="49" t="str">
        <x:v>2025-26</x:v>
      </x:c>
      <x:c r="B1522" s="63" t="n">
        <x:v>6223</x:v>
      </x:c>
      <x:c r="C1522" s="49" t="str">
        <x:v>Pradnya Niketan Education Society's Nagesh Karajagi Orchid College of Engineering &amp; Technology, Solapur</x:v>
      </x:c>
      <x:c r="D1522" s="72" t="n">
        <x:v>622324210</x:v>
      </x:c>
      <x:c r="E1522" s="49" t="str">
        <x:v>Computer Science and Engineering</x:v>
      </x:c>
      <x:c r="F1522" s="73" t="n">
        <x:v>23</x:v>
      </x:c>
      <x:c r="G1522" s="73" t="n">
        <x:v>21</x:v>
      </x:c>
      <x:c r="H1522" s="73" t="n">
        <x:v>2</x:v>
      </x:c>
      <x:c r="I1522" s="73"/>
      <x:c r="J1522" s="73" t="n">
        <x:v>0</x:v>
      </x:c>
      <x:c r="K1522" s="49" t="str">
        <x:v>Un-Aided Autonomous</x:v>
      </x:c>
      <x:c r="L1522" s="49" t="str">
        <x:v>MS Seats : 21+ EWS : 2</x:v>
      </x:c>
      <x:c r="M1522" s="49" t="str">
        <x:v>https://dse2025.mahacet.org.in/dse25/admin/allotment/cap2/6223_4.pdf</x:v>
      </x:c>
    </x:row>
    <x:row r="1523">
      <x:c r="A1523" s="49" t="str">
        <x:v>2025-26</x:v>
      </x:c>
      <x:c r="B1523" s="63" t="n">
        <x:v>6223</x:v>
      </x:c>
      <x:c r="C1523" s="49" t="str">
        <x:v>Pradnya Niketan Education Society's Nagesh Karajagi Orchid College of Engineering &amp; Technology, Solapur</x:v>
      </x:c>
      <x:c r="D1523" s="72" t="n">
        <x:v>622329310</x:v>
      </x:c>
      <x:c r="E1523" s="49" t="str">
        <x:v>Electrical Engineering</x:v>
      </x:c>
      <x:c r="F1523" s="73" t="n">
        <x:v>16</x:v>
      </x:c>
      <x:c r="G1523" s="73" t="n">
        <x:v>14</x:v>
      </x:c>
      <x:c r="H1523" s="73" t="n">
        <x:v>2</x:v>
      </x:c>
      <x:c r="I1523" s="73"/>
      <x:c r="J1523" s="73" t="n">
        <x:v>0</x:v>
      </x:c>
      <x:c r="K1523" s="49" t="str">
        <x:v>Un-Aided Autonomous</x:v>
      </x:c>
      <x:c r="L1523" s="49" t="str">
        <x:v>MS Seats : 14+ EWS : 2</x:v>
      </x:c>
      <x:c r="M1523" s="49" t="str">
        <x:v>https://dse2025.mahacet.org.in/dse25/admin/allotment/cap2/6223_4.pdf</x:v>
      </x:c>
    </x:row>
    <x:row r="1524">
      <x:c r="A1524" s="49" t="str">
        <x:v>2025-26</x:v>
      </x:c>
      <x:c r="B1524" s="63" t="n">
        <x:v>6223</x:v>
      </x:c>
      <x:c r="C1524" s="49" t="str">
        <x:v>Pradnya Niketan Education Society's Nagesh Karajagi Orchid College of Engineering &amp; Technology, Solapur</x:v>
      </x:c>
      <x:c r="D1524" s="72" t="n">
        <x:v>622337210</x:v>
      </x:c>
      <x:c r="E1524" s="49" t="str">
        <x:v>Electronics and Telecommunication Engg</x:v>
      </x:c>
      <x:c r="F1524" s="73" t="n">
        <x:v>9</x:v>
      </x:c>
      <x:c r="G1524" s="73" t="n">
        <x:v>7</x:v>
      </x:c>
      <x:c r="H1524" s="73" t="n">
        <x:v>2</x:v>
      </x:c>
      <x:c r="I1524" s="73"/>
      <x:c r="J1524" s="73" t="n">
        <x:v>0</x:v>
      </x:c>
      <x:c r="K1524" s="49" t="str">
        <x:v>Un-Aided Autonomous</x:v>
      </x:c>
      <x:c r="L1524" s="49" t="str">
        <x:v>MS Seats : 7+ EWS : 2</x:v>
      </x:c>
      <x:c r="M1524" s="49" t="str">
        <x:v>https://dse2025.mahacet.org.in/dse25/admin/allotment/cap2/6223_4.pdf</x:v>
      </x:c>
    </x:row>
    <x:row r="1525">
      <x:c r="A1525" s="49" t="str">
        <x:v>2025-26</x:v>
      </x:c>
      <x:c r="B1525" s="63" t="n">
        <x:v>6223</x:v>
      </x:c>
      <x:c r="C1525" s="49" t="str">
        <x:v>Pradnya Niketan Education Society's Nagesh Karajagi Orchid College of Engineering &amp; Technology, Solapur</x:v>
      </x:c>
      <x:c r="D1525" s="72" t="n">
        <x:v>622361210</x:v>
      </x:c>
      <x:c r="E1525" s="49" t="str">
        <x:v>Mechanical Engineering</x:v>
      </x:c>
      <x:c r="F1525" s="73" t="n">
        <x:v>24</x:v>
      </x:c>
      <x:c r="G1525" s="73" t="n">
        <x:v>18</x:v>
      </x:c>
      <x:c r="H1525" s="73" t="n">
        <x:v>6</x:v>
      </x:c>
      <x:c r="I1525" s="73"/>
      <x:c r="J1525" s="73" t="n">
        <x:v>0</x:v>
      </x:c>
      <x:c r="K1525" s="49" t="str">
        <x:v>Un-Aided Autonomous</x:v>
      </x:c>
      <x:c r="L1525" s="49" t="str">
        <x:v>MS Seats : 18+ EWS : 6</x:v>
      </x:c>
      <x:c r="M1525" s="49" t="str">
        <x:v>https://dse2025.mahacet.org.in/dse25/admin/allotment/cap2/6223_4.pdf</x:v>
      </x:c>
    </x:row>
    <x:row r="1526">
      <x:c r="A1526" s="49" t="str">
        <x:v>2025-26</x:v>
      </x:c>
      <x:c r="B1526" s="63" t="n">
        <x:v>6223</x:v>
      </x:c>
      <x:c r="C1526" s="49" t="str">
        <x:v>Pradnya Niketan Education Society's Nagesh Karajagi Orchid College of Engineering &amp; Technology, Solapur</x:v>
      </x:c>
      <x:c r="D1526" s="72" t="n">
        <x:v>622399510</x:v>
      </x:c>
      <x:c r="E1526" s="49" t="str">
        <x:v>Artificial Intelligence and Data Science</x:v>
      </x:c>
      <x:c r="F1526" s="73" t="n">
        <x:v>8</x:v>
      </x:c>
      <x:c r="G1526" s="73" t="n">
        <x:v>7</x:v>
      </x:c>
      <x:c r="H1526" s="73" t="n">
        <x:v>1</x:v>
      </x:c>
      <x:c r="I1526" s="73"/>
      <x:c r="J1526" s="73" t="n">
        <x:v>0</x:v>
      </x:c>
      <x:c r="K1526" s="49" t="str">
        <x:v>Un-Aided Autonomous</x:v>
      </x:c>
      <x:c r="L1526" s="49" t="str">
        <x:v>MS Seats : 7+ EWS : 1</x:v>
      </x:c>
      <x:c r="M1526" s="49" t="str">
        <x:v>https://dse2025.mahacet.org.in/dse25/admin/allotment/cap2/6223_4.pdf</x:v>
      </x:c>
    </x:row>
    <x:row r="1527">
      <x:c r="A1527" s="49" t="str">
        <x:v>2025-26</x:v>
      </x:c>
      <x:c r="B1527" s="63" t="n">
        <x:v>6250</x:v>
      </x:c>
      <x:c r="C1527" s="49" t="str">
        <x:v>D.Y. Patil College of Engineering and Technology, Kolhapur</x:v>
      </x:c>
      <x:c r="D1527" s="72" t="n">
        <x:v>625019110</x:v>
      </x:c>
      <x:c r="E1527" s="49" t="str">
        <x:v>Civil Engineering</x:v>
      </x:c>
      <x:c r="F1527" s="73" t="n">
        <x:v>17</x:v>
      </x:c>
      <x:c r="G1527" s="73" t="n">
        <x:v>14</x:v>
      </x:c>
      <x:c r="H1527" s="73" t="n">
        <x:v>3</x:v>
      </x:c>
      <x:c r="I1527" s="73"/>
      <x:c r="J1527" s="73" t="n">
        <x:v>0</x:v>
      </x:c>
      <x:c r="K1527" s="49" t="str">
        <x:v>Un-Aided Autonomous</x:v>
      </x:c>
      <x:c r="L1527" s="49" t="str">
        <x:v>MS Seats : 14+ EWS : 3</x:v>
      </x:c>
      <x:c r="M1527" s="49" t="str">
        <x:v>https://dse2025.mahacet.org.in/dse25/admin/allotment/cap2/6250_4.pdf</x:v>
      </x:c>
    </x:row>
    <x:row r="1528">
      <x:c r="A1528" s="49" t="str">
        <x:v>2025-26</x:v>
      </x:c>
      <x:c r="B1528" s="63" t="n">
        <x:v>6250</x:v>
      </x:c>
      <x:c r="C1528" s="49" t="str">
        <x:v>D.Y. Patil College of Engineering and Technology, Kolhapur</x:v>
      </x:c>
      <x:c r="D1528" s="72" t="n">
        <x:v>625024210</x:v>
      </x:c>
      <x:c r="E1528" s="49" t="str">
        <x:v>Computer Science and Engineering</x:v>
      </x:c>
      <x:c r="F1528" s="73" t="n">
        <x:v>51</x:v>
      </x:c>
      <x:c r="G1528" s="73" t="n">
        <x:v>45</x:v>
      </x:c>
      <x:c r="H1528" s="73" t="n">
        <x:v>6</x:v>
      </x:c>
      <x:c r="I1528" s="73"/>
      <x:c r="J1528" s="73" t="n">
        <x:v>0</x:v>
      </x:c>
      <x:c r="K1528" s="49" t="str">
        <x:v>Un-Aided Autonomous</x:v>
      </x:c>
      <x:c r="L1528" s="49" t="str">
        <x:v>MS Seats : 45+ EWS : 6</x:v>
      </x:c>
      <x:c r="M1528" s="49" t="str">
        <x:v>https://dse2025.mahacet.org.in/dse25/admin/allotment/cap2/6250_4.pdf</x:v>
      </x:c>
    </x:row>
    <x:row r="1529">
      <x:c r="A1529" s="49" t="str">
        <x:v>2025-26</x:v>
      </x:c>
      <x:c r="B1529" s="63" t="n">
        <x:v>6250</x:v>
      </x:c>
      <x:c r="C1529" s="49" t="str">
        <x:v>D.Y. Patil College of Engineering and Technology, Kolhapur</x:v>
      </x:c>
      <x:c r="D1529" s="72" t="n">
        <x:v>625037210</x:v>
      </x:c>
      <x:c r="E1529" s="49" t="str">
        <x:v>Electronics and Telecommunication Engg</x:v>
      </x:c>
      <x:c r="F1529" s="73" t="n">
        <x:v>15</x:v>
      </x:c>
      <x:c r="G1529" s="73" t="n">
        <x:v>13</x:v>
      </x:c>
      <x:c r="H1529" s="73" t="n">
        <x:v>2</x:v>
      </x:c>
      <x:c r="I1529" s="73"/>
      <x:c r="J1529" s="73" t="n">
        <x:v>0</x:v>
      </x:c>
      <x:c r="K1529" s="49" t="str">
        <x:v>Un-Aided Autonomous</x:v>
      </x:c>
      <x:c r="L1529" s="49" t="str">
        <x:v>MS Seats : 13+ EWS : 2</x:v>
      </x:c>
      <x:c r="M1529" s="49" t="str">
        <x:v>https://dse2025.mahacet.org.in/dse25/admin/allotment/cap2/6250_4.pdf</x:v>
      </x:c>
    </x:row>
    <x:row r="1530">
      <x:c r="A1530" s="49" t="str">
        <x:v>2025-26</x:v>
      </x:c>
      <x:c r="B1530" s="63" t="n">
        <x:v>6250</x:v>
      </x:c>
      <x:c r="C1530" s="49" t="str">
        <x:v>D.Y. Patil College of Engineering and Technology, Kolhapur</x:v>
      </x:c>
      <x:c r="D1530" s="72" t="n">
        <x:v>625050710</x:v>
      </x:c>
      <x:c r="E1530" s="49" t="str">
        <x:v>Chemical Engineering</x:v>
      </x:c>
      <x:c r="F1530" s="73" t="n">
        <x:v>8</x:v>
      </x:c>
      <x:c r="G1530" s="73" t="n">
        <x:v>7</x:v>
      </x:c>
      <x:c r="H1530" s="73" t="n">
        <x:v>1</x:v>
      </x:c>
      <x:c r="I1530" s="73"/>
      <x:c r="J1530" s="73" t="n">
        <x:v>0</x:v>
      </x:c>
      <x:c r="K1530" s="49" t="str">
        <x:v>Un-Aided Autonomous</x:v>
      </x:c>
      <x:c r="L1530" s="49" t="str">
        <x:v>MS Seats : 7+ EWS : 1</x:v>
      </x:c>
      <x:c r="M1530" s="49" t="str">
        <x:v>https://dse2025.mahacet.org.in/dse25/admin/allotment/cap2/6250_4.pdf</x:v>
      </x:c>
    </x:row>
    <x:row r="1531">
      <x:c r="A1531" s="49" t="str">
        <x:v>2025-26</x:v>
      </x:c>
      <x:c r="B1531" s="63" t="n">
        <x:v>6250</x:v>
      </x:c>
      <x:c r="C1531" s="49" t="str">
        <x:v>D.Y. Patil College of Engineering and Technology, Kolhapur</x:v>
      </x:c>
      <x:c r="D1531" s="72" t="n">
        <x:v>625061210</x:v>
      </x:c>
      <x:c r="E1531" s="49" t="str">
        <x:v>Mechanical Engineering</x:v>
      </x:c>
      <x:c r="F1531" s="73" t="n">
        <x:v>18</x:v>
      </x:c>
      <x:c r="G1531" s="73" t="n">
        <x:v>15</x:v>
      </x:c>
      <x:c r="H1531" s="73" t="n">
        <x:v>3</x:v>
      </x:c>
      <x:c r="I1531" s="73"/>
      <x:c r="J1531" s="73" t="n">
        <x:v>0</x:v>
      </x:c>
      <x:c r="K1531" s="49" t="str">
        <x:v>Un-Aided Autonomous</x:v>
      </x:c>
      <x:c r="L1531" s="49" t="str">
        <x:v>MS Seats : 15+ EWS : 3</x:v>
      </x:c>
      <x:c r="M1531" s="49" t="str">
        <x:v>https://dse2025.mahacet.org.in/dse25/admin/allotment/cap2/6250_4.pdf</x:v>
      </x:c>
    </x:row>
    <x:row r="1532">
      <x:c r="A1532" s="49" t="str">
        <x:v>2025-26</x:v>
      </x:c>
      <x:c r="B1532" s="63" t="n">
        <x:v>6250</x:v>
      </x:c>
      <x:c r="C1532" s="49" t="str">
        <x:v>D.Y. Patil College of Engineering and Technology, Kolhapur</x:v>
      </x:c>
      <x:c r="D1532" s="72" t="n">
        <x:v>625091110</x:v>
      </x:c>
      <x:c r="E1532" s="49" t="str">
        <x:v>Computer Science and Engineering(Artificial Intelligence and Machine Learning)</x:v>
      </x:c>
      <x:c r="F1532" s="73" t="n">
        <x:v>24</x:v>
      </x:c>
      <x:c r="G1532" s="73" t="n">
        <x:v>21</x:v>
      </x:c>
      <x:c r="H1532" s="73" t="n">
        <x:v>3</x:v>
      </x:c>
      <x:c r="I1532" s="73"/>
      <x:c r="J1532" s="73" t="n">
        <x:v>0</x:v>
      </x:c>
      <x:c r="K1532" s="49" t="str">
        <x:v>Un-Aided Autonomous</x:v>
      </x:c>
      <x:c r="L1532" s="49" t="str">
        <x:v>MS Seats : 21+ EWS : 3</x:v>
      </x:c>
      <x:c r="M1532" s="49" t="str">
        <x:v>https://dse2025.mahacet.org.in/dse25/admin/allotment/cap2/6250_4.pdf</x:v>
      </x:c>
    </x:row>
    <x:row r="1533">
      <x:c r="A1533" s="49" t="str">
        <x:v>2025-26</x:v>
      </x:c>
      <x:c r="B1533" s="63" t="n">
        <x:v>6250</x:v>
      </x:c>
      <x:c r="C1533" s="49" t="str">
        <x:v>D.Y. Patil College of Engineering and Technology, Kolhapur</x:v>
      </x:c>
      <x:c r="D1533" s="72" t="n">
        <x:v>625091210</x:v>
      </x:c>
      <x:c r="E1533" s="49" t="str">
        <x:v>Computer Science and Engineering(Data Science)</x:v>
      </x:c>
      <x:c r="F1533" s="73" t="n">
        <x:v>27</x:v>
      </x:c>
      <x:c r="G1533" s="73" t="n">
        <x:v>23</x:v>
      </x:c>
      <x:c r="H1533" s="73" t="n">
        <x:v>4</x:v>
      </x:c>
      <x:c r="I1533" s="73"/>
      <x:c r="J1533" s="73" t="n">
        <x:v>0</x:v>
      </x:c>
      <x:c r="K1533" s="49" t="str">
        <x:v>Un-Aided Autonomous</x:v>
      </x:c>
      <x:c r="L1533" s="49" t="str">
        <x:v>MS Seats : 23+ EWS : 4</x:v>
      </x:c>
      <x:c r="M1533" s="49" t="str">
        <x:v>https://dse2025.mahacet.org.in/dse25/admin/allotment/cap2/6250_4.pdf</x:v>
      </x:c>
    </x:row>
    <x:row r="1534">
      <x:c r="A1534" s="49" t="str">
        <x:v>2025-26</x:v>
      </x:c>
      <x:c r="B1534" s="63" t="n">
        <x:v>6265</x:v>
      </x:c>
      <x:c r="C1534" s="49" t="str">
        <x:v>Walchand Institute of Technology, Solapur</x:v>
      </x:c>
      <x:c r="D1534" s="72" t="n">
        <x:v>626519110</x:v>
      </x:c>
      <x:c r="E1534" s="49" t="str">
        <x:v>Civil Engineering</x:v>
      </x:c>
      <x:c r="F1534" s="73" t="n">
        <x:v>8</x:v>
      </x:c>
      <x:c r="G1534" s="73" t="n">
        <x:v>3</x:v>
      </x:c>
      <x:c r="H1534" s="73"/>
      <x:c r="I1534" s="73" t="n">
        <x:v>5</x:v>
      </x:c>
      <x:c r="J1534" s="73" t="n">
        <x:v>0</x:v>
      </x:c>
      <x:c r="K1534" s="49" t="str">
        <x:v>Un-Aided Autonomous Religious Minority - Jain</x:v>
      </x:c>
      <x:c r="L1534" s="49" t="str">
        <x:v>MS Seats : 3 + Minority Seats : 5</x:v>
      </x:c>
      <x:c r="M1534" s="49" t="str">
        <x:v>https://dse2025.mahacet.org.in/dse25/admin/allotment/cap2/6265_4.pdf</x:v>
      </x:c>
    </x:row>
    <x:row r="1535">
      <x:c r="A1535" s="49" t="str">
        <x:v>2025-26</x:v>
      </x:c>
      <x:c r="B1535" s="63" t="n">
        <x:v>6265</x:v>
      </x:c>
      <x:c r="C1535" s="49" t="str">
        <x:v>Walchand Institute of Technology, Solapur</x:v>
      </x:c>
      <x:c r="D1535" s="72" t="n">
        <x:v>626524210</x:v>
      </x:c>
      <x:c r="E1535" s="49" t="str">
        <x:v>Computer Science and Engineering</x:v>
      </x:c>
      <x:c r="F1535" s="73" t="n">
        <x:v>18</x:v>
      </x:c>
      <x:c r="G1535" s="73" t="n">
        <x:v>8</x:v>
      </x:c>
      <x:c r="H1535" s="73"/>
      <x:c r="I1535" s="73" t="n">
        <x:v>10</x:v>
      </x:c>
      <x:c r="J1535" s="73" t="n">
        <x:v>0</x:v>
      </x:c>
      <x:c r="K1535" s="49" t="str">
        <x:v>Un-Aided Autonomous Religious Minority - Jain</x:v>
      </x:c>
      <x:c r="L1535" s="49" t="str">
        <x:v>MS Seats : 8 + Minority Seats : 10</x:v>
      </x:c>
      <x:c r="M1535" s="49" t="str">
        <x:v>https://dse2025.mahacet.org.in/dse25/admin/allotment/cap2/6265_4.pdf</x:v>
      </x:c>
    </x:row>
    <x:row r="1536">
      <x:c r="A1536" s="49" t="str">
        <x:v>2025-26</x:v>
      </x:c>
      <x:c r="B1536" s="63" t="n">
        <x:v>6265</x:v>
      </x:c>
      <x:c r="C1536" s="49" t="str">
        <x:v>Walchand Institute of Technology, Solapur</x:v>
      </x:c>
      <x:c r="D1536" s="72" t="n">
        <x:v>626524610</x:v>
      </x:c>
      <x:c r="E1536" s="49" t="str">
        <x:v>Information Technology</x:v>
      </x:c>
      <x:c r="F1536" s="73" t="n">
        <x:v>13</x:v>
      </x:c>
      <x:c r="G1536" s="73" t="n">
        <x:v>6</x:v>
      </x:c>
      <x:c r="H1536" s="73"/>
      <x:c r="I1536" s="73" t="n">
        <x:v>7</x:v>
      </x:c>
      <x:c r="J1536" s="73" t="n">
        <x:v>0</x:v>
      </x:c>
      <x:c r="K1536" s="49" t="str">
        <x:v>Un-Aided Autonomous Religious Minority - Jain</x:v>
      </x:c>
      <x:c r="L1536" s="49" t="str">
        <x:v>MS Seats : 6 + Minority Seats : 7</x:v>
      </x:c>
      <x:c r="M1536" s="49" t="str">
        <x:v>https://dse2025.mahacet.org.in/dse25/admin/allotment/cap2/6265_4.pdf</x:v>
      </x:c>
    </x:row>
    <x:row r="1537">
      <x:c r="A1537" s="49" t="str">
        <x:v>2025-26</x:v>
      </x:c>
      <x:c r="B1537" s="63" t="n">
        <x:v>6265</x:v>
      </x:c>
      <x:c r="C1537" s="49" t="str">
        <x:v>Walchand Institute of Technology, Solapur</x:v>
      </x:c>
      <x:c r="D1537" s="72" t="n">
        <x:v>626537210</x:v>
      </x:c>
      <x:c r="E1537" s="49" t="str">
        <x:v>Electronics and Telecommunication Engg</x:v>
      </x:c>
      <x:c r="F1537" s="73" t="n">
        <x:v>13</x:v>
      </x:c>
      <x:c r="G1537" s="73" t="n">
        <x:v>6</x:v>
      </x:c>
      <x:c r="H1537" s="73"/>
      <x:c r="I1537" s="73" t="n">
        <x:v>7</x:v>
      </x:c>
      <x:c r="J1537" s="73" t="n">
        <x:v>0</x:v>
      </x:c>
      <x:c r="K1537" s="49" t="str">
        <x:v>Un-Aided Autonomous Religious Minority - Jain</x:v>
      </x:c>
      <x:c r="L1537" s="49" t="str">
        <x:v>MS Seats : 6 + Minority Seats : 7</x:v>
      </x:c>
      <x:c r="M1537" s="49" t="str">
        <x:v>https://dse2025.mahacet.org.in/dse25/admin/allotment/cap2/6265_4.pdf</x:v>
      </x:c>
    </x:row>
    <x:row r="1538">
      <x:c r="A1538" s="49" t="str">
        <x:v>2025-26</x:v>
      </x:c>
      <x:c r="B1538" s="63" t="n">
        <x:v>6265</x:v>
      </x:c>
      <x:c r="C1538" s="49" t="str">
        <x:v>Walchand Institute of Technology, Solapur</x:v>
      </x:c>
      <x:c r="D1538" s="72" t="n">
        <x:v>626561510</x:v>
      </x:c>
      <x:c r="E1538" s="49" t="str">
        <x:v>Mechanical &amp; Automation Engineering</x:v>
      </x:c>
      <x:c r="F1538" s="73" t="n">
        <x:v>8</x:v>
      </x:c>
      <x:c r="G1538" s="73" t="n">
        <x:v>3</x:v>
      </x:c>
      <x:c r="H1538" s="73"/>
      <x:c r="I1538" s="73" t="n">
        <x:v>5</x:v>
      </x:c>
      <x:c r="J1538" s="73" t="n">
        <x:v>0</x:v>
      </x:c>
      <x:c r="K1538" s="49" t="str">
        <x:v>Un-Aided Autonomous Religious Minority - Jain</x:v>
      </x:c>
      <x:c r="L1538" s="49" t="str">
        <x:v>MS Seats : 3 + Minority Seats : 5</x:v>
      </x:c>
      <x:c r="M1538" s="49" t="str">
        <x:v>https://dse2025.mahacet.org.in/dse25/admin/allotment/cap2/6265_4.pdf</x:v>
      </x:c>
    </x:row>
    <x:row r="1539">
      <x:c r="A1539" s="49" t="str">
        <x:v>2025-26</x:v>
      </x:c>
      <x:c r="B1539" s="63" t="n">
        <x:v>6265</x:v>
      </x:c>
      <x:c r="C1539" s="49" t="str">
        <x:v>Walchand Institute of Technology, Solapur</x:v>
      </x:c>
      <x:c r="D1539" s="72" t="n">
        <x:v>626584410</x:v>
      </x:c>
      <x:c r="E1539" s="49" t="str">
        <x:v>Electronics and Computer Engineering</x:v>
      </x:c>
      <x:c r="F1539" s="73" t="n">
        <x:v>6</x:v>
      </x:c>
      <x:c r="G1539" s="73" t="n">
        <x:v>2</x:v>
      </x:c>
      <x:c r="H1539" s="73"/>
      <x:c r="I1539" s="73" t="n">
        <x:v>4</x:v>
      </x:c>
      <x:c r="J1539" s="73" t="n">
        <x:v>0</x:v>
      </x:c>
      <x:c r="K1539" s="49" t="str">
        <x:v>Un-Aided Autonomous Religious Minority - Jain</x:v>
      </x:c>
      <x:c r="L1539" s="49" t="str">
        <x:v>MS Seats : 2 + Minority Seats : 4</x:v>
      </x:c>
      <x:c r="M1539" s="49" t="str">
        <x:v>https://dse2025.mahacet.org.in/dse25/admin/allotment/cap2/6265_4.pdf</x:v>
      </x:c>
    </x:row>
    <x:row r="1540">
      <x:c r="A1540" s="49" t="str">
        <x:v>2025-26</x:v>
      </x:c>
      <x:c r="B1540" s="63" t="n">
        <x:v>6267</x:v>
      </x:c>
      <x:c r="C1540" s="49" t="str">
        <x:v>Kolhapur Institute of Technology's College of Engineering(Autonomous), Kolhapur</x:v>
      </x:c>
      <x:c r="D1540" s="72" t="n">
        <x:v>626708210</x:v>
      </x:c>
      <x:c r="E1540" s="49" t="str">
        <x:v>Bio Technology</x:v>
      </x:c>
      <x:c r="F1540" s="73" t="n">
        <x:v>9</x:v>
      </x:c>
      <x:c r="G1540" s="73" t="n">
        <x:v>8</x:v>
      </x:c>
      <x:c r="H1540" s="73" t="n">
        <x:v>1</x:v>
      </x:c>
      <x:c r="I1540" s="73"/>
      <x:c r="J1540" s="73" t="n">
        <x:v>0</x:v>
      </x:c>
      <x:c r="K1540" s="49" t="str">
        <x:v>Un-Aided Autonomous</x:v>
      </x:c>
      <x:c r="L1540" s="49" t="str">
        <x:v>MS Seats : 8+ EWS : 1</x:v>
      </x:c>
      <x:c r="M1540" s="49" t="str">
        <x:v>https://dse2025.mahacet.org.in/dse25/admin/allotment/cap2/6267_4.pdf</x:v>
      </x:c>
    </x:row>
    <x:row r="1541">
      <x:c r="A1541" s="49" t="str">
        <x:v>2025-26</x:v>
      </x:c>
      <x:c r="B1541" s="63" t="n">
        <x:v>6267</x:v>
      </x:c>
      <x:c r="C1541" s="49" t="str">
        <x:v>Kolhapur Institute of Technology's College of Engineering(Autonomous), Kolhapur</x:v>
      </x:c>
      <x:c r="D1541" s="72" t="n">
        <x:v>626719110</x:v>
      </x:c>
      <x:c r="E1541" s="49" t="str">
        <x:v>Civil Engineering</x:v>
      </x:c>
      <x:c r="F1541" s="73" t="n">
        <x:v>18</x:v>
      </x:c>
      <x:c r="G1541" s="73" t="n">
        <x:v>15</x:v>
      </x:c>
      <x:c r="H1541" s="73" t="n">
        <x:v>3</x:v>
      </x:c>
      <x:c r="I1541" s="73"/>
      <x:c r="J1541" s="73" t="n">
        <x:v>0</x:v>
      </x:c>
      <x:c r="K1541" s="49" t="str">
        <x:v>Un-Aided Autonomous</x:v>
      </x:c>
      <x:c r="L1541" s="49" t="str">
        <x:v>MS Seats : 15+ EWS : 3</x:v>
      </x:c>
      <x:c r="M1541" s="49" t="str">
        <x:v>https://dse2025.mahacet.org.in/dse25/admin/allotment/cap2/6267_4.pdf</x:v>
      </x:c>
    </x:row>
    <x:row r="1542">
      <x:c r="A1542" s="49" t="str">
        <x:v>2025-26</x:v>
      </x:c>
      <x:c r="B1542" s="63" t="n">
        <x:v>6267</x:v>
      </x:c>
      <x:c r="C1542" s="49" t="str">
        <x:v>Kolhapur Institute of Technology's College of Engineering(Autonomous), Kolhapur</x:v>
      </x:c>
      <x:c r="D1542" s="72" t="n">
        <x:v>626724210</x:v>
      </x:c>
      <x:c r="E1542" s="49" t="str">
        <x:v>Computer Science and Engineering</x:v>
      </x:c>
      <x:c r="F1542" s="73" t="n">
        <x:v>23</x:v>
      </x:c>
      <x:c r="G1542" s="73" t="n">
        <x:v>21</x:v>
      </x:c>
      <x:c r="H1542" s="73" t="n">
        <x:v>2</x:v>
      </x:c>
      <x:c r="I1542" s="73"/>
      <x:c r="J1542" s="73" t="n">
        <x:v>0</x:v>
      </x:c>
      <x:c r="K1542" s="49" t="str">
        <x:v>Un-Aided Autonomous</x:v>
      </x:c>
      <x:c r="L1542" s="49" t="str">
        <x:v>MS Seats : 21+ EWS : 2</x:v>
      </x:c>
      <x:c r="M1542" s="49" t="str">
        <x:v>https://dse2025.mahacet.org.in/dse25/admin/allotment/cap2/6267_4.pdf</x:v>
      </x:c>
    </x:row>
    <x:row r="1543">
      <x:c r="A1543" s="49" t="str">
        <x:v>2025-26</x:v>
      </x:c>
      <x:c r="B1543" s="63" t="n">
        <x:v>6267</x:v>
      </x:c>
      <x:c r="C1543" s="49" t="str">
        <x:v>Kolhapur Institute of Technology's College of Engineering(Autonomous), Kolhapur</x:v>
      </x:c>
      <x:c r="D1543" s="72" t="n">
        <x:v>626726210</x:v>
      </x:c>
      <x:c r="E1543" s="49" t="str">
        <x:v>Computer Science and Business Systems</x:v>
      </x:c>
      <x:c r="F1543" s="73" t="n">
        <x:v>24</x:v>
      </x:c>
      <x:c r="G1543" s="73" t="n">
        <x:v>22</x:v>
      </x:c>
      <x:c r="H1543" s="73" t="n">
        <x:v>2</x:v>
      </x:c>
      <x:c r="I1543" s="73"/>
      <x:c r="J1543" s="73" t="n">
        <x:v>0</x:v>
      </x:c>
      <x:c r="K1543" s="49" t="str">
        <x:v>Un-Aided Autonomous</x:v>
      </x:c>
      <x:c r="L1543" s="49" t="str">
        <x:v>MS Seats : 22+ EWS : 2</x:v>
      </x:c>
      <x:c r="M1543" s="49" t="str">
        <x:v>https://dse2025.mahacet.org.in/dse25/admin/allotment/cap2/6267_4.pdf</x:v>
      </x:c>
    </x:row>
    <x:row r="1544">
      <x:c r="A1544" s="49" t="str">
        <x:v>2025-26</x:v>
      </x:c>
      <x:c r="B1544" s="63" t="n">
        <x:v>6267</x:v>
      </x:c>
      <x:c r="C1544" s="49" t="str">
        <x:v>Kolhapur Institute of Technology's College of Engineering(Autonomous), Kolhapur</x:v>
      </x:c>
      <x:c r="D1544" s="72" t="n">
        <x:v>626729310</x:v>
      </x:c>
      <x:c r="E1544" s="49" t="str">
        <x:v>Electrical Engineering</x:v>
      </x:c>
      <x:c r="F1544" s="73" t="n">
        <x:v>8</x:v>
      </x:c>
      <x:c r="G1544" s="73" t="n">
        <x:v>7</x:v>
      </x:c>
      <x:c r="H1544" s="73" t="n">
        <x:v>1</x:v>
      </x:c>
      <x:c r="I1544" s="73"/>
      <x:c r="J1544" s="73" t="n">
        <x:v>0</x:v>
      </x:c>
      <x:c r="K1544" s="49" t="str">
        <x:v>Un-Aided Autonomous</x:v>
      </x:c>
      <x:c r="L1544" s="49" t="str">
        <x:v>MS Seats : 7+ EWS : 1</x:v>
      </x:c>
      <x:c r="M1544" s="49" t="str">
        <x:v>https://dse2025.mahacet.org.in/dse25/admin/allotment/cap2/6267_4.pdf</x:v>
      </x:c>
    </x:row>
    <x:row r="1545">
      <x:c r="A1545" s="49" t="str">
        <x:v>2025-26</x:v>
      </x:c>
      <x:c r="B1545" s="63" t="n">
        <x:v>6267</x:v>
      </x:c>
      <x:c r="C1545" s="49" t="str">
        <x:v>Kolhapur Institute of Technology's College of Engineering(Autonomous), Kolhapur</x:v>
      </x:c>
      <x:c r="D1545" s="72" t="n">
        <x:v>626737210</x:v>
      </x:c>
      <x:c r="E1545" s="49" t="str">
        <x:v>Electronics and Telecommunication Engg</x:v>
      </x:c>
      <x:c r="F1545" s="73" t="n">
        <x:v>17</x:v>
      </x:c>
      <x:c r="G1545" s="73" t="n">
        <x:v>14</x:v>
      </x:c>
      <x:c r="H1545" s="73" t="n">
        <x:v>3</x:v>
      </x:c>
      <x:c r="I1545" s="73"/>
      <x:c r="J1545" s="73" t="n">
        <x:v>0</x:v>
      </x:c>
      <x:c r="K1545" s="49" t="str">
        <x:v>Un-Aided Autonomous</x:v>
      </x:c>
      <x:c r="L1545" s="49" t="str">
        <x:v>MS Seats : 14+ EWS : 3</x:v>
      </x:c>
      <x:c r="M1545" s="49" t="str">
        <x:v>https://dse2025.mahacet.org.in/dse25/admin/allotment/cap2/6267_4.pdf</x:v>
      </x:c>
    </x:row>
    <x:row r="1546">
      <x:c r="A1546" s="49" t="str">
        <x:v>2025-26</x:v>
      </x:c>
      <x:c r="B1546" s="63" t="n">
        <x:v>6267</x:v>
      </x:c>
      <x:c r="C1546" s="49" t="str">
        <x:v>Kolhapur Institute of Technology's College of Engineering(Autonomous), Kolhapur</x:v>
      </x:c>
      <x:c r="D1546" s="72" t="n">
        <x:v>626761210</x:v>
      </x:c>
      <x:c r="E1546" s="49" t="str">
        <x:v>Mechanical Engineering</x:v>
      </x:c>
      <x:c r="F1546" s="73" t="n">
        <x:v>28</x:v>
      </x:c>
      <x:c r="G1546" s="73" t="n">
        <x:v>25</x:v>
      </x:c>
      <x:c r="H1546" s="73" t="n">
        <x:v>3</x:v>
      </x:c>
      <x:c r="I1546" s="73"/>
      <x:c r="J1546" s="73" t="n">
        <x:v>0</x:v>
      </x:c>
      <x:c r="K1546" s="49" t="str">
        <x:v>Un-Aided Autonomous</x:v>
      </x:c>
      <x:c r="L1546" s="49" t="str">
        <x:v>MS Seats : 25+ EWS : 3</x:v>
      </x:c>
      <x:c r="M1546" s="49" t="str">
        <x:v>https://dse2025.mahacet.org.in/dse25/admin/allotment/cap2/6267_4.pdf</x:v>
      </x:c>
    </x:row>
    <x:row r="1547">
      <x:c r="A1547" s="49" t="str">
        <x:v>2025-26</x:v>
      </x:c>
      <x:c r="B1547" s="63" t="n">
        <x:v>6267</x:v>
      </x:c>
      <x:c r="C1547" s="49" t="str">
        <x:v>Kolhapur Institute of Technology's College of Engineering(Autonomous), Kolhapur</x:v>
      </x:c>
      <x:c r="D1547" s="72" t="n">
        <x:v>626791110</x:v>
      </x:c>
      <x:c r="E1547" s="49" t="str">
        <x:v>Computer Science and Engineering(Artificial Intelligence and Machine Learning)</x:v>
      </x:c>
      <x:c r="F1547" s="73" t="n">
        <x:v>24</x:v>
      </x:c>
      <x:c r="G1547" s="73" t="n">
        <x:v>21</x:v>
      </x:c>
      <x:c r="H1547" s="73" t="n">
        <x:v>3</x:v>
      </x:c>
      <x:c r="I1547" s="73"/>
      <x:c r="J1547" s="73" t="n">
        <x:v>0</x:v>
      </x:c>
      <x:c r="K1547" s="49" t="str">
        <x:v>Un-Aided Autonomous</x:v>
      </x:c>
      <x:c r="L1547" s="49" t="str">
        <x:v>MS Seats : 21+ EWS : 3</x:v>
      </x:c>
      <x:c r="M1547" s="49" t="str">
        <x:v>https://dse2025.mahacet.org.in/dse25/admin/allotment/cap2/6267_4.pdf</x:v>
      </x:c>
    </x:row>
    <x:row r="1548">
      <x:c r="A1548" s="49" t="str">
        <x:v>2025-26</x:v>
      </x:c>
      <x:c r="B1548" s="63" t="n">
        <x:v>6267</x:v>
      </x:c>
      <x:c r="C1548" s="49" t="str">
        <x:v>Kolhapur Institute of Technology's College of Engineering(Autonomous), Kolhapur</x:v>
      </x:c>
      <x:c r="D1548" s="72" t="n">
        <x:v>626792210</x:v>
      </x:c>
      <x:c r="E1548" s="49" t="str">
        <x:v>Civil and Environmental Engineering</x:v>
      </x:c>
      <x:c r="F1548" s="73" t="n">
        <x:v>10</x:v>
      </x:c>
      <x:c r="G1548" s="73" t="n">
        <x:v>9</x:v>
      </x:c>
      <x:c r="H1548" s="73" t="n">
        <x:v>1</x:v>
      </x:c>
      <x:c r="I1548" s="73"/>
      <x:c r="J1548" s="73" t="n">
        <x:v>0</x:v>
      </x:c>
      <x:c r="K1548" s="49" t="str">
        <x:v>Un-Aided Autonomous</x:v>
      </x:c>
      <x:c r="L1548" s="49" t="str">
        <x:v>MS Seats : 9+ EWS : 1</x:v>
      </x:c>
      <x:c r="M1548" s="49" t="str">
        <x:v>https://dse2025.mahacet.org.in/dse25/admin/allotment/cap2/6267_4.pdf</x:v>
      </x:c>
    </x:row>
    <x:row r="1549">
      <x:c r="A1549" s="49" t="str">
        <x:v>2025-26</x:v>
      </x:c>
      <x:c r="B1549" s="63" t="n">
        <x:v>6268</x:v>
      </x:c>
      <x:c r="C1549" s="49" t="str">
        <x:v>Tatyasaheb Kore Institute of Engineering and Technology, Warananagar</x:v>
      </x:c>
      <x:c r="D1549" s="72" t="n">
        <x:v>626819110</x:v>
      </x:c>
      <x:c r="E1549" s="49" t="str">
        <x:v>Civil Engineering</x:v>
      </x:c>
      <x:c r="F1549" s="73" t="n">
        <x:v>30</x:v>
      </x:c>
      <x:c r="G1549" s="73" t="n">
        <x:v>20</x:v>
      </x:c>
      <x:c r="H1549" s="73" t="n">
        <x:v>10</x:v>
      </x:c>
      <x:c r="I1549" s="73"/>
      <x:c r="J1549" s="73" t="n">
        <x:v>0</x:v>
      </x:c>
      <x:c r="K1549" s="49" t="str">
        <x:v>Un-Aided Autonomous</x:v>
      </x:c>
      <x:c r="L1549" s="49" t="str">
        <x:v>MS Seats : 20+ EWS : 10</x:v>
      </x:c>
      <x:c r="M1549" s="49" t="str">
        <x:v>https://dse2025.mahacet.org.in/dse25/admin/allotment/cap2/6268_4.pdf</x:v>
      </x:c>
    </x:row>
    <x:row r="1550">
      <x:c r="A1550" s="49" t="str">
        <x:v>2025-26</x:v>
      </x:c>
      <x:c r="B1550" s="63" t="n">
        <x:v>6268</x:v>
      </x:c>
      <x:c r="C1550" s="49" t="str">
        <x:v>Tatyasaheb Kore Institute of Engineering and Technology, Warananagar</x:v>
      </x:c>
      <x:c r="D1550" s="72" t="n">
        <x:v>626824210</x:v>
      </x:c>
      <x:c r="E1550" s="49" t="str">
        <x:v>Computer Science and Engineering</x:v>
      </x:c>
      <x:c r="F1550" s="73" t="n">
        <x:v>26</x:v>
      </x:c>
      <x:c r="G1550" s="73" t="n">
        <x:v>21</x:v>
      </x:c>
      <x:c r="H1550" s="73" t="n">
        <x:v>5</x:v>
      </x:c>
      <x:c r="I1550" s="73"/>
      <x:c r="J1550" s="73" t="n">
        <x:v>0</x:v>
      </x:c>
      <x:c r="K1550" s="49" t="str">
        <x:v>Un-Aided Autonomous</x:v>
      </x:c>
      <x:c r="L1550" s="49" t="str">
        <x:v>MS Seats : 21+ EWS : 5</x:v>
      </x:c>
      <x:c r="M1550" s="49" t="str">
        <x:v>https://dse2025.mahacet.org.in/dse25/admin/allotment/cap2/6268_4.pdf</x:v>
      </x:c>
    </x:row>
    <x:row r="1551">
      <x:c r="A1551" s="49" t="str">
        <x:v>2025-26</x:v>
      </x:c>
      <x:c r="B1551" s="63" t="n">
        <x:v>6268</x:v>
      </x:c>
      <x:c r="C1551" s="49" t="str">
        <x:v>Tatyasaheb Kore Institute of Engineering and Technology, Warananagar</x:v>
      </x:c>
      <x:c r="D1551" s="72" t="n">
        <x:v>626826210</x:v>
      </x:c>
      <x:c r="E1551" s="49" t="str">
        <x:v>Computer Science and Business Systems</x:v>
      </x:c>
      <x:c r="F1551" s="73" t="n">
        <x:v>8</x:v>
      </x:c>
      <x:c r="G1551" s="73" t="n">
        <x:v>7</x:v>
      </x:c>
      <x:c r="H1551" s="73" t="n">
        <x:v>1</x:v>
      </x:c>
      <x:c r="I1551" s="73"/>
      <x:c r="J1551" s="73" t="n">
        <x:v>0</x:v>
      </x:c>
      <x:c r="K1551" s="49" t="str">
        <x:v>Un-Aided Autonomous</x:v>
      </x:c>
      <x:c r="L1551" s="49" t="str">
        <x:v>MS Seats : 7+ EWS : 1</x:v>
      </x:c>
      <x:c r="M1551" s="49" t="str">
        <x:v>https://dse2025.mahacet.org.in/dse25/admin/allotment/cap2/6268_4.pdf</x:v>
      </x:c>
    </x:row>
    <x:row r="1552">
      <x:c r="A1552" s="49" t="str">
        <x:v>2025-26</x:v>
      </x:c>
      <x:c r="B1552" s="63" t="n">
        <x:v>6268</x:v>
      </x:c>
      <x:c r="C1552" s="49" t="str">
        <x:v>Tatyasaheb Kore Institute of Engineering and Technology, Warananagar</x:v>
      </x:c>
      <x:c r="D1552" s="72" t="n">
        <x:v>626837210</x:v>
      </x:c>
      <x:c r="E1552" s="49" t="str">
        <x:v>Electronics and Telecommunication Engg</x:v>
      </x:c>
      <x:c r="F1552" s="73" t="n">
        <x:v>9</x:v>
      </x:c>
      <x:c r="G1552" s="73" t="n">
        <x:v>7</x:v>
      </x:c>
      <x:c r="H1552" s="73" t="n">
        <x:v>2</x:v>
      </x:c>
      <x:c r="I1552" s="73"/>
      <x:c r="J1552" s="73" t="n">
        <x:v>0</x:v>
      </x:c>
      <x:c r="K1552" s="49" t="str">
        <x:v>Un-Aided Autonomous</x:v>
      </x:c>
      <x:c r="L1552" s="49" t="str">
        <x:v>MS Seats : 7+ EWS : 2</x:v>
      </x:c>
      <x:c r="M1552" s="49" t="str">
        <x:v>https://dse2025.mahacet.org.in/dse25/admin/allotment/cap2/6268_4.pdf</x:v>
      </x:c>
    </x:row>
    <x:row r="1553">
      <x:c r="A1553" s="49" t="str">
        <x:v>2025-26</x:v>
      </x:c>
      <x:c r="B1553" s="63" t="n">
        <x:v>6268</x:v>
      </x:c>
      <x:c r="C1553" s="49" t="str">
        <x:v>Tatyasaheb Kore Institute of Engineering and Technology, Warananagar</x:v>
      </x:c>
      <x:c r="D1553" s="72" t="n">
        <x:v>626850710</x:v>
      </x:c>
      <x:c r="E1553" s="49" t="str">
        <x:v>Chemical Engineering</x:v>
      </x:c>
      <x:c r="F1553" s="73" t="n">
        <x:v>11</x:v>
      </x:c>
      <x:c r="G1553" s="73" t="n">
        <x:v>10</x:v>
      </x:c>
      <x:c r="H1553" s="73" t="n">
        <x:v>1</x:v>
      </x:c>
      <x:c r="I1553" s="73"/>
      <x:c r="J1553" s="73" t="n">
        <x:v>0</x:v>
      </x:c>
      <x:c r="K1553" s="49" t="str">
        <x:v>Un-Aided Autonomous</x:v>
      </x:c>
      <x:c r="L1553" s="49" t="str">
        <x:v>MS Seats : 10+ EWS : 1</x:v>
      </x:c>
      <x:c r="M1553" s="49" t="str">
        <x:v>https://dse2025.mahacet.org.in/dse25/admin/allotment/cap2/6268_4.pdf</x:v>
      </x:c>
    </x:row>
    <x:row r="1554">
      <x:c r="A1554" s="49" t="str">
        <x:v>2025-26</x:v>
      </x:c>
      <x:c r="B1554" s="63" t="n">
        <x:v>6268</x:v>
      </x:c>
      <x:c r="C1554" s="49" t="str">
        <x:v>Tatyasaheb Kore Institute of Engineering and Technology, Warananagar</x:v>
      </x:c>
      <x:c r="D1554" s="72" t="n">
        <x:v>626861210</x:v>
      </x:c>
      <x:c r="E1554" s="49" t="str">
        <x:v>Mechanical Engineering</x:v>
      </x:c>
      <x:c r="F1554" s="73" t="n">
        <x:v>33</x:v>
      </x:c>
      <x:c r="G1554" s="73" t="n">
        <x:v>30</x:v>
      </x:c>
      <x:c r="H1554" s="73" t="n">
        <x:v>3</x:v>
      </x:c>
      <x:c r="I1554" s="73"/>
      <x:c r="J1554" s="73" t="n">
        <x:v>0</x:v>
      </x:c>
      <x:c r="K1554" s="49" t="str">
        <x:v>Un-Aided Autonomous</x:v>
      </x:c>
      <x:c r="L1554" s="49" t="str">
        <x:v>MS Seats : 30+ EWS : 3</x:v>
      </x:c>
      <x:c r="M1554" s="49" t="str">
        <x:v>https://dse2025.mahacet.org.in/dse25/admin/allotment/cap2/6268_4.pdf</x:v>
      </x:c>
    </x:row>
    <x:row r="1555">
      <x:c r="A1555" s="49" t="str">
        <x:v>2025-26</x:v>
      </x:c>
      <x:c r="B1555" s="63" t="n">
        <x:v>6269</x:v>
      </x:c>
      <x:c r="C1555" s="49" t="str">
        <x:v>Shetkari Shikshan Mandal's Pad. Vasantraodada Patil Institute of Technology, Budhgaon, Sangli</x:v>
      </x:c>
      <x:c r="D1555" s="72" t="n">
        <x:v>626919110</x:v>
      </x:c>
      <x:c r="E1555" s="49" t="str">
        <x:v>Civil Engineering</x:v>
      </x:c>
      <x:c r="F1555" s="73" t="n">
        <x:v>39</x:v>
      </x:c>
      <x:c r="G1555" s="73" t="n">
        <x:v>37</x:v>
      </x:c>
      <x:c r="H1555" s="73" t="n">
        <x:v>2</x:v>
      </x:c>
      <x:c r="I1555" s="73"/>
      <x:c r="J1555" s="73" t="n">
        <x:v>0</x:v>
      </x:c>
      <x:c r="K1555" s="49" t="str">
        <x:v>Un-Aided</x:v>
      </x:c>
      <x:c r="L1555" s="49" t="str">
        <x:v>MS Seats : 37+ EWS : 2</x:v>
      </x:c>
      <x:c r="M1555" s="49" t="str">
        <x:v>https://dse2025.mahacet.org.in/dse25/admin/allotment/cap2/6269_4.pdf</x:v>
      </x:c>
    </x:row>
    <x:row r="1556">
      <x:c r="A1556" s="49" t="str">
        <x:v>2025-26</x:v>
      </x:c>
      <x:c r="B1556" s="63" t="n">
        <x:v>6269</x:v>
      </x:c>
      <x:c r="C1556" s="49" t="str">
        <x:v>Shetkari Shikshan Mandal's Pad. Vasantraodada Patil Institute of Technology, Budhgaon, Sangli</x:v>
      </x:c>
      <x:c r="D1556" s="72" t="n">
        <x:v>626924210</x:v>
      </x:c>
      <x:c r="E1556" s="49" t="str">
        <x:v>Computer Science and Engineering</x:v>
      </x:c>
      <x:c r="F1556" s="73" t="n">
        <x:v>24</x:v>
      </x:c>
      <x:c r="G1556" s="73" t="n">
        <x:v>19</x:v>
      </x:c>
      <x:c r="H1556" s="73" t="n">
        <x:v>5</x:v>
      </x:c>
      <x:c r="I1556" s="73"/>
      <x:c r="J1556" s="73" t="n">
        <x:v>0</x:v>
      </x:c>
      <x:c r="K1556" s="49" t="str">
        <x:v>Un-Aided</x:v>
      </x:c>
      <x:c r="L1556" s="49" t="str">
        <x:v>MS Seats : 19+ EWS : 5</x:v>
      </x:c>
      <x:c r="M1556" s="49" t="str">
        <x:v>https://dse2025.mahacet.org.in/dse25/admin/allotment/cap2/6269_4.pdf</x:v>
      </x:c>
    </x:row>
    <x:row r="1557">
      <x:c r="A1557" s="49" t="str">
        <x:v>2025-26</x:v>
      </x:c>
      <x:c r="B1557" s="63" t="n">
        <x:v>6269</x:v>
      </x:c>
      <x:c r="C1557" s="49" t="str">
        <x:v>Shetkari Shikshan Mandal's Pad. Vasantraodada Patil Institute of Technology, Budhgaon, Sangli</x:v>
      </x:c>
      <x:c r="D1557" s="72" t="n">
        <x:v>626937210</x:v>
      </x:c>
      <x:c r="E1557" s="49" t="str">
        <x:v>Electronics and Telecommunication Engg</x:v>
      </x:c>
      <x:c r="F1557" s="73" t="n">
        <x:v>16</x:v>
      </x:c>
      <x:c r="G1557" s="73" t="n">
        <x:v>15</x:v>
      </x:c>
      <x:c r="H1557" s="73" t="n">
        <x:v>1</x:v>
      </x:c>
      <x:c r="I1557" s="73"/>
      <x:c r="J1557" s="73" t="n">
        <x:v>0</x:v>
      </x:c>
      <x:c r="K1557" s="49" t="str">
        <x:v>Un-Aided</x:v>
      </x:c>
      <x:c r="L1557" s="49" t="str">
        <x:v>MS Seats : 15+ EWS : 1</x:v>
      </x:c>
      <x:c r="M1557" s="49" t="str">
        <x:v>https://dse2025.mahacet.org.in/dse25/admin/allotment/cap2/6269_4.pdf</x:v>
      </x:c>
    </x:row>
    <x:row r="1558">
      <x:c r="A1558" s="49" t="str">
        <x:v>2025-26</x:v>
      </x:c>
      <x:c r="B1558" s="63" t="n">
        <x:v>6269</x:v>
      </x:c>
      <x:c r="C1558" s="49" t="str">
        <x:v>Shetkari Shikshan Mandal's Pad. Vasantraodada Patil Institute of Technology, Budhgaon, Sangli</x:v>
      </x:c>
      <x:c r="D1558" s="72" t="n">
        <x:v>626946410</x:v>
      </x:c>
      <x:c r="E1558" s="49" t="str">
        <x:v>Instrumentation and Control Engineering</x:v>
      </x:c>
      <x:c r="F1558" s="73" t="n">
        <x:v>13</x:v>
      </x:c>
      <x:c r="G1558" s="73" t="n">
        <x:v>12</x:v>
      </x:c>
      <x:c r="H1558" s="73" t="n">
        <x:v>1</x:v>
      </x:c>
      <x:c r="I1558" s="73"/>
      <x:c r="J1558" s="73" t="n">
        <x:v>0</x:v>
      </x:c>
      <x:c r="K1558" s="49" t="str">
        <x:v>Un-Aided</x:v>
      </x:c>
      <x:c r="L1558" s="49" t="str">
        <x:v>MS Seats : 12+ EWS : 1</x:v>
      </x:c>
      <x:c r="M1558" s="49" t="str">
        <x:v>https://dse2025.mahacet.org.in/dse25/admin/allotment/cap2/6269_4.pdf</x:v>
      </x:c>
    </x:row>
    <x:row r="1559">
      <x:c r="A1559" s="49" t="str">
        <x:v>2025-26</x:v>
      </x:c>
      <x:c r="B1559" s="63" t="n">
        <x:v>6269</x:v>
      </x:c>
      <x:c r="C1559" s="49" t="str">
        <x:v>Shetkari Shikshan Mandal's Pad. Vasantraodada Patil Institute of Technology, Budhgaon, Sangli</x:v>
      </x:c>
      <x:c r="D1559" s="72" t="n">
        <x:v>626950710</x:v>
      </x:c>
      <x:c r="E1559" s="49" t="str">
        <x:v>Chemical Engineering</x:v>
      </x:c>
      <x:c r="F1559" s="73" t="n">
        <x:v>38</x:v>
      </x:c>
      <x:c r="G1559" s="73" t="n">
        <x:v>36</x:v>
      </x:c>
      <x:c r="H1559" s="73" t="n">
        <x:v>2</x:v>
      </x:c>
      <x:c r="I1559" s="73"/>
      <x:c r="J1559" s="73" t="n">
        <x:v>0</x:v>
      </x:c>
      <x:c r="K1559" s="49" t="str">
        <x:v>Un-Aided</x:v>
      </x:c>
      <x:c r="L1559" s="49" t="str">
        <x:v>MS Seats : 36+ EWS : 2</x:v>
      </x:c>
      <x:c r="M1559" s="49" t="str">
        <x:v>https://dse2025.mahacet.org.in/dse25/admin/allotment/cap2/6269_4.pdf</x:v>
      </x:c>
    </x:row>
    <x:row r="1560">
      <x:c r="A1560" s="49" t="str">
        <x:v>2025-26</x:v>
      </x:c>
      <x:c r="B1560" s="63" t="n">
        <x:v>6269</x:v>
      </x:c>
      <x:c r="C1560" s="49" t="str">
        <x:v>Shetkari Shikshan Mandal's Pad. Vasantraodada Patil Institute of Technology, Budhgaon, Sangli</x:v>
      </x:c>
      <x:c r="D1560" s="72" t="n">
        <x:v>626961210</x:v>
      </x:c>
      <x:c r="E1560" s="49" t="str">
        <x:v>Mechanical Engineering</x:v>
      </x:c>
      <x:c r="F1560" s="73" t="n">
        <x:v>22</x:v>
      </x:c>
      <x:c r="G1560" s="73" t="n">
        <x:v>20</x:v>
      </x:c>
      <x:c r="H1560" s="73" t="n">
        <x:v>2</x:v>
      </x:c>
      <x:c r="I1560" s="73"/>
      <x:c r="J1560" s="73" t="n">
        <x:v>0</x:v>
      </x:c>
      <x:c r="K1560" s="49" t="str">
        <x:v>Un-Aided</x:v>
      </x:c>
      <x:c r="L1560" s="49" t="str">
        <x:v>MS Seats : 20+ EWS : 2</x:v>
      </x:c>
      <x:c r="M1560" s="49" t="str">
        <x:v>https://dse2025.mahacet.org.in/dse25/admin/allotment/cap2/6269_4.pdf</x:v>
      </x:c>
    </x:row>
    <x:row r="1561">
      <x:c r="A1561" s="49" t="str">
        <x:v>2025-26</x:v>
      </x:c>
      <x:c r="B1561" s="63" t="n">
        <x:v>6269</x:v>
      </x:c>
      <x:c r="C1561" s="49" t="str">
        <x:v>Shetkari Shikshan Mandal's Pad. Vasantraodada Patil Institute of Technology, Budhgaon, Sangli</x:v>
      </x:c>
      <x:c r="D1561" s="72" t="n">
        <x:v>626990010</x:v>
      </x:c>
      <x:c r="E1561" s="49" t="str">
        <x:v>Electronics and Computer Science</x:v>
      </x:c>
      <x:c r="F1561" s="73" t="n">
        <x:v>29</x:v>
      </x:c>
      <x:c r="G1561" s="73" t="n">
        <x:v>24</x:v>
      </x:c>
      <x:c r="H1561" s="73" t="n">
        <x:v>5</x:v>
      </x:c>
      <x:c r="I1561" s="73"/>
      <x:c r="J1561" s="73" t="n">
        <x:v>0</x:v>
      </x:c>
      <x:c r="K1561" s="49" t="str">
        <x:v>Un-Aided</x:v>
      </x:c>
      <x:c r="L1561" s="49" t="str">
        <x:v>MS Seats : 24+ EWS : 5</x:v>
      </x:c>
      <x:c r="M1561" s="49" t="str">
        <x:v>https://dse2025.mahacet.org.in/dse25/admin/allotment/cap2/6269_4.pdf</x:v>
      </x:c>
    </x:row>
    <x:row r="1562">
      <x:c r="A1562" s="49" t="str">
        <x:v>2025-26</x:v>
      </x:c>
      <x:c r="B1562" s="63" t="n">
        <x:v>6269</x:v>
      </x:c>
      <x:c r="C1562" s="49" t="str">
        <x:v>Shetkari Shikshan Mandal's Pad. Vasantraodada Patil Institute of Technology, Budhgaon, Sangli</x:v>
      </x:c>
      <x:c r="D1562" s="72" t="n">
        <x:v>626992510</x:v>
      </x:c>
      <x:c r="E1562" s="49" t="str">
        <x:v>Computer Science and Engineering (Artificial Intelligence and Data Science)</x:v>
      </x:c>
      <x:c r="F1562" s="73" t="n">
        <x:v>12</x:v>
      </x:c>
      <x:c r="G1562" s="73" t="n">
        <x:v>10</x:v>
      </x:c>
      <x:c r="H1562" s="73" t="n">
        <x:v>2</x:v>
      </x:c>
      <x:c r="I1562" s="73"/>
      <x:c r="J1562" s="73" t="n">
        <x:v>0</x:v>
      </x:c>
      <x:c r="K1562" s="49" t="str">
        <x:v>Un-Aided</x:v>
      </x:c>
      <x:c r="L1562" s="49" t="str">
        <x:v>MS Seats : 10+ EWS : 2</x:v>
      </x:c>
      <x:c r="M1562" s="49" t="str">
        <x:v>https://dse2025.mahacet.org.in/dse25/admin/allotment/cap2/6269_4.pdf</x:v>
      </x:c>
    </x:row>
    <x:row r="1563">
      <x:c r="A1563" s="49" t="str">
        <x:v>2025-26</x:v>
      </x:c>
      <x:c r="B1563" s="63" t="n">
        <x:v>6269</x:v>
      </x:c>
      <x:c r="C1563" s="49" t="str">
        <x:v>Shetkari Shikshan Mandal's Pad. Vasantraodada Patil Institute of Technology, Budhgaon, Sangli</x:v>
      </x:c>
      <x:c r="D1563" s="72" t="n">
        <x:v>626992610</x:v>
      </x:c>
      <x:c r="E1563" s="49" t="str">
        <x:v>Electrical and Computer Engineering</x:v>
      </x:c>
      <x:c r="F1563" s="73" t="n">
        <x:v>18</x:v>
      </x:c>
      <x:c r="G1563" s="73" t="n">
        <x:v>13</x:v>
      </x:c>
      <x:c r="H1563" s="73" t="n">
        <x:v>5</x:v>
      </x:c>
      <x:c r="I1563" s="73"/>
      <x:c r="J1563" s="73" t="n">
        <x:v>0</x:v>
      </x:c>
      <x:c r="K1563" s="49" t="str">
        <x:v>Un-Aided</x:v>
      </x:c>
      <x:c r="L1563" s="49" t="str">
        <x:v>MS Seats : 13+ EWS : 5</x:v>
      </x:c>
      <x:c r="M1563" s="49" t="str">
        <x:v>https://dse2025.mahacet.org.in/dse25/admin/allotment/cap2/6269_4.pdf</x:v>
      </x:c>
    </x:row>
    <x:row r="1564">
      <x:c r="A1564" s="49" t="str">
        <x:v>2025-26</x:v>
      </x:c>
      <x:c r="B1564" s="63" t="n">
        <x:v>6270</x:v>
      </x:c>
      <x:c r="C1564" s="49" t="str">
        <x:v>Rayat Shikshan Sanstha's Karmaveer Bhaurao Patil College of Engineering, Satara</x:v>
      </x:c>
      <x:c r="D1564" s="72" t="n">
        <x:v>627019110</x:v>
      </x:c>
      <x:c r="E1564" s="49" t="str">
        <x:v>Civil Engineering</x:v>
      </x:c>
      <x:c r="F1564" s="73" t="n">
        <x:v>18</x:v>
      </x:c>
      <x:c r="G1564" s="73" t="n">
        <x:v>11</x:v>
      </x:c>
      <x:c r="H1564" s="73" t="n">
        <x:v>7</x:v>
      </x:c>
      <x:c r="I1564" s="73"/>
      <x:c r="J1564" s="73" t="n">
        <x:v>0</x:v>
      </x:c>
      <x:c r="K1564" s="49" t="str">
        <x:v>Un-Aided</x:v>
      </x:c>
      <x:c r="L1564" s="49" t="str">
        <x:v>MS Seats : 11+ EWS : 7</x:v>
      </x:c>
      <x:c r="M1564" s="49" t="str">
        <x:v>https://dse2025.mahacet.org.in/dse25/admin/allotment/cap2/6270_4.pdf</x:v>
      </x:c>
    </x:row>
    <x:row r="1565">
      <x:c r="A1565" s="49" t="str">
        <x:v>2025-26</x:v>
      </x:c>
      <x:c r="B1565" s="63" t="n">
        <x:v>6270</x:v>
      </x:c>
      <x:c r="C1565" s="49" t="str">
        <x:v>Rayat Shikshan Sanstha's Karmaveer Bhaurao Patil College of Engineering, Satara</x:v>
      </x:c>
      <x:c r="D1565" s="72" t="n">
        <x:v>627024210</x:v>
      </x:c>
      <x:c r="E1565" s="49" t="str">
        <x:v>Computer Science and Engineering</x:v>
      </x:c>
      <x:c r="F1565" s="73" t="n">
        <x:v>26</x:v>
      </x:c>
      <x:c r="G1565" s="73" t="n">
        <x:v>22</x:v>
      </x:c>
      <x:c r="H1565" s="73" t="n">
        <x:v>4</x:v>
      </x:c>
      <x:c r="I1565" s="73"/>
      <x:c r="J1565" s="73" t="n">
        <x:v>0</x:v>
      </x:c>
      <x:c r="K1565" s="49" t="str">
        <x:v>Un-Aided</x:v>
      </x:c>
      <x:c r="L1565" s="49" t="str">
        <x:v>MS Seats : 22+ EWS : 4</x:v>
      </x:c>
      <x:c r="M1565" s="49" t="str">
        <x:v>https://dse2025.mahacet.org.in/dse25/admin/allotment/cap2/6270_4.pdf</x:v>
      </x:c>
    </x:row>
    <x:row r="1566">
      <x:c r="A1566" s="49" t="str">
        <x:v>2025-26</x:v>
      </x:c>
      <x:c r="B1566" s="63" t="n">
        <x:v>6270</x:v>
      </x:c>
      <x:c r="C1566" s="49" t="str">
        <x:v>Rayat Shikshan Sanstha's Karmaveer Bhaurao Patil College of Engineering, Satara</x:v>
      </x:c>
      <x:c r="D1566" s="72" t="n">
        <x:v>627037210</x:v>
      </x:c>
      <x:c r="E1566" s="49" t="str">
        <x:v>Electronics and Telecommunication Engg</x:v>
      </x:c>
      <x:c r="F1566" s="73" t="n">
        <x:v>12</x:v>
      </x:c>
      <x:c r="G1566" s="73" t="n">
        <x:v>11</x:v>
      </x:c>
      <x:c r="H1566" s="73" t="n">
        <x:v>1</x:v>
      </x:c>
      <x:c r="I1566" s="73"/>
      <x:c r="J1566" s="73" t="n">
        <x:v>0</x:v>
      </x:c>
      <x:c r="K1566" s="49" t="str">
        <x:v>Un-Aided</x:v>
      </x:c>
      <x:c r="L1566" s="49" t="str">
        <x:v>MS Seats : 11+ EWS : 1</x:v>
      </x:c>
      <x:c r="M1566" s="49" t="str">
        <x:v>https://dse2025.mahacet.org.in/dse25/admin/allotment/cap2/6270_4.pdf</x:v>
      </x:c>
    </x:row>
    <x:row r="1567">
      <x:c r="A1567" s="49" t="str">
        <x:v>2025-26</x:v>
      </x:c>
      <x:c r="B1567" s="63" t="n">
        <x:v>6270</x:v>
      </x:c>
      <x:c r="C1567" s="49" t="str">
        <x:v>Rayat Shikshan Sanstha's Karmaveer Bhaurao Patil College of Engineering, Satara</x:v>
      </x:c>
      <x:c r="D1567" s="72" t="n">
        <x:v>627061210</x:v>
      </x:c>
      <x:c r="E1567" s="49" t="str">
        <x:v>Mechanical Engineering</x:v>
      </x:c>
      <x:c r="F1567" s="73" t="n">
        <x:v>13</x:v>
      </x:c>
      <x:c r="G1567" s="73" t="n">
        <x:v>8</x:v>
      </x:c>
      <x:c r="H1567" s="73" t="n">
        <x:v>5</x:v>
      </x:c>
      <x:c r="I1567" s="73"/>
      <x:c r="J1567" s="73" t="n">
        <x:v>0</x:v>
      </x:c>
      <x:c r="K1567" s="49" t="str">
        <x:v>Un-Aided</x:v>
      </x:c>
      <x:c r="L1567" s="49" t="str">
        <x:v>MS Seats : 8+ EWS : 5</x:v>
      </x:c>
      <x:c r="M1567" s="49" t="str">
        <x:v>https://dse2025.mahacet.org.in/dse25/admin/allotment/cap2/6270_4.pdf</x:v>
      </x:c>
    </x:row>
    <x:row r="1568">
      <x:c r="A1568" s="49" t="str">
        <x:v>2025-26</x:v>
      </x:c>
      <x:c r="B1568" s="63" t="n">
        <x:v>6270</x:v>
      </x:c>
      <x:c r="C1568" s="49" t="str">
        <x:v>Rayat Shikshan Sanstha's Karmaveer Bhaurao Patil College of Engineering, Satara</x:v>
      </x:c>
      <x:c r="D1568" s="72" t="n">
        <x:v>627099510</x:v>
      </x:c>
      <x:c r="E1568" s="49" t="str">
        <x:v>Artificial Intelligence and Data Science</x:v>
      </x:c>
      <x:c r="F1568" s="73" t="n">
        <x:v>9</x:v>
      </x:c>
      <x:c r="G1568" s="73" t="n">
        <x:v>8</x:v>
      </x:c>
      <x:c r="H1568" s="73" t="n">
        <x:v>1</x:v>
      </x:c>
      <x:c r="I1568" s="73"/>
      <x:c r="J1568" s="73" t="n">
        <x:v>0</x:v>
      </x:c>
      <x:c r="K1568" s="49" t="str">
        <x:v>Un-Aided</x:v>
      </x:c>
      <x:c r="L1568" s="49" t="str">
        <x:v>MS Seats : 8+ EWS : 1</x:v>
      </x:c>
      <x:c r="M1568" s="49" t="str">
        <x:v>https://dse2025.mahacet.org.in/dse25/admin/allotment/cap2/6270_4.pdf</x:v>
      </x:c>
    </x:row>
    <x:row r="1569">
      <x:c r="A1569" s="49" t="str">
        <x:v>2025-26</x:v>
      </x:c>
      <x:c r="B1569" s="63" t="n">
        <x:v>6271</x:v>
      </x:c>
      <x:c r="C1569" s="49" t="str">
        <x:v>Pune Institute of Computer Technology</x:v>
      </x:c>
      <x:c r="D1569" s="72" t="n">
        <x:v>627124510</x:v>
      </x:c>
      <x:c r="E1569" s="49" t="str">
        <x:v>Computer Engineering</x:v>
      </x:c>
      <x:c r="F1569" s="73" t="n">
        <x:v>31</x:v>
      </x:c>
      <x:c r="G1569" s="73" t="n">
        <x:v>28</x:v>
      </x:c>
      <x:c r="H1569" s="73" t="n">
        <x:v>3</x:v>
      </x:c>
      <x:c r="I1569" s="73"/>
      <x:c r="J1569" s="73" t="n">
        <x:v>0</x:v>
      </x:c>
      <x:c r="K1569" s="49" t="str">
        <x:v>Un-Aided Autonomous</x:v>
      </x:c>
      <x:c r="L1569" s="49" t="str">
        <x:v>MS Seats : 28+ EWS : 3</x:v>
      </x:c>
      <x:c r="M1569" s="49" t="str">
        <x:v>https://dse2025.mahacet.org.in/dse25/admin/allotment/cap2/6271_4.pdf</x:v>
      </x:c>
    </x:row>
    <x:row r="1570">
      <x:c r="A1570" s="49" t="str">
        <x:v>2025-26</x:v>
      </x:c>
      <x:c r="B1570" s="63" t="n">
        <x:v>6271</x:v>
      </x:c>
      <x:c r="C1570" s="49" t="str">
        <x:v>Pune Institute of Computer Technology</x:v>
      </x:c>
      <x:c r="D1570" s="72" t="n">
        <x:v>627124610</x:v>
      </x:c>
      <x:c r="E1570" s="49" t="str">
        <x:v>Information Technology</x:v>
      </x:c>
      <x:c r="F1570" s="73" t="n">
        <x:v>25</x:v>
      </x:c>
      <x:c r="G1570" s="73" t="n">
        <x:v>21</x:v>
      </x:c>
      <x:c r="H1570" s="73" t="n">
        <x:v>4</x:v>
      </x:c>
      <x:c r="I1570" s="73"/>
      <x:c r="J1570" s="73" t="n">
        <x:v>0</x:v>
      </x:c>
      <x:c r="K1570" s="49" t="str">
        <x:v>Un-Aided Autonomous</x:v>
      </x:c>
      <x:c r="L1570" s="49" t="str">
        <x:v>MS Seats : 21+ EWS : 4</x:v>
      </x:c>
      <x:c r="M1570" s="49" t="str">
        <x:v>https://dse2025.mahacet.org.in/dse25/admin/allotment/cap2/6271_4.pdf</x:v>
      </x:c>
    </x:row>
    <x:row r="1571">
      <x:c r="A1571" s="49" t="str">
        <x:v>2025-26</x:v>
      </x:c>
      <x:c r="B1571" s="63" t="n">
        <x:v>6271</x:v>
      </x:c>
      <x:c r="C1571" s="49" t="str">
        <x:v>Pune Institute of Computer Technology</x:v>
      </x:c>
      <x:c r="D1571" s="72" t="n">
        <x:v>627126310</x:v>
      </x:c>
      <x:c r="E1571" s="49" t="str">
        <x:v>Artificial Intelligence (AI) and Data Science</x:v>
      </x:c>
      <x:c r="F1571" s="73" t="n">
        <x:v>8</x:v>
      </x:c>
      <x:c r="G1571" s="73" t="n">
        <x:v>7</x:v>
      </x:c>
      <x:c r="H1571" s="73" t="n">
        <x:v>1</x:v>
      </x:c>
      <x:c r="I1571" s="73"/>
      <x:c r="J1571" s="73" t="n">
        <x:v>0</x:v>
      </x:c>
      <x:c r="K1571" s="49" t="str">
        <x:v>Un-Aided Autonomous</x:v>
      </x:c>
      <x:c r="L1571" s="49" t="str">
        <x:v>MS Seats : 7+ EWS : 1</x:v>
      </x:c>
      <x:c r="M1571" s="49" t="str">
        <x:v>https://dse2025.mahacet.org.in/dse25/admin/allotment/cap2/6271_4.pdf</x:v>
      </x:c>
    </x:row>
    <x:row r="1572">
      <x:c r="A1572" s="49" t="str">
        <x:v>2025-26</x:v>
      </x:c>
      <x:c r="B1572" s="63" t="n">
        <x:v>6271</x:v>
      </x:c>
      <x:c r="C1572" s="49" t="str">
        <x:v>Pune Institute of Computer Technology</x:v>
      </x:c>
      <x:c r="D1572" s="72" t="n">
        <x:v>627137210</x:v>
      </x:c>
      <x:c r="E1572" s="49" t="str">
        <x:v>Electronics and Telecommunication Engg</x:v>
      </x:c>
      <x:c r="F1572" s="73" t="n">
        <x:v>45</x:v>
      </x:c>
      <x:c r="G1572" s="73" t="n">
        <x:v>39</x:v>
      </x:c>
      <x:c r="H1572" s="73" t="n">
        <x:v>6</x:v>
      </x:c>
      <x:c r="I1572" s="73"/>
      <x:c r="J1572" s="73" t="n">
        <x:v>0</x:v>
      </x:c>
      <x:c r="K1572" s="49" t="str">
        <x:v>Un-Aided Autonomous</x:v>
      </x:c>
      <x:c r="L1572" s="49" t="str">
        <x:v>MS Seats : 39+ EWS : 6</x:v>
      </x:c>
      <x:c r="M1572" s="49" t="str">
        <x:v>https://dse2025.mahacet.org.in/dse25/admin/allotment/cap2/6271_4.pdf</x:v>
      </x:c>
    </x:row>
    <x:row r="1573">
      <x:c r="A1573" s="49" t="str">
        <x:v>2025-26</x:v>
      </x:c>
      <x:c r="B1573" s="63" t="n">
        <x:v>6271</x:v>
      </x:c>
      <x:c r="C1573" s="49" t="str">
        <x:v>Pune Institute of Computer Technology</x:v>
      </x:c>
      <x:c r="D1573" s="72" t="n">
        <x:v>627184410</x:v>
      </x:c>
      <x:c r="E1573" s="49" t="str">
        <x:v>Electronics and Computer Engineering</x:v>
      </x:c>
      <x:c r="F1573" s="73" t="n">
        <x:v>11</x:v>
      </x:c>
      <x:c r="G1573" s="73" t="n">
        <x:v>7</x:v>
      </x:c>
      <x:c r="H1573" s="73" t="n">
        <x:v>4</x:v>
      </x:c>
      <x:c r="I1573" s="73"/>
      <x:c r="J1573" s="73" t="n">
        <x:v>0</x:v>
      </x:c>
      <x:c r="K1573" s="49" t="str">
        <x:v>Un-Aided Autonomous</x:v>
      </x:c>
      <x:c r="L1573" s="49" t="str">
        <x:v>MS Seats : 7+ EWS : 4</x:v>
      </x:c>
      <x:c r="M1573" s="49" t="str">
        <x:v>https://dse2025.mahacet.org.in/dse25/admin/allotment/cap2/6271_4.pdf</x:v>
      </x:c>
    </x:row>
    <x:row r="1574">
      <x:c r="A1574" s="49" t="str">
        <x:v>2025-26</x:v>
      </x:c>
      <x:c r="B1574" s="63" t="n">
        <x:v>6272</x:v>
      </x:c>
      <x:c r="C1574" s="49" t="str">
        <x:v>Dr. D. Y. Patil Pratishthan's D.Y.Patil College of Engineering Akurdi, Pune</x:v>
      </x:c>
      <x:c r="D1574" s="72" t="n">
        <x:v>627219110</x:v>
      </x:c>
      <x:c r="E1574" s="49" t="str">
        <x:v>Civil Engineering</x:v>
      </x:c>
      <x:c r="F1574" s="73" t="n">
        <x:v>23</x:v>
      </x:c>
      <x:c r="G1574" s="73" t="n">
        <x:v>17</x:v>
      </x:c>
      <x:c r="H1574" s="73" t="n">
        <x:v>6</x:v>
      </x:c>
      <x:c r="I1574" s="73"/>
      <x:c r="J1574" s="73" t="n">
        <x:v>0</x:v>
      </x:c>
      <x:c r="K1574" s="49" t="str">
        <x:v>Un-Aided Autonomous</x:v>
      </x:c>
      <x:c r="L1574" s="49" t="str">
        <x:v>MS Seats : 17+ EWS : 6</x:v>
      </x:c>
      <x:c r="M1574" s="49" t="str">
        <x:v>https://dse2025.mahacet.org.in/dse25/admin/allotment/cap2/6272_4.pdf</x:v>
      </x:c>
    </x:row>
    <x:row r="1575">
      <x:c r="A1575" s="49" t="str">
        <x:v>2025-26</x:v>
      </x:c>
      <x:c r="B1575" s="63" t="n">
        <x:v>6272</x:v>
      </x:c>
      <x:c r="C1575" s="49" t="str">
        <x:v>Dr. D. Y. Patil Pratishthan's D.Y.Patil College of Engineering Akurdi, Pune</x:v>
      </x:c>
      <x:c r="D1575" s="72" t="n">
        <x:v>627221910</x:v>
      </x:c>
      <x:c r="E1575" s="49" t="str">
        <x:v>Robotics and Automation</x:v>
      </x:c>
      <x:c r="F1575" s="73" t="n">
        <x:v>14</x:v>
      </x:c>
      <x:c r="G1575" s="73" t="n">
        <x:v>12</x:v>
      </x:c>
      <x:c r="H1575" s="73" t="n">
        <x:v>2</x:v>
      </x:c>
      <x:c r="I1575" s="73"/>
      <x:c r="J1575" s="73" t="n">
        <x:v>0</x:v>
      </x:c>
      <x:c r="K1575" s="49" t="str">
        <x:v>Un-Aided Autonomous</x:v>
      </x:c>
      <x:c r="L1575" s="49" t="str">
        <x:v>MS Seats : 12+ EWS : 2</x:v>
      </x:c>
      <x:c r="M1575" s="49" t="str">
        <x:v>https://dse2025.mahacet.org.in/dse25/admin/allotment/cap2/6272_4.pdf</x:v>
      </x:c>
    </x:row>
    <x:row r="1576">
      <x:c r="A1576" s="49" t="str">
        <x:v>2025-26</x:v>
      </x:c>
      <x:c r="B1576" s="63" t="n">
        <x:v>6272</x:v>
      </x:c>
      <x:c r="C1576" s="49" t="str">
        <x:v>Dr. D. Y. Patil Pratishthan's D.Y.Patil College of Engineering Akurdi, Pune</x:v>
      </x:c>
      <x:c r="D1576" s="72" t="n">
        <x:v>627224510</x:v>
      </x:c>
      <x:c r="E1576" s="49" t="str">
        <x:v>Computer Engineering</x:v>
      </x:c>
      <x:c r="F1576" s="73" t="n">
        <x:v>23</x:v>
      </x:c>
      <x:c r="G1576" s="73" t="n">
        <x:v>21</x:v>
      </x:c>
      <x:c r="H1576" s="73" t="n">
        <x:v>2</x:v>
      </x:c>
      <x:c r="I1576" s="73"/>
      <x:c r="J1576" s="73" t="n">
        <x:v>0</x:v>
      </x:c>
      <x:c r="K1576" s="49" t="str">
        <x:v>Un-Aided Autonomous</x:v>
      </x:c>
      <x:c r="L1576" s="49" t="str">
        <x:v>MS Seats : 21+ EWS : 2</x:v>
      </x:c>
      <x:c r="M1576" s="49" t="str">
        <x:v>https://dse2025.mahacet.org.in/dse25/admin/allotment/cap2/6272_4.pdf</x:v>
      </x:c>
    </x:row>
    <x:row r="1577">
      <x:c r="A1577" s="49" t="str">
        <x:v>2025-26</x:v>
      </x:c>
      <x:c r="B1577" s="63" t="n">
        <x:v>6272</x:v>
      </x:c>
      <x:c r="C1577" s="49" t="str">
        <x:v>Dr. D. Y. Patil Pratishthan's D.Y.Patil College of Engineering Akurdi, Pune</x:v>
      </x:c>
      <x:c r="D1577" s="72" t="n">
        <x:v>627224610</x:v>
      </x:c>
      <x:c r="E1577" s="49" t="str">
        <x:v>Information Technology</x:v>
      </x:c>
      <x:c r="F1577" s="73" t="n">
        <x:v>23</x:v>
      </x:c>
      <x:c r="G1577" s="73" t="n">
        <x:v>21</x:v>
      </x:c>
      <x:c r="H1577" s="73" t="n">
        <x:v>2</x:v>
      </x:c>
      <x:c r="I1577" s="73"/>
      <x:c r="J1577" s="73" t="n">
        <x:v>0</x:v>
      </x:c>
      <x:c r="K1577" s="49" t="str">
        <x:v>Un-Aided Autonomous</x:v>
      </x:c>
      <x:c r="L1577" s="49" t="str">
        <x:v>MS Seats : 21+ EWS : 2</x:v>
      </x:c>
      <x:c r="M1577" s="49" t="str">
        <x:v>https://dse2025.mahacet.org.in/dse25/admin/allotment/cap2/6272_4.pdf</x:v>
      </x:c>
    </x:row>
    <x:row r="1578">
      <x:c r="A1578" s="49" t="str">
        <x:v>2025-26</x:v>
      </x:c>
      <x:c r="B1578" s="63" t="n">
        <x:v>6272</x:v>
      </x:c>
      <x:c r="C1578" s="49" t="str">
        <x:v>Dr. D. Y. Patil Pratishthan's D.Y.Patil College of Engineering Akurdi, Pune</x:v>
      </x:c>
      <x:c r="D1578" s="72" t="n">
        <x:v>627237210</x:v>
      </x:c>
      <x:c r="E1578" s="49" t="str">
        <x:v>Electronics and Telecommunication Engg</x:v>
      </x:c>
      <x:c r="F1578" s="73" t="n">
        <x:v>27</x:v>
      </x:c>
      <x:c r="G1578" s="73" t="n">
        <x:v>22</x:v>
      </x:c>
      <x:c r="H1578" s="73" t="n">
        <x:v>5</x:v>
      </x:c>
      <x:c r="I1578" s="73"/>
      <x:c r="J1578" s="73" t="n">
        <x:v>0</x:v>
      </x:c>
      <x:c r="K1578" s="49" t="str">
        <x:v>Un-Aided Autonomous</x:v>
      </x:c>
      <x:c r="L1578" s="49" t="str">
        <x:v>MS Seats : 22+ EWS : 5</x:v>
      </x:c>
      <x:c r="M1578" s="49" t="str">
        <x:v>https://dse2025.mahacet.org.in/dse25/admin/allotment/cap2/6272_4.pdf</x:v>
      </x:c>
    </x:row>
    <x:row r="1579">
      <x:c r="A1579" s="49" t="str">
        <x:v>2025-26</x:v>
      </x:c>
      <x:c r="B1579" s="63" t="n">
        <x:v>6272</x:v>
      </x:c>
      <x:c r="C1579" s="49" t="str">
        <x:v>Dr. D. Y. Patil Pratishthan's D.Y.Patil College of Engineering Akurdi, Pune</x:v>
      </x:c>
      <x:c r="D1579" s="72" t="n">
        <x:v>627246610</x:v>
      </x:c>
      <x:c r="E1579" s="49" t="str">
        <x:v>Instrumentation Engineering</x:v>
      </x:c>
      <x:c r="F1579" s="73" t="n">
        <x:v>12</x:v>
      </x:c>
      <x:c r="G1579" s="73" t="n">
        <x:v>11</x:v>
      </x:c>
      <x:c r="H1579" s="73" t="n">
        <x:v>1</x:v>
      </x:c>
      <x:c r="I1579" s="73"/>
      <x:c r="J1579" s="73" t="n">
        <x:v>0</x:v>
      </x:c>
      <x:c r="K1579" s="49" t="str">
        <x:v>Un-Aided Autonomous</x:v>
      </x:c>
      <x:c r="L1579" s="49" t="str">
        <x:v>MS Seats : 11+ EWS : 1</x:v>
      </x:c>
      <x:c r="M1579" s="49" t="str">
        <x:v>https://dse2025.mahacet.org.in/dse25/admin/allotment/cap2/6272_4.pdf</x:v>
      </x:c>
    </x:row>
    <x:row r="1580">
      <x:c r="A1580" s="49" t="str">
        <x:v>2025-26</x:v>
      </x:c>
      <x:c r="B1580" s="63" t="n">
        <x:v>6272</x:v>
      </x:c>
      <x:c r="C1580" s="49" t="str">
        <x:v>Dr. D. Y. Patil Pratishthan's D.Y.Patil College of Engineering Akurdi, Pune</x:v>
      </x:c>
      <x:c r="D1580" s="72" t="n">
        <x:v>627261210</x:v>
      </x:c>
      <x:c r="E1580" s="49" t="str">
        <x:v>Mechanical Engineering</x:v>
      </x:c>
      <x:c r="F1580" s="73" t="n">
        <x:v>17</x:v>
      </x:c>
      <x:c r="G1580" s="73" t="n">
        <x:v>14</x:v>
      </x:c>
      <x:c r="H1580" s="73" t="n">
        <x:v>3</x:v>
      </x:c>
      <x:c r="I1580" s="73"/>
      <x:c r="J1580" s="73" t="n">
        <x:v>0</x:v>
      </x:c>
      <x:c r="K1580" s="49" t="str">
        <x:v>Un-Aided Autonomous</x:v>
      </x:c>
      <x:c r="L1580" s="49" t="str">
        <x:v>MS Seats : 14+ EWS : 3</x:v>
      </x:c>
      <x:c r="M1580" s="49" t="str">
        <x:v>https://dse2025.mahacet.org.in/dse25/admin/allotment/cap2/6272_4.pdf</x:v>
      </x:c>
    </x:row>
    <x:row r="1581">
      <x:c r="A1581" s="49" t="str">
        <x:v>2025-26</x:v>
      </x:c>
      <x:c r="B1581" s="63" t="n">
        <x:v>6272</x:v>
      </x:c>
      <x:c r="C1581" s="49" t="str">
        <x:v>Dr. D. Y. Patil Pratishthan's D.Y.Patil College of Engineering Akurdi, Pune</x:v>
      </x:c>
      <x:c r="D1581" s="72" t="n">
        <x:v>627299510</x:v>
      </x:c>
      <x:c r="E1581" s="49" t="str">
        <x:v>Artificial Intelligence and Data Science</x:v>
      </x:c>
      <x:c r="F1581" s="73" t="n">
        <x:v>24</x:v>
      </x:c>
      <x:c r="G1581" s="73" t="n">
        <x:v>22</x:v>
      </x:c>
      <x:c r="H1581" s="73" t="n">
        <x:v>2</x:v>
      </x:c>
      <x:c r="I1581" s="73"/>
      <x:c r="J1581" s="73" t="n">
        <x:v>0</x:v>
      </x:c>
      <x:c r="K1581" s="49" t="str">
        <x:v>Un-Aided Autonomous</x:v>
      </x:c>
      <x:c r="L1581" s="49" t="str">
        <x:v>MS Seats : 22+ EWS : 2</x:v>
      </x:c>
      <x:c r="M1581" s="49" t="str">
        <x:v>https://dse2025.mahacet.org.in/dse25/admin/allotment/cap2/6272_4.pdf</x:v>
      </x:c>
    </x:row>
    <x:row r="1582">
      <x:c r="A1582" s="49" t="str">
        <x:v>2025-26</x:v>
      </x:c>
      <x:c r="B1582" s="63" t="n">
        <x:v>6273</x:v>
      </x:c>
      <x:c r="C1582" s="49" t="str">
        <x:v>Bansilal Ramnath Agarawal Charitable Trust's Vishwakarma Institute of Technology, Bibwewadi, Pune</x:v>
      </x:c>
      <x:c r="D1582" s="72" t="n">
        <x:v>627319110</x:v>
      </x:c>
      <x:c r="E1582" s="49" t="str">
        <x:v>Civil Engineering</x:v>
      </x:c>
      <x:c r="F1582" s="73" t="n">
        <x:v>10</x:v>
      </x:c>
      <x:c r="G1582" s="73" t="n">
        <x:v>7</x:v>
      </x:c>
      <x:c r="H1582" s="73" t="n">
        <x:v>3</x:v>
      </x:c>
      <x:c r="I1582" s="73"/>
      <x:c r="J1582" s="73" t="n">
        <x:v>0</x:v>
      </x:c>
      <x:c r="K1582" s="49" t="str">
        <x:v>Un-Aided Autonomous</x:v>
      </x:c>
      <x:c r="L1582" s="49" t="str">
        <x:v>MS Seats : 7+ EWS : 3</x:v>
      </x:c>
      <x:c r="M1582" s="49" t="str">
        <x:v>https://dse2025.mahacet.org.in/dse25/admin/allotment/cap2/6273_4.pdf</x:v>
      </x:c>
    </x:row>
    <x:row r="1583">
      <x:c r="A1583" s="49" t="str">
        <x:v>2025-26</x:v>
      </x:c>
      <x:c r="B1583" s="63" t="n">
        <x:v>6273</x:v>
      </x:c>
      <x:c r="C1583" s="49" t="str">
        <x:v>Bansilal Ramnath Agarawal Charitable Trust's Vishwakarma Institute of Technology, Bibwewadi, Pune</x:v>
      </x:c>
      <x:c r="D1583" s="72" t="n">
        <x:v>627324510</x:v>
      </x:c>
      <x:c r="E1583" s="49" t="str">
        <x:v>Computer Engineering</x:v>
      </x:c>
      <x:c r="F1583" s="73" t="n">
        <x:v>103</x:v>
      </x:c>
      <x:c r="G1583" s="73" t="n">
        <x:v>85</x:v>
      </x:c>
      <x:c r="H1583" s="73" t="n">
        <x:v>18</x:v>
      </x:c>
      <x:c r="I1583" s="73"/>
      <x:c r="J1583" s="73" t="n">
        <x:v>0</x:v>
      </x:c>
      <x:c r="K1583" s="49" t="str">
        <x:v>Un-Aided Autonomous</x:v>
      </x:c>
      <x:c r="L1583" s="49" t="str">
        <x:v>MS Seats : 85+ EWS : 18</x:v>
      </x:c>
      <x:c r="M1583" s="49" t="str">
        <x:v>https://dse2025.mahacet.org.in/dse25/admin/allotment/cap2/6273_4.pdf</x:v>
      </x:c>
    </x:row>
    <x:row r="1584">
      <x:c r="A1584" s="49" t="str">
        <x:v>2025-26</x:v>
      </x:c>
      <x:c r="B1584" s="63" t="n">
        <x:v>6273</x:v>
      </x:c>
      <x:c r="C1584" s="49" t="str">
        <x:v>Bansilal Ramnath Agarawal Charitable Trust's Vishwakarma Institute of Technology, Bibwewadi, Pune</x:v>
      </x:c>
      <x:c r="D1584" s="72" t="n">
        <x:v>627324610</x:v>
      </x:c>
      <x:c r="E1584" s="49" t="str">
        <x:v>Information Technology</x:v>
      </x:c>
      <x:c r="F1584" s="73" t="n">
        <x:v>49</x:v>
      </x:c>
      <x:c r="G1584" s="73" t="n">
        <x:v>42</x:v>
      </x:c>
      <x:c r="H1584" s="73" t="n">
        <x:v>7</x:v>
      </x:c>
      <x:c r="I1584" s="73"/>
      <x:c r="J1584" s="73" t="n">
        <x:v>0</x:v>
      </x:c>
      <x:c r="K1584" s="49" t="str">
        <x:v>Un-Aided Autonomous</x:v>
      </x:c>
      <x:c r="L1584" s="49" t="str">
        <x:v>MS Seats : 42+ EWS : 7</x:v>
      </x:c>
      <x:c r="M1584" s="49" t="str">
        <x:v>https://dse2025.mahacet.org.in/dse25/admin/allotment/cap2/6273_4.pdf</x:v>
      </x:c>
    </x:row>
    <x:row r="1585">
      <x:c r="A1585" s="49" t="str">
        <x:v>2025-26</x:v>
      </x:c>
      <x:c r="B1585" s="63" t="n">
        <x:v>6273</x:v>
      </x:c>
      <x:c r="C1585" s="49" t="str">
        <x:v>Bansilal Ramnath Agarawal Charitable Trust's Vishwakarma Institute of Technology, Bibwewadi, Pune</x:v>
      </x:c>
      <x:c r="D1585" s="72" t="n">
        <x:v>627337210</x:v>
      </x:c>
      <x:c r="E1585" s="49" t="str">
        <x:v>Electronics and Telecommunication Engg</x:v>
      </x:c>
      <x:c r="F1585" s="73" t="n">
        <x:v>57</x:v>
      </x:c>
      <x:c r="G1585" s="73" t="n">
        <x:v>45</x:v>
      </x:c>
      <x:c r="H1585" s="73" t="n">
        <x:v>12</x:v>
      </x:c>
      <x:c r="I1585" s="73"/>
      <x:c r="J1585" s="73" t="n">
        <x:v>0</x:v>
      </x:c>
      <x:c r="K1585" s="49" t="str">
        <x:v>Un-Aided Autonomous</x:v>
      </x:c>
      <x:c r="L1585" s="49" t="str">
        <x:v>MS Seats : 45+ EWS : 12</x:v>
      </x:c>
      <x:c r="M1585" s="49" t="str">
        <x:v>https://dse2025.mahacet.org.in/dse25/admin/allotment/cap2/6273_4.pdf</x:v>
      </x:c>
    </x:row>
    <x:row r="1586">
      <x:c r="A1586" s="49" t="str">
        <x:v>2025-26</x:v>
      </x:c>
      <x:c r="B1586" s="63" t="n">
        <x:v>6273</x:v>
      </x:c>
      <x:c r="C1586" s="49" t="str">
        <x:v>Bansilal Ramnath Agarawal Charitable Trust's Vishwakarma Institute of Technology, Bibwewadi, Pune</x:v>
      </x:c>
      <x:c r="D1586" s="72" t="n">
        <x:v>627346410</x:v>
      </x:c>
      <x:c r="E1586" s="49" t="str">
        <x:v>Instrumentation and Control Engineering</x:v>
      </x:c>
      <x:c r="F1586" s="73" t="n">
        <x:v>36</x:v>
      </x:c>
      <x:c r="G1586" s="73" t="n">
        <x:v>28</x:v>
      </x:c>
      <x:c r="H1586" s="73" t="n">
        <x:v>8</x:v>
      </x:c>
      <x:c r="I1586" s="73"/>
      <x:c r="J1586" s="73" t="n">
        <x:v>0</x:v>
      </x:c>
      <x:c r="K1586" s="49" t="str">
        <x:v>Un-Aided Autonomous</x:v>
      </x:c>
      <x:c r="L1586" s="49" t="str">
        <x:v>MS Seats : 28+ EWS : 8</x:v>
      </x:c>
      <x:c r="M1586" s="49" t="str">
        <x:v>https://dse2025.mahacet.org.in/dse25/admin/allotment/cap2/6273_4.pdf</x:v>
      </x:c>
    </x:row>
    <x:row r="1587">
      <x:c r="A1587" s="49" t="str">
        <x:v>2025-26</x:v>
      </x:c>
      <x:c r="B1587" s="63" t="n">
        <x:v>6273</x:v>
      </x:c>
      <x:c r="C1587" s="49" t="str">
        <x:v>Bansilal Ramnath Agarawal Charitable Trust's Vishwakarma Institute of Technology, Bibwewadi, Pune</x:v>
      </x:c>
      <x:c r="D1587" s="72" t="n">
        <x:v>627361210</x:v>
      </x:c>
      <x:c r="E1587" s="49" t="str">
        <x:v>Mechanical Engineering</x:v>
      </x:c>
      <x:c r="F1587" s="73" t="n">
        <x:v>55</x:v>
      </x:c>
      <x:c r="G1587" s="73" t="n">
        <x:v>44</x:v>
      </x:c>
      <x:c r="H1587" s="73" t="n">
        <x:v>11</x:v>
      </x:c>
      <x:c r="I1587" s="73"/>
      <x:c r="J1587" s="73" t="n">
        <x:v>0</x:v>
      </x:c>
      <x:c r="K1587" s="49" t="str">
        <x:v>Un-Aided Autonomous</x:v>
      </x:c>
      <x:c r="L1587" s="49" t="str">
        <x:v>MS Seats : 44+ EWS : 11</x:v>
      </x:c>
      <x:c r="M1587" s="49" t="str">
        <x:v>https://dse2025.mahacet.org.in/dse25/admin/allotment/cap2/6273_4.pdf</x:v>
      </x:c>
    </x:row>
    <x:row r="1588">
      <x:c r="A1588" s="49" t="str">
        <x:v>2025-26</x:v>
      </x:c>
      <x:c r="B1588" s="63" t="n">
        <x:v>6273</x:v>
      </x:c>
      <x:c r="C1588" s="49" t="str">
        <x:v>Bansilal Ramnath Agarawal Charitable Trust's Vishwakarma Institute of Technology, Bibwewadi, Pune</x:v>
      </x:c>
      <x:c r="D1588" s="72" t="n">
        <x:v>627391110</x:v>
      </x:c>
      <x:c r="E1588" s="49" t="str">
        <x:v>Computer Science and Engineering(Artificial Intelligence and Machine Learning)</x:v>
      </x:c>
      <x:c r="F1588" s="73" t="n">
        <x:v>49</x:v>
      </x:c>
      <x:c r="G1588" s="73" t="n">
        <x:v>40</x:v>
      </x:c>
      <x:c r="H1588" s="73" t="n">
        <x:v>9</x:v>
      </x:c>
      <x:c r="I1588" s="73"/>
      <x:c r="J1588" s="73" t="n">
        <x:v>0</x:v>
      </x:c>
      <x:c r="K1588" s="49" t="str">
        <x:v>Un-Aided Autonomous</x:v>
      </x:c>
      <x:c r="L1588" s="49" t="str">
        <x:v>MS Seats : 40+ EWS : 9</x:v>
      </x:c>
      <x:c r="M1588" s="49" t="str">
        <x:v>https://dse2025.mahacet.org.in/dse25/admin/allotment/cap2/6273_4.pdf</x:v>
      </x:c>
    </x:row>
    <x:row r="1589">
      <x:c r="A1589" s="49" t="str">
        <x:v>2025-26</x:v>
      </x:c>
      <x:c r="B1589" s="63" t="n">
        <x:v>6273</x:v>
      </x:c>
      <x:c r="C1589" s="49" t="str">
        <x:v>Bansilal Ramnath Agarawal Charitable Trust's Vishwakarma Institute of Technology, Bibwewadi, Pune</x:v>
      </x:c>
      <x:c r="D1589" s="72" t="n">
        <x:v>627391210</x:v>
      </x:c>
      <x:c r="E1589" s="49" t="str">
        <x:v>Computer Science and Engineering(Data Science)</x:v>
      </x:c>
      <x:c r="F1589" s="73" t="n">
        <x:v>27</x:v>
      </x:c>
      <x:c r="G1589" s="73" t="n">
        <x:v>22</x:v>
      </x:c>
      <x:c r="H1589" s="73" t="n">
        <x:v>5</x:v>
      </x:c>
      <x:c r="I1589" s="73"/>
      <x:c r="J1589" s="73" t="n">
        <x:v>0</x:v>
      </x:c>
      <x:c r="K1589" s="49" t="str">
        <x:v>Un-Aided Autonomous</x:v>
      </x:c>
      <x:c r="L1589" s="49" t="str">
        <x:v>MS Seats : 22+ EWS : 5</x:v>
      </x:c>
      <x:c r="M1589" s="49" t="str">
        <x:v>https://dse2025.mahacet.org.in/dse25/admin/allotment/cap2/6273_4.pdf</x:v>
      </x:c>
    </x:row>
    <x:row r="1590">
      <x:c r="A1590" s="49" t="str">
        <x:v>2025-26</x:v>
      </x:c>
      <x:c r="B1590" s="63" t="n">
        <x:v>6273</x:v>
      </x:c>
      <x:c r="C1590" s="49" t="str">
        <x:v>Bansilal Ramnath Agarawal Charitable Trust's Vishwakarma Institute of Technology, Bibwewadi, Pune</x:v>
      </x:c>
      <x:c r="D1590" s="72" t="n">
        <x:v>627391310</x:v>
      </x:c>
      <x:c r="E1590" s="49" t="str">
        <x:v>Computer Science and Engineering (Artificial Intelligence)</x:v>
      </x:c>
      <x:c r="F1590" s="73" t="n">
        <x:v>55</x:v>
      </x:c>
      <x:c r="G1590" s="73" t="n">
        <x:v>47</x:v>
      </x:c>
      <x:c r="H1590" s="73" t="n">
        <x:v>8</x:v>
      </x:c>
      <x:c r="I1590" s="73"/>
      <x:c r="J1590" s="73" t="n">
        <x:v>0</x:v>
      </x:c>
      <x:c r="K1590" s="49" t="str">
        <x:v>Un-Aided Autonomous</x:v>
      </x:c>
      <x:c r="L1590" s="49" t="str">
        <x:v>MS Seats : 47+ EWS : 8</x:v>
      </x:c>
      <x:c r="M1590" s="49" t="str">
        <x:v>https://dse2025.mahacet.org.in/dse25/admin/allotment/cap2/6273_4.pdf</x:v>
      </x:c>
    </x:row>
    <x:row r="1591">
      <x:c r="A1591" s="49" t="str">
        <x:v>2025-26</x:v>
      </x:c>
      <x:c r="B1591" s="63" t="n">
        <x:v>6273</x:v>
      </x:c>
      <x:c r="C1591" s="49" t="str">
        <x:v>Bansilal Ramnath Agarawal Charitable Trust's Vishwakarma Institute of Technology, Bibwewadi, Pune</x:v>
      </x:c>
      <x:c r="D1591" s="72" t="n">
        <x:v>627392010</x:v>
      </x:c>
      <x:c r="E1591" s="49" t="str">
        <x:v>Computer Science and Engineering (Internet of Things and Cyber Security Including Block Chain Technology)</x:v>
      </x:c>
      <x:c r="F1591" s="73" t="n">
        <x:v>25</x:v>
      </x:c>
      <x:c r="G1591" s="73" t="n">
        <x:v>21</x:v>
      </x:c>
      <x:c r="H1591" s="73" t="n">
        <x:v>4</x:v>
      </x:c>
      <x:c r="I1591" s="73"/>
      <x:c r="J1591" s="73" t="n">
        <x:v>0</x:v>
      </x:c>
      <x:c r="K1591" s="49" t="str">
        <x:v>Un-Aided Autonomous</x:v>
      </x:c>
      <x:c r="L1591" s="49" t="str">
        <x:v>MS Seats : 21+ EWS : 4</x:v>
      </x:c>
      <x:c r="M1591" s="49" t="str">
        <x:v>https://dse2025.mahacet.org.in/dse25/admin/allotment/cap2/6273_4.pdf</x:v>
      </x:c>
    </x:row>
    <x:row r="1592">
      <x:c r="A1592" s="49" t="str">
        <x:v>2025-26</x:v>
      </x:c>
      <x:c r="B1592" s="63" t="n">
        <x:v>6273</x:v>
      </x:c>
      <x:c r="C1592" s="49" t="str">
        <x:v>Bansilal Ramnath Agarawal Charitable Trust's Vishwakarma Institute of Technology, Bibwewadi, Pune</x:v>
      </x:c>
      <x:c r="D1592" s="72" t="n">
        <x:v>627392710</x:v>
      </x:c>
      <x:c r="E1592" s="49" t="str">
        <x:v>Computer Engineering (Software Engineering)</x:v>
      </x:c>
      <x:c r="F1592" s="73" t="n">
        <x:v>23</x:v>
      </x:c>
      <x:c r="G1592" s="73" t="n">
        <x:v>21</x:v>
      </x:c>
      <x:c r="H1592" s="73" t="n">
        <x:v>2</x:v>
      </x:c>
      <x:c r="I1592" s="73"/>
      <x:c r="J1592" s="73" t="n">
        <x:v>0</x:v>
      </x:c>
      <x:c r="K1592" s="49" t="str">
        <x:v>Un-Aided Autonomous</x:v>
      </x:c>
      <x:c r="L1592" s="49" t="str">
        <x:v>MS Seats : 21+ EWS : 2</x:v>
      </x:c>
      <x:c r="M1592" s="49" t="str">
        <x:v>https://dse2025.mahacet.org.in/dse25/admin/allotment/cap2/6273_4.pdf</x:v>
      </x:c>
    </x:row>
    <x:row r="1593">
      <x:c r="A1593" s="49" t="str">
        <x:v>2025-26</x:v>
      </x:c>
      <x:c r="B1593" s="63" t="n">
        <x:v>6273</x:v>
      </x:c>
      <x:c r="C1593" s="49" t="str">
        <x:v>Bansilal Ramnath Agarawal Charitable Trust's Vishwakarma Institute of Technology, Bibwewadi, Pune</x:v>
      </x:c>
      <x:c r="D1593" s="72" t="n">
        <x:v>627399510</x:v>
      </x:c>
      <x:c r="E1593" s="49" t="str">
        <x:v>Artificial Intelligence and Data Science</x:v>
      </x:c>
      <x:c r="F1593" s="73" t="n">
        <x:v>49</x:v>
      </x:c>
      <x:c r="G1593" s="73" t="n">
        <x:v>43</x:v>
      </x:c>
      <x:c r="H1593" s="73" t="n">
        <x:v>6</x:v>
      </x:c>
      <x:c r="I1593" s="73"/>
      <x:c r="J1593" s="73" t="n">
        <x:v>0</x:v>
      </x:c>
      <x:c r="K1593" s="49" t="str">
        <x:v>Un-Aided Autonomous</x:v>
      </x:c>
      <x:c r="L1593" s="49" t="str">
        <x:v>MS Seats : 43+ EWS : 6</x:v>
      </x:c>
      <x:c r="M1593" s="49" t="str">
        <x:v>https://dse2025.mahacet.org.in/dse25/admin/allotment/cap2/6273_4.pdf</x:v>
      </x:c>
    </x:row>
    <x:row r="1594">
      <x:c r="A1594" s="49" t="str">
        <x:v>2025-26</x:v>
      </x:c>
      <x:c r="B1594" s="63" t="n">
        <x:v>6274</x:v>
      </x:c>
      <x:c r="C1594" s="49" t="str">
        <x:v>PVG's College of Engineering, Technology &amp; Management</x:v>
      </x:c>
      <x:c r="D1594" s="72" t="n">
        <x:v>627424510</x:v>
      </x:c>
      <x:c r="E1594" s="49" t="str">
        <x:v>Computer Engineering</x:v>
      </x:c>
      <x:c r="F1594" s="73" t="n">
        <x:v>8</x:v>
      </x:c>
      <x:c r="G1594" s="73" t="n">
        <x:v>7</x:v>
      </x:c>
      <x:c r="H1594" s="73" t="n">
        <x:v>1</x:v>
      </x:c>
      <x:c r="I1594" s="73"/>
      <x:c r="J1594" s="73" t="n">
        <x:v>0</x:v>
      </x:c>
      <x:c r="K1594" s="49" t="str">
        <x:v>Un-Aided</x:v>
      </x:c>
      <x:c r="L1594" s="49" t="str">
        <x:v>MS Seats : 7+ EWS : 1</x:v>
      </x:c>
      <x:c r="M1594" s="49" t="str">
        <x:v>https://dse2025.mahacet.org.in/dse25/admin/allotment/cap2/6274_4.pdf</x:v>
      </x:c>
    </x:row>
    <x:row r="1595">
      <x:c r="A1595" s="49" t="str">
        <x:v>2025-26</x:v>
      </x:c>
      <x:c r="B1595" s="63" t="n">
        <x:v>6274</x:v>
      </x:c>
      <x:c r="C1595" s="49" t="str">
        <x:v>PVG's College of Engineering, Technology &amp; Management</x:v>
      </x:c>
      <x:c r="D1595" s="72" t="n">
        <x:v>627424610</x:v>
      </x:c>
      <x:c r="E1595" s="49" t="str">
        <x:v>Information Technology</x:v>
      </x:c>
      <x:c r="F1595" s="73" t="n">
        <x:v>8</x:v>
      </x:c>
      <x:c r="G1595" s="73" t="n">
        <x:v>7</x:v>
      </x:c>
      <x:c r="H1595" s="73" t="n">
        <x:v>1</x:v>
      </x:c>
      <x:c r="I1595" s="73"/>
      <x:c r="J1595" s="73" t="n">
        <x:v>0</x:v>
      </x:c>
      <x:c r="K1595" s="49" t="str">
        <x:v>Un-Aided</x:v>
      </x:c>
      <x:c r="L1595" s="49" t="str">
        <x:v>MS Seats : 7+ EWS : 1</x:v>
      </x:c>
      <x:c r="M1595" s="49" t="str">
        <x:v>https://dse2025.mahacet.org.in/dse25/admin/allotment/cap2/6274_4.pdf</x:v>
      </x:c>
    </x:row>
    <x:row r="1596">
      <x:c r="A1596" s="49" t="str">
        <x:v>2025-26</x:v>
      </x:c>
      <x:c r="B1596" s="63" t="n">
        <x:v>6274</x:v>
      </x:c>
      <x:c r="C1596" s="49" t="str">
        <x:v>PVG's College of Engineering, Technology &amp; Management</x:v>
      </x:c>
      <x:c r="D1596" s="72" t="n">
        <x:v>627429310</x:v>
      </x:c>
      <x:c r="E1596" s="49" t="str">
        <x:v>Electrical Engineering</x:v>
      </x:c>
      <x:c r="F1596" s="73" t="n">
        <x:v>17</x:v>
      </x:c>
      <x:c r="G1596" s="73" t="n">
        <x:v>15</x:v>
      </x:c>
      <x:c r="H1596" s="73" t="n">
        <x:v>2</x:v>
      </x:c>
      <x:c r="I1596" s="73"/>
      <x:c r="J1596" s="73" t="n">
        <x:v>0</x:v>
      </x:c>
      <x:c r="K1596" s="49" t="str">
        <x:v>Un-Aided</x:v>
      </x:c>
      <x:c r="L1596" s="49" t="str">
        <x:v>MS Seats : 15+ EWS : 2</x:v>
      </x:c>
      <x:c r="M1596" s="49" t="str">
        <x:v>https://dse2025.mahacet.org.in/dse25/admin/allotment/cap2/6274_4.pdf</x:v>
      </x:c>
    </x:row>
    <x:row r="1597">
      <x:c r="A1597" s="49" t="str">
        <x:v>2025-26</x:v>
      </x:c>
      <x:c r="B1597" s="63" t="n">
        <x:v>6274</x:v>
      </x:c>
      <x:c r="C1597" s="49" t="str">
        <x:v>PVG's College of Engineering, Technology &amp; Management</x:v>
      </x:c>
      <x:c r="D1597" s="72" t="n">
        <x:v>627437210</x:v>
      </x:c>
      <x:c r="E1597" s="49" t="str">
        <x:v>Electronics and Telecommunication Engg</x:v>
      </x:c>
      <x:c r="F1597" s="73" t="n">
        <x:v>18</x:v>
      </x:c>
      <x:c r="G1597" s="73" t="n">
        <x:v>13</x:v>
      </x:c>
      <x:c r="H1597" s="73" t="n">
        <x:v>5</x:v>
      </x:c>
      <x:c r="I1597" s="73"/>
      <x:c r="J1597" s="73" t="n">
        <x:v>0</x:v>
      </x:c>
      <x:c r="K1597" s="49" t="str">
        <x:v>Un-Aided</x:v>
      </x:c>
      <x:c r="L1597" s="49" t="str">
        <x:v>MS Seats : 13+ EWS : 5</x:v>
      </x:c>
      <x:c r="M1597" s="49" t="str">
        <x:v>https://dse2025.mahacet.org.in/dse25/admin/allotment/cap2/6274_4.pdf</x:v>
      </x:c>
    </x:row>
    <x:row r="1598">
      <x:c r="A1598" s="49" t="str">
        <x:v>2025-26</x:v>
      </x:c>
      <x:c r="B1598" s="63" t="n">
        <x:v>6274</x:v>
      </x:c>
      <x:c r="C1598" s="49" t="str">
        <x:v>PVG's College of Engineering, Technology &amp; Management</x:v>
      </x:c>
      <x:c r="D1598" s="72" t="n">
        <x:v>627461210</x:v>
      </x:c>
      <x:c r="E1598" s="49" t="str">
        <x:v>Mechanical Engineering</x:v>
      </x:c>
      <x:c r="F1598" s="73" t="n">
        <x:v>34</x:v>
      </x:c>
      <x:c r="G1598" s="73" t="n">
        <x:v>28</x:v>
      </x:c>
      <x:c r="H1598" s="73" t="n">
        <x:v>6</x:v>
      </x:c>
      <x:c r="I1598" s="73"/>
      <x:c r="J1598" s="73" t="n">
        <x:v>0</x:v>
      </x:c>
      <x:c r="K1598" s="49" t="str">
        <x:v>Un-Aided</x:v>
      </x:c>
      <x:c r="L1598" s="49" t="str">
        <x:v>MS Seats : 28+ EWS : 6</x:v>
      </x:c>
      <x:c r="M1598" s="49" t="str">
        <x:v>https://dse2025.mahacet.org.in/dse25/admin/allotment/cap2/6274_4.pdf</x:v>
      </x:c>
    </x:row>
    <x:row r="1599">
      <x:c r="A1599" s="49" t="str">
        <x:v>2025-26</x:v>
      </x:c>
      <x:c r="B1599" s="63" t="n">
        <x:v>6274</x:v>
      </x:c>
      <x:c r="C1599" s="49" t="str">
        <x:v>PVG's College of Engineering, Technology &amp; Management</x:v>
      </x:c>
      <x:c r="D1599" s="72" t="n">
        <x:v>627484110</x:v>
      </x:c>
      <x:c r="E1599" s="49" t="str">
        <x:v>Printing and Packing Technology</x:v>
      </x:c>
      <x:c r="F1599" s="73" t="n">
        <x:v>64</x:v>
      </x:c>
      <x:c r="G1599" s="73" t="n">
        <x:v>57</x:v>
      </x:c>
      <x:c r="H1599" s="73" t="n">
        <x:v>7</x:v>
      </x:c>
      <x:c r="I1599" s="73"/>
      <x:c r="J1599" s="73" t="n">
        <x:v>0</x:v>
      </x:c>
      <x:c r="K1599" s="49" t="str">
        <x:v>Un-Aided</x:v>
      </x:c>
      <x:c r="L1599" s="49" t="str">
        <x:v>MS Seats : 57+ EWS : 7</x:v>
      </x:c>
      <x:c r="M1599" s="49" t="str">
        <x:v>https://dse2025.mahacet.org.in/dse25/admin/allotment/cap2/6274_4.pdf</x:v>
      </x:c>
    </x:row>
    <x:row r="1600">
      <x:c r="A1600" s="49" t="str">
        <x:v>2025-26</x:v>
      </x:c>
      <x:c r="B1600" s="63" t="n">
        <x:v>6274</x:v>
      </x:c>
      <x:c r="C1600" s="49" t="str">
        <x:v>PVG's College of Engineering, Technology &amp; Management</x:v>
      </x:c>
      <x:c r="D1600" s="72" t="n">
        <x:v>627499510</x:v>
      </x:c>
      <x:c r="E1600" s="49" t="str">
        <x:v>Artificial Intelligence and Data Science</x:v>
      </x:c>
      <x:c r="F1600" s="73" t="n">
        <x:v>10</x:v>
      </x:c>
      <x:c r="G1600" s="73" t="n">
        <x:v>7</x:v>
      </x:c>
      <x:c r="H1600" s="73" t="n">
        <x:v>3</x:v>
      </x:c>
      <x:c r="I1600" s="73"/>
      <x:c r="J1600" s="73" t="n">
        <x:v>0</x:v>
      </x:c>
      <x:c r="K1600" s="49" t="str">
        <x:v>Un-Aided</x:v>
      </x:c>
      <x:c r="L1600" s="49" t="str">
        <x:v>MS Seats : 7+ EWS : 3</x:v>
      </x:c>
      <x:c r="M1600" s="49" t="str">
        <x:v>https://dse2025.mahacet.org.in/dse25/admin/allotment/cap2/6274_4.pdf</x:v>
      </x:c>
    </x:row>
    <x:row r="1601">
      <x:c r="A1601" s="49" t="str">
        <x:v>2025-26</x:v>
      </x:c>
      <x:c r="B1601" s="63" t="n">
        <x:v>6275</x:v>
      </x:c>
      <x:c r="C1601" s="49" t="str">
        <x:v>Shivnagar Vidya Prasarak Mandal's College of Engineering, Malegaon-Baramati</x:v>
      </x:c>
      <x:c r="D1601" s="72" t="n">
        <x:v>627519110</x:v>
      </x:c>
      <x:c r="E1601" s="49" t="str">
        <x:v>Civil Engineering</x:v>
      </x:c>
      <x:c r="F1601" s="73" t="n">
        <x:v>19</x:v>
      </x:c>
      <x:c r="G1601" s="73" t="n">
        <x:v>18</x:v>
      </x:c>
      <x:c r="H1601" s="73" t="n">
        <x:v>1</x:v>
      </x:c>
      <x:c r="I1601" s="73"/>
      <x:c r="J1601" s="73" t="n">
        <x:v>0</x:v>
      </x:c>
      <x:c r="K1601" s="49" t="str">
        <x:v>Un-Aided</x:v>
      </x:c>
      <x:c r="L1601" s="49" t="str">
        <x:v>MS Seats : 18+ EWS : 1</x:v>
      </x:c>
      <x:c r="M1601" s="49" t="str">
        <x:v>https://dse2025.mahacet.org.in/dse25/admin/allotment/cap2/6275_4.pdf</x:v>
      </x:c>
    </x:row>
    <x:row r="1602">
      <x:c r="A1602" s="49" t="str">
        <x:v>2025-26</x:v>
      </x:c>
      <x:c r="B1602" s="63" t="n">
        <x:v>6275</x:v>
      </x:c>
      <x:c r="C1602" s="49" t="str">
        <x:v>Shivnagar Vidya Prasarak Mandal's College of Engineering, Malegaon-Baramati</x:v>
      </x:c>
      <x:c r="D1602" s="72" t="n">
        <x:v>627524510</x:v>
      </x:c>
      <x:c r="E1602" s="49" t="str">
        <x:v>Computer Engineering</x:v>
      </x:c>
      <x:c r="F1602" s="73" t="n">
        <x:v>11</x:v>
      </x:c>
      <x:c r="G1602" s="73" t="n">
        <x:v>10</x:v>
      </x:c>
      <x:c r="H1602" s="73" t="n">
        <x:v>1</x:v>
      </x:c>
      <x:c r="I1602" s="73"/>
      <x:c r="J1602" s="73" t="n">
        <x:v>0</x:v>
      </x:c>
      <x:c r="K1602" s="49" t="str">
        <x:v>Un-Aided</x:v>
      </x:c>
      <x:c r="L1602" s="49" t="str">
        <x:v>MS Seats : 10+ EWS : 1</x:v>
      </x:c>
      <x:c r="M1602" s="49" t="str">
        <x:v>https://dse2025.mahacet.org.in/dse25/admin/allotment/cap2/6275_4.pdf</x:v>
      </x:c>
    </x:row>
    <x:row r="1603">
      <x:c r="A1603" s="49" t="str">
        <x:v>2025-26</x:v>
      </x:c>
      <x:c r="B1603" s="63" t="n">
        <x:v>6275</x:v>
      </x:c>
      <x:c r="C1603" s="49" t="str">
        <x:v>Shivnagar Vidya Prasarak Mandal's College of Engineering, Malegaon-Baramati</x:v>
      </x:c>
      <x:c r="D1603" s="72" t="n">
        <x:v>627524610</x:v>
      </x:c>
      <x:c r="E1603" s="49" t="str">
        <x:v>Information Technology</x:v>
      </x:c>
      <x:c r="F1603" s="73" t="n">
        <x:v>10</x:v>
      </x:c>
      <x:c r="G1603" s="73" t="n">
        <x:v>7</x:v>
      </x:c>
      <x:c r="H1603" s="73" t="n">
        <x:v>3</x:v>
      </x:c>
      <x:c r="I1603" s="73"/>
      <x:c r="J1603" s="73" t="n">
        <x:v>0</x:v>
      </x:c>
      <x:c r="K1603" s="49" t="str">
        <x:v>Un-Aided</x:v>
      </x:c>
      <x:c r="L1603" s="49" t="str">
        <x:v>MS Seats : 7+ EWS : 3</x:v>
      </x:c>
      <x:c r="M1603" s="49" t="str">
        <x:v>https://dse2025.mahacet.org.in/dse25/admin/allotment/cap2/6275_4.pdf</x:v>
      </x:c>
    </x:row>
    <x:row r="1604">
      <x:c r="A1604" s="49" t="str">
        <x:v>2025-26</x:v>
      </x:c>
      <x:c r="B1604" s="63" t="n">
        <x:v>6275</x:v>
      </x:c>
      <x:c r="C1604" s="49" t="str">
        <x:v>Shivnagar Vidya Prasarak Mandal's College of Engineering, Malegaon-Baramati</x:v>
      </x:c>
      <x:c r="D1604" s="72" t="n">
        <x:v>627529310</x:v>
      </x:c>
      <x:c r="E1604" s="49" t="str">
        <x:v>Electrical Engineering</x:v>
      </x:c>
      <x:c r="F1604" s="73" t="n">
        <x:v>10</x:v>
      </x:c>
      <x:c r="G1604" s="73" t="n">
        <x:v>9</x:v>
      </x:c>
      <x:c r="H1604" s="73" t="n">
        <x:v>1</x:v>
      </x:c>
      <x:c r="I1604" s="73"/>
      <x:c r="J1604" s="73" t="n">
        <x:v>0</x:v>
      </x:c>
      <x:c r="K1604" s="49" t="str">
        <x:v>Un-Aided</x:v>
      </x:c>
      <x:c r="L1604" s="49" t="str">
        <x:v>MS Seats : 9+ EWS : 1</x:v>
      </x:c>
      <x:c r="M1604" s="49" t="str">
        <x:v>https://dse2025.mahacet.org.in/dse25/admin/allotment/cap2/6275_4.pdf</x:v>
      </x:c>
    </x:row>
    <x:row r="1605">
      <x:c r="A1605" s="49" t="str">
        <x:v>2025-26</x:v>
      </x:c>
      <x:c r="B1605" s="63" t="n">
        <x:v>6275</x:v>
      </x:c>
      <x:c r="C1605" s="49" t="str">
        <x:v>Shivnagar Vidya Prasarak Mandal's College of Engineering, Malegaon-Baramati</x:v>
      </x:c>
      <x:c r="D1605" s="72" t="n">
        <x:v>627537210</x:v>
      </x:c>
      <x:c r="E1605" s="49" t="str">
        <x:v>Electronics and Telecommunication Engg</x:v>
      </x:c>
      <x:c r="F1605" s="73" t="n">
        <x:v>9</x:v>
      </x:c>
      <x:c r="G1605" s="73" t="n">
        <x:v>7</x:v>
      </x:c>
      <x:c r="H1605" s="73" t="n">
        <x:v>2</x:v>
      </x:c>
      <x:c r="I1605" s="73"/>
      <x:c r="J1605" s="73" t="n">
        <x:v>0</x:v>
      </x:c>
      <x:c r="K1605" s="49" t="str">
        <x:v>Un-Aided</x:v>
      </x:c>
      <x:c r="L1605" s="49" t="str">
        <x:v>MS Seats : 7+ EWS : 2</x:v>
      </x:c>
      <x:c r="M1605" s="49" t="str">
        <x:v>https://dse2025.mahacet.org.in/dse25/admin/allotment/cap2/6275_4.pdf</x:v>
      </x:c>
    </x:row>
    <x:row r="1606">
      <x:c r="A1606" s="49" t="str">
        <x:v>2025-26</x:v>
      </x:c>
      <x:c r="B1606" s="63" t="n">
        <x:v>6275</x:v>
      </x:c>
      <x:c r="C1606" s="49" t="str">
        <x:v>Shivnagar Vidya Prasarak Mandal's College of Engineering, Malegaon-Baramati</x:v>
      </x:c>
      <x:c r="D1606" s="72" t="n">
        <x:v>627561210</x:v>
      </x:c>
      <x:c r="E1606" s="49" t="str">
        <x:v>Mechanical Engineering</x:v>
      </x:c>
      <x:c r="F1606" s="73" t="n">
        <x:v>16</x:v>
      </x:c>
      <x:c r="G1606" s="73" t="n">
        <x:v>13</x:v>
      </x:c>
      <x:c r="H1606" s="73" t="n">
        <x:v>3</x:v>
      </x:c>
      <x:c r="I1606" s="73"/>
      <x:c r="J1606" s="73" t="n">
        <x:v>0</x:v>
      </x:c>
      <x:c r="K1606" s="49" t="str">
        <x:v>Un-Aided</x:v>
      </x:c>
      <x:c r="L1606" s="49" t="str">
        <x:v>MS Seats : 13+ EWS : 3</x:v>
      </x:c>
      <x:c r="M1606" s="49" t="str">
        <x:v>https://dse2025.mahacet.org.in/dse25/admin/allotment/cap2/6275_4.pdf</x:v>
      </x:c>
    </x:row>
    <x:row r="1607">
      <x:c r="A1607" s="49" t="str">
        <x:v>2025-26</x:v>
      </x:c>
      <x:c r="B1607" s="63" t="n">
        <x:v>6275</x:v>
      </x:c>
      <x:c r="C1607" s="49" t="str">
        <x:v>Shivnagar Vidya Prasarak Mandal's College of Engineering, Malegaon-Baramati</x:v>
      </x:c>
      <x:c r="D1607" s="72" t="n">
        <x:v>627562410</x:v>
      </x:c>
      <x:c r="E1607" s="49" t="str">
        <x:v>Mechatronics Engineering</x:v>
      </x:c>
      <x:c r="F1607" s="73" t="n">
        <x:v>10</x:v>
      </x:c>
      <x:c r="G1607" s="73" t="n">
        <x:v>8</x:v>
      </x:c>
      <x:c r="H1607" s="73" t="n">
        <x:v>2</x:v>
      </x:c>
      <x:c r="I1607" s="73"/>
      <x:c r="J1607" s="73" t="n">
        <x:v>0</x:v>
      </x:c>
      <x:c r="K1607" s="49" t="str">
        <x:v>Un-Aided</x:v>
      </x:c>
      <x:c r="L1607" s="49" t="str">
        <x:v>MS Seats : 8+ EWS : 2</x:v>
      </x:c>
      <x:c r="M1607" s="49" t="str">
        <x:v>https://dse2025.mahacet.org.in/dse25/admin/allotment/cap2/6275_4.pdf</x:v>
      </x:c>
    </x:row>
    <x:row r="1608">
      <x:c r="A1608" s="49" t="str">
        <x:v>2025-26</x:v>
      </x:c>
      <x:c r="B1608" s="63" t="n">
        <x:v>6276</x:v>
      </x:c>
      <x:c r="C1608" s="49" t="str">
        <x:v>MKSSS's Cummins College of Engineering for Women, Karvenagar,Pune</x:v>
      </x:c>
      <x:c r="D1608" s="72" t="n">
        <x:v>627624550</x:v>
      </x:c>
      <x:c r="E1608" s="49" t="str">
        <x:v>Computer Engineering</x:v>
      </x:c>
      <x:c r="F1608" s="73" t="n">
        <x:v>24</x:v>
      </x:c>
      <x:c r="G1608" s="73" t="n">
        <x:v>20</x:v>
      </x:c>
      <x:c r="H1608" s="73" t="n">
        <x:v>4</x:v>
      </x:c>
      <x:c r="I1608" s="73"/>
      <x:c r="J1608" s="73" t="n">
        <x:v>0</x:v>
      </x:c>
      <x:c r="K1608" s="49" t="str">
        <x:v>Un-Aided Autonomous</x:v>
      </x:c>
      <x:c r="L1608" s="49" t="str">
        <x:v>MS Seats : 20+ EWS : 4</x:v>
      </x:c>
      <x:c r="M1608" s="49" t="str">
        <x:v>https://dse2025.mahacet.org.in/dse25/admin/allotment/cap2/6276_4.pdf</x:v>
      </x:c>
    </x:row>
    <x:row r="1609">
      <x:c r="A1609" s="49" t="str">
        <x:v>2025-26</x:v>
      </x:c>
      <x:c r="B1609" s="63" t="n">
        <x:v>6276</x:v>
      </x:c>
      <x:c r="C1609" s="49" t="str">
        <x:v>MKSSS's Cummins College of Engineering for Women, Karvenagar,Pune</x:v>
      </x:c>
      <x:c r="D1609" s="72" t="n">
        <x:v>627624650</x:v>
      </x:c>
      <x:c r="E1609" s="49" t="str">
        <x:v>Information Technology</x:v>
      </x:c>
      <x:c r="F1609" s="73" t="n">
        <x:v>15</x:v>
      </x:c>
      <x:c r="G1609" s="73" t="n">
        <x:v>14</x:v>
      </x:c>
      <x:c r="H1609" s="73" t="n">
        <x:v>1</x:v>
      </x:c>
      <x:c r="I1609" s="73"/>
      <x:c r="J1609" s="73" t="n">
        <x:v>0</x:v>
      </x:c>
      <x:c r="K1609" s="49" t="str">
        <x:v>Un-Aided Autonomous</x:v>
      </x:c>
      <x:c r="L1609" s="49" t="str">
        <x:v>MS Seats : 14+ EWS : 1</x:v>
      </x:c>
      <x:c r="M1609" s="49" t="str">
        <x:v>https://dse2025.mahacet.org.in/dse25/admin/allotment/cap2/6276_4.pdf</x:v>
      </x:c>
    </x:row>
    <x:row r="1610">
      <x:c r="A1610" s="49" t="str">
        <x:v>2025-26</x:v>
      </x:c>
      <x:c r="B1610" s="63" t="n">
        <x:v>6276</x:v>
      </x:c>
      <x:c r="C1610" s="49" t="str">
        <x:v>MKSSS's Cummins College of Engineering for Women, Karvenagar,Pune</x:v>
      </x:c>
      <x:c r="D1610" s="72" t="n">
        <x:v>627637250</x:v>
      </x:c>
      <x:c r="E1610" s="49" t="str">
        <x:v>Electronics and Telecommunication Engg</x:v>
      </x:c>
      <x:c r="F1610" s="73" t="n">
        <x:v>25</x:v>
      </x:c>
      <x:c r="G1610" s="73" t="n">
        <x:v>21</x:v>
      </x:c>
      <x:c r="H1610" s="73" t="n">
        <x:v>4</x:v>
      </x:c>
      <x:c r="I1610" s="73"/>
      <x:c r="J1610" s="73" t="n">
        <x:v>0</x:v>
      </x:c>
      <x:c r="K1610" s="49" t="str">
        <x:v>Un-Aided Autonomous</x:v>
      </x:c>
      <x:c r="L1610" s="49" t="str">
        <x:v>MS Seats : 21+ EWS : 4</x:v>
      </x:c>
      <x:c r="M1610" s="49" t="str">
        <x:v>https://dse2025.mahacet.org.in/dse25/admin/allotment/cap2/6276_4.pdf</x:v>
      </x:c>
    </x:row>
    <x:row r="1611">
      <x:c r="A1611" s="49" t="str">
        <x:v>2025-26</x:v>
      </x:c>
      <x:c r="B1611" s="63" t="n">
        <x:v>6276</x:v>
      </x:c>
      <x:c r="C1611" s="49" t="str">
        <x:v>MKSSS's Cummins College of Engineering for Women, Karvenagar,Pune</x:v>
      </x:c>
      <x:c r="D1611" s="72" t="n">
        <x:v>627646450</x:v>
      </x:c>
      <x:c r="E1611" s="49" t="str">
        <x:v>Instrumentation and Control Engineering</x:v>
      </x:c>
      <x:c r="F1611" s="73" t="n">
        <x:v>17</x:v>
      </x:c>
      <x:c r="G1611" s="73" t="n">
        <x:v>14</x:v>
      </x:c>
      <x:c r="H1611" s="73" t="n">
        <x:v>3</x:v>
      </x:c>
      <x:c r="I1611" s="73"/>
      <x:c r="J1611" s="73" t="n">
        <x:v>0</x:v>
      </x:c>
      <x:c r="K1611" s="49" t="str">
        <x:v>Un-Aided Autonomous</x:v>
      </x:c>
      <x:c r="L1611" s="49" t="str">
        <x:v>MS Seats : 14+ EWS : 3</x:v>
      </x:c>
      <x:c r="M1611" s="49" t="str">
        <x:v>https://dse2025.mahacet.org.in/dse25/admin/allotment/cap2/6276_4.pdf</x:v>
      </x:c>
    </x:row>
    <x:row r="1612">
      <x:c r="A1612" s="49" t="str">
        <x:v>2025-26</x:v>
      </x:c>
      <x:c r="B1612" s="63" t="n">
        <x:v>6276</x:v>
      </x:c>
      <x:c r="C1612" s="49" t="str">
        <x:v>MKSSS's Cummins College of Engineering for Women, Karvenagar,Pune</x:v>
      </x:c>
      <x:c r="D1612" s="72" t="n">
        <x:v>627661250</x:v>
      </x:c>
      <x:c r="E1612" s="49" t="str">
        <x:v>Mechanical Engineering</x:v>
      </x:c>
      <x:c r="F1612" s="73" t="n">
        <x:v>10</x:v>
      </x:c>
      <x:c r="G1612" s="73" t="n">
        <x:v>8</x:v>
      </x:c>
      <x:c r="H1612" s="73" t="n">
        <x:v>2</x:v>
      </x:c>
      <x:c r="I1612" s="73"/>
      <x:c r="J1612" s="73" t="n">
        <x:v>0</x:v>
      </x:c>
      <x:c r="K1612" s="49" t="str">
        <x:v>Un-Aided Autonomous</x:v>
      </x:c>
      <x:c r="L1612" s="49" t="str">
        <x:v>MS Seats : 8+ EWS : 2</x:v>
      </x:c>
      <x:c r="M1612" s="49" t="str">
        <x:v>https://dse2025.mahacet.org.in/dse25/admin/allotment/cap2/6276_4.pdf</x:v>
      </x:c>
    </x:row>
    <x:row r="1613">
      <x:c r="A1613" s="49" t="str">
        <x:v>2025-26</x:v>
      </x:c>
      <x:c r="B1613" s="63" t="n">
        <x:v>6277</x:v>
      </x:c>
      <x:c r="C1613" s="49" t="str">
        <x:v>Dr. J. J. Magdum Charitable Trust's Dr. J.J. Magdum College of Engineering, Jaysingpur</x:v>
      </x:c>
      <x:c r="D1613" s="72" t="n">
        <x:v>627719110</x:v>
      </x:c>
      <x:c r="E1613" s="49" t="str">
        <x:v>Civil Engineering</x:v>
      </x:c>
      <x:c r="F1613" s="73" t="n">
        <x:v>28</x:v>
      </x:c>
      <x:c r="G1613" s="73" t="n">
        <x:v>24</x:v>
      </x:c>
      <x:c r="H1613" s="73" t="n">
        <x:v>4</x:v>
      </x:c>
      <x:c r="I1613" s="73"/>
      <x:c r="J1613" s="73" t="n">
        <x:v>0</x:v>
      </x:c>
      <x:c r="K1613" s="49" t="str">
        <x:v>Un-Aided Autonomous</x:v>
      </x:c>
      <x:c r="L1613" s="49" t="str">
        <x:v>MS Seats : 24+ EWS : 4</x:v>
      </x:c>
      <x:c r="M1613" s="49" t="str">
        <x:v>https://dse2025.mahacet.org.in/dse25/admin/allotment/cap2/6277_4.pdf</x:v>
      </x:c>
    </x:row>
    <x:row r="1614">
      <x:c r="A1614" s="49" t="str">
        <x:v>2025-26</x:v>
      </x:c>
      <x:c r="B1614" s="63" t="n">
        <x:v>6277</x:v>
      </x:c>
      <x:c r="C1614" s="49" t="str">
        <x:v>Dr. J. J. Magdum Charitable Trust's Dr. J.J. Magdum College of Engineering, Jaysingpur</x:v>
      </x:c>
      <x:c r="D1614" s="72" t="n">
        <x:v>627724210</x:v>
      </x:c>
      <x:c r="E1614" s="49" t="str">
        <x:v>Computer Science and Engineering</x:v>
      </x:c>
      <x:c r="F1614" s="73" t="n">
        <x:v>15</x:v>
      </x:c>
      <x:c r="G1614" s="73" t="n">
        <x:v>13</x:v>
      </x:c>
      <x:c r="H1614" s="73" t="n">
        <x:v>2</x:v>
      </x:c>
      <x:c r="I1614" s="73"/>
      <x:c r="J1614" s="73" t="n">
        <x:v>0</x:v>
      </x:c>
      <x:c r="K1614" s="49" t="str">
        <x:v>Un-Aided Autonomous</x:v>
      </x:c>
      <x:c r="L1614" s="49" t="str">
        <x:v>MS Seats : 13+ EWS : 2</x:v>
      </x:c>
      <x:c r="M1614" s="49" t="str">
        <x:v>https://dse2025.mahacet.org.in/dse25/admin/allotment/cap2/6277_4.pdf</x:v>
      </x:c>
    </x:row>
    <x:row r="1615">
      <x:c r="A1615" s="49" t="str">
        <x:v>2025-26</x:v>
      </x:c>
      <x:c r="B1615" s="63" t="n">
        <x:v>6277</x:v>
      </x:c>
      <x:c r="C1615" s="49" t="str">
        <x:v>Dr. J. J. Magdum Charitable Trust's Dr. J.J. Magdum College of Engineering, Jaysingpur</x:v>
      </x:c>
      <x:c r="D1615" s="72" t="n">
        <x:v>627724610</x:v>
      </x:c>
      <x:c r="E1615" s="49" t="str">
        <x:v>Information Technology</x:v>
      </x:c>
      <x:c r="F1615" s="73" t="n">
        <x:v>17</x:v>
      </x:c>
      <x:c r="G1615" s="73" t="n">
        <x:v>16</x:v>
      </x:c>
      <x:c r="H1615" s="73" t="n">
        <x:v>1</x:v>
      </x:c>
      <x:c r="I1615" s="73"/>
      <x:c r="J1615" s="73" t="n">
        <x:v>0</x:v>
      </x:c>
      <x:c r="K1615" s="49" t="str">
        <x:v>Un-Aided Autonomous</x:v>
      </x:c>
      <x:c r="L1615" s="49" t="str">
        <x:v>MS Seats : 16+ EWS : 1</x:v>
      </x:c>
      <x:c r="M1615" s="49" t="str">
        <x:v>https://dse2025.mahacet.org.in/dse25/admin/allotment/cap2/6277_4.pdf</x:v>
      </x:c>
    </x:row>
    <x:row r="1616">
      <x:c r="A1616" s="49" t="str">
        <x:v>2025-26</x:v>
      </x:c>
      <x:c r="B1616" s="63" t="n">
        <x:v>6277</x:v>
      </x:c>
      <x:c r="C1616" s="49" t="str">
        <x:v>Dr. J. J. Magdum Charitable Trust's Dr. J.J. Magdum College of Engineering, Jaysingpur</x:v>
      </x:c>
      <x:c r="D1616" s="72" t="n">
        <x:v>627726310</x:v>
      </x:c>
      <x:c r="E1616" s="49" t="str">
        <x:v>Artificial Intelligence (AI) and Data Science</x:v>
      </x:c>
      <x:c r="F1616" s="73" t="n">
        <x:v>13</x:v>
      </x:c>
      <x:c r="G1616" s="73" t="n">
        <x:v>12</x:v>
      </x:c>
      <x:c r="H1616" s="73" t="n">
        <x:v>1</x:v>
      </x:c>
      <x:c r="I1616" s="73"/>
      <x:c r="J1616" s="73" t="n">
        <x:v>0</x:v>
      </x:c>
      <x:c r="K1616" s="49" t="str">
        <x:v>Un-Aided Autonomous</x:v>
      </x:c>
      <x:c r="L1616" s="49" t="str">
        <x:v>MS Seats : 12+ EWS : 1</x:v>
      </x:c>
      <x:c r="M1616" s="49" t="str">
        <x:v>https://dse2025.mahacet.org.in/dse25/admin/allotment/cap2/6277_4.pdf</x:v>
      </x:c>
    </x:row>
    <x:row r="1617">
      <x:c r="A1617" s="49" t="str">
        <x:v>2025-26</x:v>
      </x:c>
      <x:c r="B1617" s="63" t="n">
        <x:v>6277</x:v>
      </x:c>
      <x:c r="C1617" s="49" t="str">
        <x:v>Dr. J. J. Magdum Charitable Trust's Dr. J.J. Magdum College of Engineering, Jaysingpur</x:v>
      </x:c>
      <x:c r="D1617" s="72" t="n">
        <x:v>627737210</x:v>
      </x:c>
      <x:c r="E1617" s="49" t="str">
        <x:v>Electronics and Telecommunication Engg</x:v>
      </x:c>
      <x:c r="F1617" s="73" t="n">
        <x:v>16</x:v>
      </x:c>
      <x:c r="G1617" s="73" t="n">
        <x:v>13</x:v>
      </x:c>
      <x:c r="H1617" s="73" t="n">
        <x:v>3</x:v>
      </x:c>
      <x:c r="I1617" s="73"/>
      <x:c r="J1617" s="73" t="n">
        <x:v>0</x:v>
      </x:c>
      <x:c r="K1617" s="49" t="str">
        <x:v>Un-Aided Autonomous</x:v>
      </x:c>
      <x:c r="L1617" s="49" t="str">
        <x:v>MS Seats : 13+ EWS : 3</x:v>
      </x:c>
      <x:c r="M1617" s="49" t="str">
        <x:v>https://dse2025.mahacet.org.in/dse25/admin/allotment/cap2/6277_4.pdf</x:v>
      </x:c>
    </x:row>
    <x:row r="1618">
      <x:c r="A1618" s="49" t="str">
        <x:v>2025-26</x:v>
      </x:c>
      <x:c r="B1618" s="63" t="n">
        <x:v>6277</x:v>
      </x:c>
      <x:c r="C1618" s="49" t="str">
        <x:v>Dr. J. J. Magdum Charitable Trust's Dr. J.J. Magdum College of Engineering, Jaysingpur</x:v>
      </x:c>
      <x:c r="D1618" s="72" t="n">
        <x:v>627761210</x:v>
      </x:c>
      <x:c r="E1618" s="49" t="str">
        <x:v>Mechanical Engineering</x:v>
      </x:c>
      <x:c r="F1618" s="73" t="n">
        <x:v>44</x:v>
      </x:c>
      <x:c r="G1618" s="73" t="n">
        <x:v>37</x:v>
      </x:c>
      <x:c r="H1618" s="73" t="n">
        <x:v>7</x:v>
      </x:c>
      <x:c r="I1618" s="73"/>
      <x:c r="J1618" s="73" t="n">
        <x:v>0</x:v>
      </x:c>
      <x:c r="K1618" s="49" t="str">
        <x:v>Un-Aided Autonomous</x:v>
      </x:c>
      <x:c r="L1618" s="49" t="str">
        <x:v>MS Seats : 37+ EWS : 7</x:v>
      </x:c>
      <x:c r="M1618" s="49" t="str">
        <x:v>https://dse2025.mahacet.org.in/dse25/admin/allotment/cap2/6277_4.pdf</x:v>
      </x:c>
    </x:row>
    <x:row r="1619">
      <x:c r="A1619" s="49" t="str">
        <x:v>2025-26</x:v>
      </x:c>
      <x:c r="B1619" s="63" t="n">
        <x:v>6278</x:v>
      </x:c>
      <x:c r="C1619" s="49" t="str">
        <x:v>All India Shri Shivaji Memorial Society's College of Engineering, Pune</x:v>
      </x:c>
      <x:c r="D1619" s="72" t="n">
        <x:v>627819110</x:v>
      </x:c>
      <x:c r="E1619" s="49" t="str">
        <x:v>Civil Engineering</x:v>
      </x:c>
      <x:c r="F1619" s="73" t="n">
        <x:v>22</x:v>
      </x:c>
      <x:c r="G1619" s="73" t="n">
        <x:v>18</x:v>
      </x:c>
      <x:c r="H1619" s="73" t="n">
        <x:v>4</x:v>
      </x:c>
      <x:c r="I1619" s="73"/>
      <x:c r="J1619" s="73" t="n">
        <x:v>0</x:v>
      </x:c>
      <x:c r="K1619" s="49" t="str">
        <x:v>Un-Aided</x:v>
      </x:c>
      <x:c r="L1619" s="49" t="str">
        <x:v>MS Seats : 18+ EWS : 4</x:v>
      </x:c>
      <x:c r="M1619" s="49" t="str">
        <x:v>https://dse2025.mahacet.org.in/dse25/admin/allotment/cap2/6278_4.pdf</x:v>
      </x:c>
    </x:row>
    <x:row r="1620">
      <x:c r="A1620" s="49" t="str">
        <x:v>2025-26</x:v>
      </x:c>
      <x:c r="B1620" s="63" t="n">
        <x:v>6278</x:v>
      </x:c>
      <x:c r="C1620" s="49" t="str">
        <x:v>All India Shri Shivaji Memorial Society's College of Engineering, Pune</x:v>
      </x:c>
      <x:c r="D1620" s="72" t="n">
        <x:v>627821910</x:v>
      </x:c>
      <x:c r="E1620" s="49" t="str">
        <x:v>Robotics and Automation</x:v>
      </x:c>
      <x:c r="F1620" s="73" t="n">
        <x:v>11</x:v>
      </x:c>
      <x:c r="G1620" s="73" t="n">
        <x:v>9</x:v>
      </x:c>
      <x:c r="H1620" s="73" t="n">
        <x:v>2</x:v>
      </x:c>
      <x:c r="I1620" s="73"/>
      <x:c r="J1620" s="73" t="n">
        <x:v>0</x:v>
      </x:c>
      <x:c r="K1620" s="49" t="str">
        <x:v>Un-Aided</x:v>
      </x:c>
      <x:c r="L1620" s="49" t="str">
        <x:v>MS Seats : 9+ EWS : 2</x:v>
      </x:c>
      <x:c r="M1620" s="49" t="str">
        <x:v>https://dse2025.mahacet.org.in/dse25/admin/allotment/cap2/6278_4.pdf</x:v>
      </x:c>
    </x:row>
    <x:row r="1621">
      <x:c r="A1621" s="49" t="str">
        <x:v>2025-26</x:v>
      </x:c>
      <x:c r="B1621" s="63" t="n">
        <x:v>6278</x:v>
      </x:c>
      <x:c r="C1621" s="49" t="str">
        <x:v>All India Shri Shivaji Memorial Society's College of Engineering, Pune</x:v>
      </x:c>
      <x:c r="D1621" s="72" t="n">
        <x:v>627824510</x:v>
      </x:c>
      <x:c r="E1621" s="49" t="str">
        <x:v>Computer Engineering</x:v>
      </x:c>
      <x:c r="F1621" s="73" t="n">
        <x:v>19</x:v>
      </x:c>
      <x:c r="G1621" s="73" t="n">
        <x:v>15</x:v>
      </x:c>
      <x:c r="H1621" s="73" t="n">
        <x:v>4</x:v>
      </x:c>
      <x:c r="I1621" s="73"/>
      <x:c r="J1621" s="73" t="n">
        <x:v>0</x:v>
      </x:c>
      <x:c r="K1621" s="49" t="str">
        <x:v>Un-Aided</x:v>
      </x:c>
      <x:c r="L1621" s="49" t="str">
        <x:v>MS Seats : 15+ EWS : 4</x:v>
      </x:c>
      <x:c r="M1621" s="49" t="str">
        <x:v>https://dse2025.mahacet.org.in/dse25/admin/allotment/cap2/6278_4.pdf</x:v>
      </x:c>
    </x:row>
    <x:row r="1622">
      <x:c r="A1622" s="49" t="str">
        <x:v>2025-26</x:v>
      </x:c>
      <x:c r="B1622" s="63" t="n">
        <x:v>6278</x:v>
      </x:c>
      <x:c r="C1622" s="49" t="str">
        <x:v>All India Shri Shivaji Memorial Society's College of Engineering, Pune</x:v>
      </x:c>
      <x:c r="D1622" s="72" t="n">
        <x:v>627829310</x:v>
      </x:c>
      <x:c r="E1622" s="49" t="str">
        <x:v>Electrical Engineering</x:v>
      </x:c>
      <x:c r="F1622" s="73" t="n">
        <x:v>10</x:v>
      </x:c>
      <x:c r="G1622" s="73" t="n">
        <x:v>9</x:v>
      </x:c>
      <x:c r="H1622" s="73" t="n">
        <x:v>1</x:v>
      </x:c>
      <x:c r="I1622" s="73"/>
      <x:c r="J1622" s="73" t="n">
        <x:v>0</x:v>
      </x:c>
      <x:c r="K1622" s="49" t="str">
        <x:v>Un-Aided</x:v>
      </x:c>
      <x:c r="L1622" s="49" t="str">
        <x:v>MS Seats : 9+ EWS : 1</x:v>
      </x:c>
      <x:c r="M1622" s="49" t="str">
        <x:v>https://dse2025.mahacet.org.in/dse25/admin/allotment/cap2/6278_4.pdf</x:v>
      </x:c>
    </x:row>
    <x:row r="1623">
      <x:c r="A1623" s="49" t="str">
        <x:v>2025-26</x:v>
      </x:c>
      <x:c r="B1623" s="63" t="n">
        <x:v>6278</x:v>
      </x:c>
      <x:c r="C1623" s="49" t="str">
        <x:v>All India Shri Shivaji Memorial Society's College of Engineering, Pune</x:v>
      </x:c>
      <x:c r="D1623" s="72" t="n">
        <x:v>627837210</x:v>
      </x:c>
      <x:c r="E1623" s="49" t="str">
        <x:v>Electronics and Telecommunication Engg</x:v>
      </x:c>
      <x:c r="F1623" s="73" t="n">
        <x:v>8</x:v>
      </x:c>
      <x:c r="G1623" s="73" t="n">
        <x:v>7</x:v>
      </x:c>
      <x:c r="H1623" s="73" t="n">
        <x:v>1</x:v>
      </x:c>
      <x:c r="I1623" s="73"/>
      <x:c r="J1623" s="73" t="n">
        <x:v>0</x:v>
      </x:c>
      <x:c r="K1623" s="49" t="str">
        <x:v>Un-Aided</x:v>
      </x:c>
      <x:c r="L1623" s="49" t="str">
        <x:v>MS Seats : 7+ EWS : 1</x:v>
      </x:c>
      <x:c r="M1623" s="49" t="str">
        <x:v>https://dse2025.mahacet.org.in/dse25/admin/allotment/cap2/6278_4.pdf</x:v>
      </x:c>
    </x:row>
    <x:row r="1624">
      <x:c r="A1624" s="49" t="str">
        <x:v>2025-26</x:v>
      </x:c>
      <x:c r="B1624" s="63" t="n">
        <x:v>6278</x:v>
      </x:c>
      <x:c r="C1624" s="49" t="str">
        <x:v>All India Shri Shivaji Memorial Society's College of Engineering, Pune</x:v>
      </x:c>
      <x:c r="D1624" s="72" t="n">
        <x:v>627837810</x:v>
      </x:c>
      <x:c r="E1624" s="49" t="str">
        <x:v>Electronics Engineering ( VLSI Design and Technology)</x:v>
      </x:c>
      <x:c r="F1624" s="73" t="n">
        <x:v>10</x:v>
      </x:c>
      <x:c r="G1624" s="73" t="n">
        <x:v>9</x:v>
      </x:c>
      <x:c r="H1624" s="73" t="n">
        <x:v>1</x:v>
      </x:c>
      <x:c r="I1624" s="73"/>
      <x:c r="J1624" s="73" t="n">
        <x:v>0</x:v>
      </x:c>
      <x:c r="K1624" s="49" t="str">
        <x:v>Un-Aided</x:v>
      </x:c>
      <x:c r="L1624" s="49" t="str">
        <x:v>MS Seats : 9+ EWS : 1</x:v>
      </x:c>
      <x:c r="M1624" s="49" t="str">
        <x:v>https://dse2025.mahacet.org.in/dse25/admin/allotment/cap2/6278_4.pdf</x:v>
      </x:c>
    </x:row>
    <x:row r="1625">
      <x:c r="A1625" s="49" t="str">
        <x:v>2025-26</x:v>
      </x:c>
      <x:c r="B1625" s="63" t="n">
        <x:v>6278</x:v>
      </x:c>
      <x:c r="C1625" s="49" t="str">
        <x:v>All India Shri Shivaji Memorial Society's College of Engineering, Pune</x:v>
      </x:c>
      <x:c r="D1625" s="72" t="n">
        <x:v>627850710</x:v>
      </x:c>
      <x:c r="E1625" s="49" t="str">
        <x:v>Chemical Engineering</x:v>
      </x:c>
      <x:c r="F1625" s="73" t="n">
        <x:v>12</x:v>
      </x:c>
      <x:c r="G1625" s="73" t="n">
        <x:v>10</x:v>
      </x:c>
      <x:c r="H1625" s="73" t="n">
        <x:v>2</x:v>
      </x:c>
      <x:c r="I1625" s="73"/>
      <x:c r="J1625" s="73" t="n">
        <x:v>0</x:v>
      </x:c>
      <x:c r="K1625" s="49" t="str">
        <x:v>Un-Aided</x:v>
      </x:c>
      <x:c r="L1625" s="49" t="str">
        <x:v>MS Seats : 10+ EWS : 2</x:v>
      </x:c>
      <x:c r="M1625" s="49" t="str">
        <x:v>https://dse2025.mahacet.org.in/dse25/admin/allotment/cap2/6278_4.pdf</x:v>
      </x:c>
    </x:row>
    <x:row r="1626">
      <x:c r="A1626" s="49" t="str">
        <x:v>2025-26</x:v>
      </x:c>
      <x:c r="B1626" s="63" t="n">
        <x:v>6278</x:v>
      </x:c>
      <x:c r="C1626" s="49" t="str">
        <x:v>All India Shri Shivaji Memorial Society's College of Engineering, Pune</x:v>
      </x:c>
      <x:c r="D1626" s="72" t="n">
        <x:v>627861210</x:v>
      </x:c>
      <x:c r="E1626" s="49" t="str">
        <x:v>Mechanical Engineering</x:v>
      </x:c>
      <x:c r="F1626" s="73" t="n">
        <x:v>18</x:v>
      </x:c>
      <x:c r="G1626" s="73" t="n">
        <x:v>14</x:v>
      </x:c>
      <x:c r="H1626" s="73" t="n">
        <x:v>4</x:v>
      </x:c>
      <x:c r="I1626" s="73"/>
      <x:c r="J1626" s="73" t="n">
        <x:v>0</x:v>
      </x:c>
      <x:c r="K1626" s="49" t="str">
        <x:v>Un-Aided</x:v>
      </x:c>
      <x:c r="L1626" s="49" t="str">
        <x:v>MS Seats : 14+ EWS : 4</x:v>
      </x:c>
      <x:c r="M1626" s="49" t="str">
        <x:v>https://dse2025.mahacet.org.in/dse25/admin/allotment/cap2/6278_4.pdf</x:v>
      </x:c>
    </x:row>
    <x:row r="1627">
      <x:c r="A1627" s="49" t="str">
        <x:v>2025-26</x:v>
      </x:c>
      <x:c r="B1627" s="63" t="n">
        <x:v>6278</x:v>
      </x:c>
      <x:c r="C1627" s="49" t="str">
        <x:v>All India Shri Shivaji Memorial Society's College of Engineering, Pune</x:v>
      </x:c>
      <x:c r="D1627" s="72" t="n">
        <x:v>627862510</x:v>
      </x:c>
      <x:c r="E1627" s="49" t="str">
        <x:v>Mechanical Engineering[Sandwich]</x:v>
      </x:c>
      <x:c r="F1627" s="73" t="n">
        <x:v>20</x:v>
      </x:c>
      <x:c r="G1627" s="73" t="n">
        <x:v>14</x:v>
      </x:c>
      <x:c r="H1627" s="73" t="n">
        <x:v>6</x:v>
      </x:c>
      <x:c r="I1627" s="73"/>
      <x:c r="J1627" s="73" t="n">
        <x:v>0</x:v>
      </x:c>
      <x:c r="K1627" s="49" t="str">
        <x:v>Un-Aided</x:v>
      </x:c>
      <x:c r="L1627" s="49" t="str">
        <x:v>MS Seats : 14+ EWS : 6</x:v>
      </x:c>
      <x:c r="M1627" s="49" t="str">
        <x:v>https://dse2025.mahacet.org.in/dse25/admin/allotment/cap2/6278_4.pdf</x:v>
      </x:c>
    </x:row>
    <x:row r="1628">
      <x:c r="A1628" s="49" t="str">
        <x:v>2025-26</x:v>
      </x:c>
      <x:c r="B1628" s="63" t="n">
        <x:v>6278</x:v>
      </x:c>
      <x:c r="C1628" s="49" t="str">
        <x:v>All India Shri Shivaji Memorial Society's College of Engineering, Pune</x:v>
      </x:c>
      <x:c r="D1628" s="72" t="n">
        <x:v>627892110</x:v>
      </x:c>
      <x:c r="E1628" s="49" t="str">
        <x:v>Artificial Intelligence and Machine Learning</x:v>
      </x:c>
      <x:c r="F1628" s="73" t="n">
        <x:v>16</x:v>
      </x:c>
      <x:c r="G1628" s="73" t="n">
        <x:v>13</x:v>
      </x:c>
      <x:c r="H1628" s="73" t="n">
        <x:v>3</x:v>
      </x:c>
      <x:c r="I1628" s="73"/>
      <x:c r="J1628" s="73" t="n">
        <x:v>0</x:v>
      </x:c>
      <x:c r="K1628" s="49" t="str">
        <x:v>Un-Aided</x:v>
      </x:c>
      <x:c r="L1628" s="49" t="str">
        <x:v>MS Seats : 13+ EWS : 3</x:v>
      </x:c>
      <x:c r="M1628" s="49" t="str">
        <x:v>https://dse2025.mahacet.org.in/dse25/admin/allotment/cap2/6278_4.pdf</x:v>
      </x:c>
    </x:row>
    <x:row r="1629">
      <x:c r="A1629" s="49" t="str">
        <x:v>2025-26</x:v>
      </x:c>
      <x:c r="B1629" s="63" t="n">
        <x:v>6281</x:v>
      </x:c>
      <x:c r="C1629" s="49" t="str">
        <x:v>Modern Education Society's Wadia College of Engineering, Pune</x:v>
      </x:c>
      <x:c r="D1629" s="72" t="n">
        <x:v>628124510</x:v>
      </x:c>
      <x:c r="E1629" s="49" t="str">
        <x:v>Computer Engineering</x:v>
      </x:c>
      <x:c r="F1629" s="73" t="n">
        <x:v>37</x:v>
      </x:c>
      <x:c r="G1629" s="73" t="n">
        <x:v>27</x:v>
      </x:c>
      <x:c r="H1629" s="73" t="n">
        <x:v>10</x:v>
      </x:c>
      <x:c r="I1629" s="73"/>
      <x:c r="J1629" s="73" t="n">
        <x:v>0</x:v>
      </x:c>
      <x:c r="K1629" s="49" t="str">
        <x:v>Un-Aided</x:v>
      </x:c>
      <x:c r="L1629" s="49" t="str">
        <x:v>MS Seats : 27+ EWS : 10</x:v>
      </x:c>
      <x:c r="M1629" s="49" t="str">
        <x:v>https://dse2025.mahacet.org.in/dse25/admin/allotment/cap2/6281_4.pdf</x:v>
      </x:c>
    </x:row>
    <x:row r="1630">
      <x:c r="A1630" s="49" t="str">
        <x:v>2025-26</x:v>
      </x:c>
      <x:c r="B1630" s="63" t="n">
        <x:v>6281</x:v>
      </x:c>
      <x:c r="C1630" s="49" t="str">
        <x:v>Modern Education Society's Wadia College of Engineering, Pune</x:v>
      </x:c>
      <x:c r="D1630" s="72" t="n">
        <x:v>628137210</x:v>
      </x:c>
      <x:c r="E1630" s="49" t="str">
        <x:v>Electronics and Telecommunication Engg</x:v>
      </x:c>
      <x:c r="F1630" s="73" t="n">
        <x:v>17</x:v>
      </x:c>
      <x:c r="G1630" s="73" t="n">
        <x:v>13</x:v>
      </x:c>
      <x:c r="H1630" s="73" t="n">
        <x:v>4</x:v>
      </x:c>
      <x:c r="I1630" s="73"/>
      <x:c r="J1630" s="73" t="n">
        <x:v>0</x:v>
      </x:c>
      <x:c r="K1630" s="49" t="str">
        <x:v>Un-Aided</x:v>
      </x:c>
      <x:c r="L1630" s="49" t="str">
        <x:v>MS Seats : 13+ EWS : 4</x:v>
      </x:c>
      <x:c r="M1630" s="49" t="str">
        <x:v>https://dse2025.mahacet.org.in/dse25/admin/allotment/cap2/6281_4.pdf</x:v>
      </x:c>
    </x:row>
    <x:row r="1631">
      <x:c r="A1631" s="49" t="str">
        <x:v>2025-26</x:v>
      </x:c>
      <x:c r="B1631" s="63" t="n">
        <x:v>6281</x:v>
      </x:c>
      <x:c r="C1631" s="49" t="str">
        <x:v>Modern Education Society's Wadia College of Engineering, Pune</x:v>
      </x:c>
      <x:c r="D1631" s="72" t="n">
        <x:v>628161210</x:v>
      </x:c>
      <x:c r="E1631" s="49" t="str">
        <x:v>Mechanical Engineering</x:v>
      </x:c>
      <x:c r="F1631" s="73" t="n">
        <x:v>27</x:v>
      </x:c>
      <x:c r="G1631" s="73" t="n">
        <x:v>23</x:v>
      </x:c>
      <x:c r="H1631" s="73" t="n">
        <x:v>4</x:v>
      </x:c>
      <x:c r="I1631" s="73"/>
      <x:c r="J1631" s="73" t="n">
        <x:v>0</x:v>
      </x:c>
      <x:c r="K1631" s="49" t="str">
        <x:v>Un-Aided</x:v>
      </x:c>
      <x:c r="L1631" s="49" t="str">
        <x:v>MS Seats : 23+ EWS : 4</x:v>
      </x:c>
      <x:c r="M1631" s="49" t="str">
        <x:v>https://dse2025.mahacet.org.in/dse25/admin/allotment/cap2/6281_4.pdf</x:v>
      </x:c>
    </x:row>
    <x:row r="1632">
      <x:c r="A1632" s="49" t="str">
        <x:v>2025-26</x:v>
      </x:c>
      <x:c r="B1632" s="63" t="n">
        <x:v>6281</x:v>
      </x:c>
      <x:c r="C1632" s="49" t="str">
        <x:v>Modern Education Society's Wadia College of Engineering, Pune</x:v>
      </x:c>
      <x:c r="D1632" s="72" t="n">
        <x:v>628191610</x:v>
      </x:c>
      <x:c r="E1632" s="49" t="str">
        <x:v>Automation and Robotics</x:v>
      </x:c>
      <x:c r="F1632" s="73" t="n">
        <x:v>8</x:v>
      </x:c>
      <x:c r="G1632" s="73" t="n">
        <x:v>7</x:v>
      </x:c>
      <x:c r="H1632" s="73" t="n">
        <x:v>1</x:v>
      </x:c>
      <x:c r="I1632" s="73"/>
      <x:c r="J1632" s="73" t="n">
        <x:v>0</x:v>
      </x:c>
      <x:c r="K1632" s="49" t="str">
        <x:v>Un-Aided</x:v>
      </x:c>
      <x:c r="L1632" s="49" t="str">
        <x:v>MS Seats : 7+ EWS : 1</x:v>
      </x:c>
      <x:c r="M1632" s="49" t="str">
        <x:v>https://dse2025.mahacet.org.in/dse25/admin/allotment/cap2/6281_4.pdf</x:v>
      </x:c>
    </x:row>
    <x:row r="1633">
      <x:c r="A1633" s="49" t="str">
        <x:v>2025-26</x:v>
      </x:c>
      <x:c r="B1633" s="63" t="n">
        <x:v>6282</x:v>
      </x:c>
      <x:c r="C1633" s="49" t="str">
        <x:v>All India Shri Shivaji Memorial Society's Institute of Information Technology,Pune</x:v>
      </x:c>
      <x:c r="D1633" s="72" t="n">
        <x:v>628224510</x:v>
      </x:c>
      <x:c r="E1633" s="49" t="str">
        <x:v>Computer Engineering</x:v>
      </x:c>
      <x:c r="F1633" s="73" t="n">
        <x:v>19</x:v>
      </x:c>
      <x:c r="G1633" s="73" t="n">
        <x:v>13</x:v>
      </x:c>
      <x:c r="H1633" s="73" t="n">
        <x:v>6</x:v>
      </x:c>
      <x:c r="I1633" s="73"/>
      <x:c r="J1633" s="73" t="n">
        <x:v>0</x:v>
      </x:c>
      <x:c r="K1633" s="49" t="str">
        <x:v>Un-Aided Autonomous</x:v>
      </x:c>
      <x:c r="L1633" s="49" t="str">
        <x:v>MS Seats : 13+ EWS : 6</x:v>
      </x:c>
      <x:c r="M1633" s="49" t="str">
        <x:v>https://dse2025.mahacet.org.in/dse25/admin/allotment/cap2/6282_4.pdf</x:v>
      </x:c>
    </x:row>
    <x:row r="1634">
      <x:c r="A1634" s="49" t="str">
        <x:v>2025-26</x:v>
      </x:c>
      <x:c r="B1634" s="63" t="n">
        <x:v>6282</x:v>
      </x:c>
      <x:c r="C1634" s="49" t="str">
        <x:v>All India Shri Shivaji Memorial Society's Institute of Information Technology,Pune</x:v>
      </x:c>
      <x:c r="D1634" s="72" t="n">
        <x:v>628224610</x:v>
      </x:c>
      <x:c r="E1634" s="49" t="str">
        <x:v>Information Technology</x:v>
      </x:c>
      <x:c r="F1634" s="73" t="n">
        <x:v>16</x:v>
      </x:c>
      <x:c r="G1634" s="73" t="n">
        <x:v>14</x:v>
      </x:c>
      <x:c r="H1634" s="73" t="n">
        <x:v>2</x:v>
      </x:c>
      <x:c r="I1634" s="73"/>
      <x:c r="J1634" s="73" t="n">
        <x:v>0</x:v>
      </x:c>
      <x:c r="K1634" s="49" t="str">
        <x:v>Un-Aided Autonomous</x:v>
      </x:c>
      <x:c r="L1634" s="49" t="str">
        <x:v>MS Seats : 14+ EWS : 2</x:v>
      </x:c>
      <x:c r="M1634" s="49" t="str">
        <x:v>https://dse2025.mahacet.org.in/dse25/admin/allotment/cap2/6282_4.pdf</x:v>
      </x:c>
    </x:row>
    <x:row r="1635">
      <x:c r="A1635" s="49" t="str">
        <x:v>2025-26</x:v>
      </x:c>
      <x:c r="B1635" s="63" t="n">
        <x:v>6282</x:v>
      </x:c>
      <x:c r="C1635" s="49" t="str">
        <x:v>All India Shri Shivaji Memorial Society's Institute of Information Technology,Pune</x:v>
      </x:c>
      <x:c r="D1635" s="72" t="n">
        <x:v>628229310</x:v>
      </x:c>
      <x:c r="E1635" s="49" t="str">
        <x:v>Electrical Engineering</x:v>
      </x:c>
      <x:c r="F1635" s="73" t="n">
        <x:v>14</x:v>
      </x:c>
      <x:c r="G1635" s="73" t="n">
        <x:v>12</x:v>
      </x:c>
      <x:c r="H1635" s="73" t="n">
        <x:v>2</x:v>
      </x:c>
      <x:c r="I1635" s="73"/>
      <x:c r="J1635" s="73" t="n">
        <x:v>0</x:v>
      </x:c>
      <x:c r="K1635" s="49" t="str">
        <x:v>Un-Aided Autonomous</x:v>
      </x:c>
      <x:c r="L1635" s="49" t="str">
        <x:v>MS Seats : 12+ EWS : 2</x:v>
      </x:c>
      <x:c r="M1635" s="49" t="str">
        <x:v>https://dse2025.mahacet.org.in/dse25/admin/allotment/cap2/6282_4.pdf</x:v>
      </x:c>
    </x:row>
    <x:row r="1636">
      <x:c r="A1636" s="49" t="str">
        <x:v>2025-26</x:v>
      </x:c>
      <x:c r="B1636" s="63" t="n">
        <x:v>6282</x:v>
      </x:c>
      <x:c r="C1636" s="49" t="str">
        <x:v>All India Shri Shivaji Memorial Society's Institute of Information Technology,Pune</x:v>
      </x:c>
      <x:c r="D1636" s="72" t="n">
        <x:v>628237210</x:v>
      </x:c>
      <x:c r="E1636" s="49" t="str">
        <x:v>Electronics and Telecommunication Engg</x:v>
      </x:c>
      <x:c r="F1636" s="73" t="n">
        <x:v>18</x:v>
      </x:c>
      <x:c r="G1636" s="73" t="n">
        <x:v>15</x:v>
      </x:c>
      <x:c r="H1636" s="73" t="n">
        <x:v>3</x:v>
      </x:c>
      <x:c r="I1636" s="73"/>
      <x:c r="J1636" s="73" t="n">
        <x:v>0</x:v>
      </x:c>
      <x:c r="K1636" s="49" t="str">
        <x:v>Un-Aided Autonomous</x:v>
      </x:c>
      <x:c r="L1636" s="49" t="str">
        <x:v>MS Seats : 15+ EWS : 3</x:v>
      </x:c>
      <x:c r="M1636" s="49" t="str">
        <x:v>https://dse2025.mahacet.org.in/dse25/admin/allotment/cap2/6282_4.pdf</x:v>
      </x:c>
    </x:row>
    <x:row r="1637">
      <x:c r="A1637" s="49" t="str">
        <x:v>2025-26</x:v>
      </x:c>
      <x:c r="B1637" s="63" t="n">
        <x:v>6282</x:v>
      </x:c>
      <x:c r="C1637" s="49" t="str">
        <x:v>All India Shri Shivaji Memorial Society's Institute of Information Technology,Pune</x:v>
      </x:c>
      <x:c r="D1637" s="72" t="n">
        <x:v>628246610</x:v>
      </x:c>
      <x:c r="E1637" s="49" t="str">
        <x:v>Instrumentation Engineering</x:v>
      </x:c>
      <x:c r="F1637" s="73" t="n">
        <x:v>11</x:v>
      </x:c>
      <x:c r="G1637" s="73" t="n">
        <x:v>9</x:v>
      </x:c>
      <x:c r="H1637" s="73" t="n">
        <x:v>2</x:v>
      </x:c>
      <x:c r="I1637" s="73"/>
      <x:c r="J1637" s="73" t="n">
        <x:v>0</x:v>
      </x:c>
      <x:c r="K1637" s="49" t="str">
        <x:v>Un-Aided Autonomous</x:v>
      </x:c>
      <x:c r="L1637" s="49" t="str">
        <x:v>MS Seats : 9+ EWS : 2</x:v>
      </x:c>
      <x:c r="M1637" s="49" t="str">
        <x:v>https://dse2025.mahacet.org.in/dse25/admin/allotment/cap2/6282_4.pdf</x:v>
      </x:c>
    </x:row>
    <x:row r="1638">
      <x:c r="A1638" s="49" t="str">
        <x:v>2025-26</x:v>
      </x:c>
      <x:c r="B1638" s="63" t="n">
        <x:v>6282</x:v>
      </x:c>
      <x:c r="C1638" s="49" t="str">
        <x:v>All India Shri Shivaji Memorial Society's Institute of Information Technology,Pune</x:v>
      </x:c>
      <x:c r="D1638" s="72" t="n">
        <x:v>628299510</x:v>
      </x:c>
      <x:c r="E1638" s="49" t="str">
        <x:v>Artificial Intelligence and Data Science</x:v>
      </x:c>
      <x:c r="F1638" s="73" t="n">
        <x:v>17</x:v>
      </x:c>
      <x:c r="G1638" s="73" t="n">
        <x:v>13</x:v>
      </x:c>
      <x:c r="H1638" s="73" t="n">
        <x:v>4</x:v>
      </x:c>
      <x:c r="I1638" s="73"/>
      <x:c r="J1638" s="73" t="n">
        <x:v>0</x:v>
      </x:c>
      <x:c r="K1638" s="49" t="str">
        <x:v>Un-Aided Autonomous</x:v>
      </x:c>
      <x:c r="L1638" s="49" t="str">
        <x:v>MS Seats : 13+ EWS : 4</x:v>
      </x:c>
      <x:c r="M1638" s="49" t="str">
        <x:v>https://dse2025.mahacet.org.in/dse25/admin/allotment/cap2/6282_4.pdf</x:v>
      </x:c>
    </x:row>
    <x:row r="1639">
      <x:c r="A1639" s="49" t="str">
        <x:v>2025-26</x:v>
      </x:c>
      <x:c r="B1639" s="63" t="n">
        <x:v>6283</x:v>
      </x:c>
      <x:c r="C1639" s="49" t="str">
        <x:v>Annasaheb Dange College of Engineering and Technology, Ashta, Sangli</x:v>
      </x:c>
      <x:c r="D1639" s="72" t="n">
        <x:v>628300210</x:v>
      </x:c>
      <x:c r="E1639" s="49" t="str">
        <x:v>Aeronautical Engineering</x:v>
      </x:c>
      <x:c r="F1639" s="73" t="n">
        <x:v>22</x:v>
      </x:c>
      <x:c r="G1639" s="73" t="n">
        <x:v>19</x:v>
      </x:c>
      <x:c r="H1639" s="73" t="n">
        <x:v>3</x:v>
      </x:c>
      <x:c r="I1639" s="73"/>
      <x:c r="J1639" s="73" t="n">
        <x:v>0</x:v>
      </x:c>
      <x:c r="K1639" s="49" t="str">
        <x:v>Un-Aided Autonomous</x:v>
      </x:c>
      <x:c r="L1639" s="49" t="str">
        <x:v>MS Seats : 19+ EWS : 3</x:v>
      </x:c>
      <x:c r="M1639" s="49" t="str">
        <x:v>https://dse2025.mahacet.org.in/dse25/admin/allotment/cap2/6283_4.pdf</x:v>
      </x:c>
    </x:row>
    <x:row r="1640">
      <x:c r="A1640" s="49" t="str">
        <x:v>2025-26</x:v>
      </x:c>
      <x:c r="B1640" s="63" t="n">
        <x:v>6283</x:v>
      </x:c>
      <x:c r="C1640" s="49" t="str">
        <x:v>Annasaheb Dange College of Engineering and Technology, Ashta, Sangli</x:v>
      </x:c>
      <x:c r="D1640" s="72" t="n">
        <x:v>628319110</x:v>
      </x:c>
      <x:c r="E1640" s="49" t="str">
        <x:v>Civil Engineering</x:v>
      </x:c>
      <x:c r="F1640" s="73" t="n">
        <x:v>19</x:v>
      </x:c>
      <x:c r="G1640" s="73" t="n">
        <x:v>17</x:v>
      </x:c>
      <x:c r="H1640" s="73" t="n">
        <x:v>2</x:v>
      </x:c>
      <x:c r="I1640" s="73"/>
      <x:c r="J1640" s="73" t="n">
        <x:v>0</x:v>
      </x:c>
      <x:c r="K1640" s="49" t="str">
        <x:v>Un-Aided Autonomous</x:v>
      </x:c>
      <x:c r="L1640" s="49" t="str">
        <x:v>MS Seats : 17+ EWS : 2</x:v>
      </x:c>
      <x:c r="M1640" s="49" t="str">
        <x:v>https://dse2025.mahacet.org.in/dse25/admin/allotment/cap2/6283_4.pdf</x:v>
      </x:c>
    </x:row>
    <x:row r="1641">
      <x:c r="A1641" s="49" t="str">
        <x:v>2025-26</x:v>
      </x:c>
      <x:c r="B1641" s="63" t="n">
        <x:v>6283</x:v>
      </x:c>
      <x:c r="C1641" s="49" t="str">
        <x:v>Annasaheb Dange College of Engineering and Technology, Ashta, Sangli</x:v>
      </x:c>
      <x:c r="D1641" s="72" t="n">
        <x:v>628324210</x:v>
      </x:c>
      <x:c r="E1641" s="49" t="str">
        <x:v>Computer Science and Engineering</x:v>
      </x:c>
      <x:c r="F1641" s="73" t="n">
        <x:v>24</x:v>
      </x:c>
      <x:c r="G1641" s="73" t="n">
        <x:v>21</x:v>
      </x:c>
      <x:c r="H1641" s="73" t="n">
        <x:v>3</x:v>
      </x:c>
      <x:c r="I1641" s="73"/>
      <x:c r="J1641" s="73" t="n">
        <x:v>0</x:v>
      </x:c>
      <x:c r="K1641" s="49" t="str">
        <x:v>Un-Aided Autonomous</x:v>
      </x:c>
      <x:c r="L1641" s="49" t="str">
        <x:v>MS Seats : 21+ EWS : 3</x:v>
      </x:c>
      <x:c r="M1641" s="49" t="str">
        <x:v>https://dse2025.mahacet.org.in/dse25/admin/allotment/cap2/6283_4.pdf</x:v>
      </x:c>
    </x:row>
    <x:row r="1642">
      <x:c r="A1642" s="49" t="str">
        <x:v>2025-26</x:v>
      </x:c>
      <x:c r="B1642" s="63" t="n">
        <x:v>6283</x:v>
      </x:c>
      <x:c r="C1642" s="49" t="str">
        <x:v>Annasaheb Dange College of Engineering and Technology, Ashta, Sangli</x:v>
      </x:c>
      <x:c r="D1642" s="72" t="n">
        <x:v>628326310</x:v>
      </x:c>
      <x:c r="E1642" s="49" t="str">
        <x:v>Artificial Intelligence (AI) and Data Science</x:v>
      </x:c>
      <x:c r="F1642" s="73" t="n">
        <x:v>9</x:v>
      </x:c>
      <x:c r="G1642" s="73" t="n">
        <x:v>7</x:v>
      </x:c>
      <x:c r="H1642" s="73" t="n">
        <x:v>2</x:v>
      </x:c>
      <x:c r="I1642" s="73"/>
      <x:c r="J1642" s="73" t="n">
        <x:v>0</x:v>
      </x:c>
      <x:c r="K1642" s="49" t="str">
        <x:v>Un-Aided Autonomous</x:v>
      </x:c>
      <x:c r="L1642" s="49" t="str">
        <x:v>MS Seats : 7+ EWS : 2</x:v>
      </x:c>
      <x:c r="M1642" s="49" t="str">
        <x:v>https://dse2025.mahacet.org.in/dse25/admin/allotment/cap2/6283_4.pdf</x:v>
      </x:c>
    </x:row>
    <x:row r="1643">
      <x:c r="A1643" s="49" t="str">
        <x:v>2025-26</x:v>
      </x:c>
      <x:c r="B1643" s="63" t="n">
        <x:v>6283</x:v>
      </x:c>
      <x:c r="C1643" s="49" t="str">
        <x:v>Annasaheb Dange College of Engineering and Technology, Ashta, Sangli</x:v>
      </x:c>
      <x:c r="D1643" s="72" t="n">
        <x:v>628329310</x:v>
      </x:c>
      <x:c r="E1643" s="49" t="str">
        <x:v>Electrical Engineering</x:v>
      </x:c>
      <x:c r="F1643" s="73" t="n">
        <x:v>25</x:v>
      </x:c>
      <x:c r="G1643" s="73" t="n">
        <x:v>22</x:v>
      </x:c>
      <x:c r="H1643" s="73" t="n">
        <x:v>3</x:v>
      </x:c>
      <x:c r="I1643" s="73"/>
      <x:c r="J1643" s="73" t="n">
        <x:v>0</x:v>
      </x:c>
      <x:c r="K1643" s="49" t="str">
        <x:v>Un-Aided Autonomous</x:v>
      </x:c>
      <x:c r="L1643" s="49" t="str">
        <x:v>MS Seats : 22+ EWS : 3</x:v>
      </x:c>
      <x:c r="M1643" s="49" t="str">
        <x:v>https://dse2025.mahacet.org.in/dse25/admin/allotment/cap2/6283_4.pdf</x:v>
      </x:c>
    </x:row>
    <x:row r="1644">
      <x:c r="A1644" s="49" t="str">
        <x:v>2025-26</x:v>
      </x:c>
      <x:c r="B1644" s="63" t="n">
        <x:v>6283</x:v>
      </x:c>
      <x:c r="C1644" s="49" t="str">
        <x:v>Annasaheb Dange College of Engineering and Technology, Ashta, Sangli</x:v>
      </x:c>
      <x:c r="D1644" s="72" t="n">
        <x:v>628350310</x:v>
      </x:c>
      <x:c r="E1644" s="49" t="str">
        <x:v>Food Technology</x:v>
      </x:c>
      <x:c r="F1644" s="73" t="n">
        <x:v>11</x:v>
      </x:c>
      <x:c r="G1644" s="73" t="n">
        <x:v>10</x:v>
      </x:c>
      <x:c r="H1644" s="73" t="n">
        <x:v>1</x:v>
      </x:c>
      <x:c r="I1644" s="73"/>
      <x:c r="J1644" s="73" t="n">
        <x:v>0</x:v>
      </x:c>
      <x:c r="K1644" s="49" t="str">
        <x:v>Un-Aided Autonomous</x:v>
      </x:c>
      <x:c r="L1644" s="49" t="str">
        <x:v>MS Seats : 10+ EWS : 1</x:v>
      </x:c>
      <x:c r="M1644" s="49" t="str">
        <x:v>https://dse2025.mahacet.org.in/dse25/admin/allotment/cap2/6283_4.pdf</x:v>
      </x:c>
    </x:row>
    <x:row r="1645">
      <x:c r="A1645" s="49" t="str">
        <x:v>2025-26</x:v>
      </x:c>
      <x:c r="B1645" s="63" t="n">
        <x:v>6283</x:v>
      </x:c>
      <x:c r="C1645" s="49" t="str">
        <x:v>Annasaheb Dange College of Engineering and Technology, Ashta, Sangli</x:v>
      </x:c>
      <x:c r="D1645" s="72" t="n">
        <x:v>628361210</x:v>
      </x:c>
      <x:c r="E1645" s="49" t="str">
        <x:v>Mechanical Engineering</x:v>
      </x:c>
      <x:c r="F1645" s="73" t="n">
        <x:v>24</x:v>
      </x:c>
      <x:c r="G1645" s="73" t="n">
        <x:v>22</x:v>
      </x:c>
      <x:c r="H1645" s="73" t="n">
        <x:v>2</x:v>
      </x:c>
      <x:c r="I1645" s="73"/>
      <x:c r="J1645" s="73" t="n">
        <x:v>0</x:v>
      </x:c>
      <x:c r="K1645" s="49" t="str">
        <x:v>Un-Aided Autonomous</x:v>
      </x:c>
      <x:c r="L1645" s="49" t="str">
        <x:v>MS Seats : 22+ EWS : 2</x:v>
      </x:c>
      <x:c r="M1645" s="49" t="str">
        <x:v>https://dse2025.mahacet.org.in/dse25/admin/allotment/cap2/6283_4.pdf</x:v>
      </x:c>
    </x:row>
    <x:row r="1646">
      <x:c r="A1646" s="49" t="str">
        <x:v>2025-26</x:v>
      </x:c>
      <x:c r="B1646" s="63" t="n">
        <x:v>6283</x:v>
      </x:c>
      <x:c r="C1646" s="49" t="str">
        <x:v>Annasaheb Dange College of Engineering and Technology, Ashta, Sangli</x:v>
      </x:c>
      <x:c r="D1646" s="72" t="n">
        <x:v>628392010</x:v>
      </x:c>
      <x:c r="E1646" s="49" t="str">
        <x:v>Computer Science and Engineering (Internet of Things and Cyber Security Including Block Chain Technology)</x:v>
      </x:c>
      <x:c r="F1646" s="73" t="n">
        <x:v>12</x:v>
      </x:c>
      <x:c r="G1646" s="73" t="n">
        <x:v>11</x:v>
      </x:c>
      <x:c r="H1646" s="73" t="n">
        <x:v>1</x:v>
      </x:c>
      <x:c r="I1646" s="73"/>
      <x:c r="J1646" s="73" t="n">
        <x:v>0</x:v>
      </x:c>
      <x:c r="K1646" s="49" t="str">
        <x:v>Un-Aided Autonomous</x:v>
      </x:c>
      <x:c r="L1646" s="49" t="str">
        <x:v>MS Seats : 11+ EWS : 1</x:v>
      </x:c>
      <x:c r="M1646" s="49" t="str">
        <x:v>https://dse2025.mahacet.org.in/dse25/admin/allotment/cap2/6283_4.pdf</x:v>
      </x:c>
    </x:row>
    <x:row r="1647">
      <x:c r="A1647" s="49" t="str">
        <x:v>2025-26</x:v>
      </x:c>
      <x:c r="B1647" s="63" t="n">
        <x:v>6284</x:v>
      </x:c>
      <x:c r="C1647" s="49" t="str">
        <x:v>Vidya Pratishthan's Kamalnayan Bajaj Institute of Engineering &amp; Technology, Baramati Dist.Pune</x:v>
      </x:c>
      <x:c r="D1647" s="72" t="n">
        <x:v>628419110</x:v>
      </x:c>
      <x:c r="E1647" s="49" t="str">
        <x:v>Civil Engineering</x:v>
      </x:c>
      <x:c r="F1647" s="73" t="n">
        <x:v>13</x:v>
      </x:c>
      <x:c r="G1647" s="73" t="n">
        <x:v>11</x:v>
      </x:c>
      <x:c r="H1647" s="73" t="n">
        <x:v>2</x:v>
      </x:c>
      <x:c r="I1647" s="73"/>
      <x:c r="J1647" s="73" t="n">
        <x:v>0</x:v>
      </x:c>
      <x:c r="K1647" s="49" t="str">
        <x:v>Un-Aided Autonomous</x:v>
      </x:c>
      <x:c r="L1647" s="49" t="str">
        <x:v>MS Seats : 11+ EWS : 2</x:v>
      </x:c>
      <x:c r="M1647" s="49" t="str">
        <x:v>https://dse2025.mahacet.org.in/dse25/admin/allotment/cap2/6284_4.pdf</x:v>
      </x:c>
    </x:row>
    <x:row r="1648">
      <x:c r="A1648" s="49" t="str">
        <x:v>2025-26</x:v>
      </x:c>
      <x:c r="B1648" s="63" t="n">
        <x:v>6284</x:v>
      </x:c>
      <x:c r="C1648" s="49" t="str">
        <x:v>Vidya Pratishthan's Kamalnayan Bajaj Institute of Engineering &amp; Technology, Baramati Dist.Pune</x:v>
      </x:c>
      <x:c r="D1648" s="72" t="n">
        <x:v>628424510</x:v>
      </x:c>
      <x:c r="E1648" s="49" t="str">
        <x:v>Computer Engineering</x:v>
      </x:c>
      <x:c r="F1648" s="73" t="n">
        <x:v>16</x:v>
      </x:c>
      <x:c r="G1648" s="73" t="n">
        <x:v>13</x:v>
      </x:c>
      <x:c r="H1648" s="73" t="n">
        <x:v>3</x:v>
      </x:c>
      <x:c r="I1648" s="73"/>
      <x:c r="J1648" s="73" t="n">
        <x:v>0</x:v>
      </x:c>
      <x:c r="K1648" s="49" t="str">
        <x:v>Un-Aided Autonomous</x:v>
      </x:c>
      <x:c r="L1648" s="49" t="str">
        <x:v>MS Seats : 13+ EWS : 3</x:v>
      </x:c>
      <x:c r="M1648" s="49" t="str">
        <x:v>https://dse2025.mahacet.org.in/dse25/admin/allotment/cap2/6284_4.pdf</x:v>
      </x:c>
    </x:row>
    <x:row r="1649">
      <x:c r="A1649" s="49" t="str">
        <x:v>2025-26</x:v>
      </x:c>
      <x:c r="B1649" s="63" t="n">
        <x:v>6284</x:v>
      </x:c>
      <x:c r="C1649" s="49" t="str">
        <x:v>Vidya Pratishthan's Kamalnayan Bajaj Institute of Engineering &amp; Technology, Baramati Dist.Pune</x:v>
      </x:c>
      <x:c r="D1649" s="72" t="n">
        <x:v>628424610</x:v>
      </x:c>
      <x:c r="E1649" s="49" t="str">
        <x:v>Information Technology</x:v>
      </x:c>
      <x:c r="F1649" s="73" t="n">
        <x:v>9</x:v>
      </x:c>
      <x:c r="G1649" s="73" t="n">
        <x:v>8</x:v>
      </x:c>
      <x:c r="H1649" s="73" t="n">
        <x:v>1</x:v>
      </x:c>
      <x:c r="I1649" s="73"/>
      <x:c r="J1649" s="73" t="n">
        <x:v>0</x:v>
      </x:c>
      <x:c r="K1649" s="49" t="str">
        <x:v>Un-Aided Autonomous</x:v>
      </x:c>
      <x:c r="L1649" s="49" t="str">
        <x:v>MS Seats : 8+ EWS : 1</x:v>
      </x:c>
      <x:c r="M1649" s="49" t="str">
        <x:v>https://dse2025.mahacet.org.in/dse25/admin/allotment/cap2/6284_4.pdf</x:v>
      </x:c>
    </x:row>
    <x:row r="1650">
      <x:c r="A1650" s="49" t="str">
        <x:v>2025-26</x:v>
      </x:c>
      <x:c r="B1650" s="63" t="n">
        <x:v>6284</x:v>
      </x:c>
      <x:c r="C1650" s="49" t="str">
        <x:v>Vidya Pratishthan's Kamalnayan Bajaj Institute of Engineering &amp; Technology, Baramati Dist.Pune</x:v>
      </x:c>
      <x:c r="D1650" s="72" t="n">
        <x:v>628429310</x:v>
      </x:c>
      <x:c r="E1650" s="49" t="str">
        <x:v>Electrical Engineering</x:v>
      </x:c>
      <x:c r="F1650" s="73" t="n">
        <x:v>12</x:v>
      </x:c>
      <x:c r="G1650" s="73" t="n">
        <x:v>10</x:v>
      </x:c>
      <x:c r="H1650" s="73" t="n">
        <x:v>2</x:v>
      </x:c>
      <x:c r="I1650" s="73"/>
      <x:c r="J1650" s="73" t="n">
        <x:v>0</x:v>
      </x:c>
      <x:c r="K1650" s="49" t="str">
        <x:v>Un-Aided Autonomous</x:v>
      </x:c>
      <x:c r="L1650" s="49" t="str">
        <x:v>MS Seats : 10+ EWS : 2</x:v>
      </x:c>
      <x:c r="M1650" s="49" t="str">
        <x:v>https://dse2025.mahacet.org.in/dse25/admin/allotment/cap2/6284_4.pdf</x:v>
      </x:c>
    </x:row>
    <x:row r="1651">
      <x:c r="A1651" s="49" t="str">
        <x:v>2025-26</x:v>
      </x:c>
      <x:c r="B1651" s="63" t="n">
        <x:v>6284</x:v>
      </x:c>
      <x:c r="C1651" s="49" t="str">
        <x:v>Vidya Pratishthan's Kamalnayan Bajaj Institute of Engineering &amp; Technology, Baramati Dist.Pune</x:v>
      </x:c>
      <x:c r="D1651" s="72" t="n">
        <x:v>628437210</x:v>
      </x:c>
      <x:c r="E1651" s="49" t="str">
        <x:v>Electronics and Telecommunication Engg</x:v>
      </x:c>
      <x:c r="F1651" s="73" t="n">
        <x:v>11</x:v>
      </x:c>
      <x:c r="G1651" s="73" t="n">
        <x:v>9</x:v>
      </x:c>
      <x:c r="H1651" s="73" t="n">
        <x:v>2</x:v>
      </x:c>
      <x:c r="I1651" s="73"/>
      <x:c r="J1651" s="73" t="n">
        <x:v>0</x:v>
      </x:c>
      <x:c r="K1651" s="49" t="str">
        <x:v>Un-Aided Autonomous</x:v>
      </x:c>
      <x:c r="L1651" s="49" t="str">
        <x:v>MS Seats : 9+ EWS : 2</x:v>
      </x:c>
      <x:c r="M1651" s="49" t="str">
        <x:v>https://dse2025.mahacet.org.in/dse25/admin/allotment/cap2/6284_4.pdf</x:v>
      </x:c>
    </x:row>
    <x:row r="1652">
      <x:c r="A1652" s="49" t="str">
        <x:v>2025-26</x:v>
      </x:c>
      <x:c r="B1652" s="63" t="n">
        <x:v>6284</x:v>
      </x:c>
      <x:c r="C1652" s="49" t="str">
        <x:v>Vidya Pratishthan's Kamalnayan Bajaj Institute of Engineering &amp; Technology, Baramati Dist.Pune</x:v>
      </x:c>
      <x:c r="D1652" s="72" t="n">
        <x:v>628461210</x:v>
      </x:c>
      <x:c r="E1652" s="49" t="str">
        <x:v>Mechanical Engineering</x:v>
      </x:c>
      <x:c r="F1652" s="73" t="n">
        <x:v>11</x:v>
      </x:c>
      <x:c r="G1652" s="73" t="n">
        <x:v>10</x:v>
      </x:c>
      <x:c r="H1652" s="73" t="n">
        <x:v>1</x:v>
      </x:c>
      <x:c r="I1652" s="73"/>
      <x:c r="J1652" s="73" t="n">
        <x:v>0</x:v>
      </x:c>
      <x:c r="K1652" s="49" t="str">
        <x:v>Un-Aided Autonomous</x:v>
      </x:c>
      <x:c r="L1652" s="49" t="str">
        <x:v>MS Seats : 10+ EWS : 1</x:v>
      </x:c>
      <x:c r="M1652" s="49" t="str">
        <x:v>https://dse2025.mahacet.org.in/dse25/admin/allotment/cap2/6284_4.pdf</x:v>
      </x:c>
    </x:row>
    <x:row r="1653">
      <x:c r="A1653" s="49" t="str">
        <x:v>2025-26</x:v>
      </x:c>
      <x:c r="B1653" s="63" t="n">
        <x:v>6284</x:v>
      </x:c>
      <x:c r="C1653" s="49" t="str">
        <x:v>Vidya Pratishthan's Kamalnayan Bajaj Institute of Engineering &amp; Technology, Baramati Dist.Pune</x:v>
      </x:c>
      <x:c r="D1653" s="72" t="n">
        <x:v>628499510</x:v>
      </x:c>
      <x:c r="E1653" s="49" t="str">
        <x:v>Artificial Intelligence and Data Science</x:v>
      </x:c>
      <x:c r="F1653" s="73" t="n">
        <x:v>17</x:v>
      </x:c>
      <x:c r="G1653" s="73" t="n">
        <x:v>13</x:v>
      </x:c>
      <x:c r="H1653" s="73" t="n">
        <x:v>4</x:v>
      </x:c>
      <x:c r="I1653" s="73"/>
      <x:c r="J1653" s="73" t="n">
        <x:v>0</x:v>
      </x:c>
      <x:c r="K1653" s="49" t="str">
        <x:v>Un-Aided Autonomous</x:v>
      </x:c>
      <x:c r="L1653" s="49" t="str">
        <x:v>MS Seats : 13+ EWS : 4</x:v>
      </x:c>
      <x:c r="M1653" s="49" t="str">
        <x:v>https://dse2025.mahacet.org.in/dse25/admin/allotment/cap2/6284_4.pdf</x:v>
      </x:c>
    </x:row>
    <x:row r="1654">
      <x:c r="A1654" s="49" t="str">
        <x:v>2025-26</x:v>
      </x:c>
      <x:c r="B1654" s="63" t="n">
        <x:v>6285</x:v>
      </x:c>
      <x:c r="C1654" s="49" t="str">
        <x:v>Bharati Vidyapeeth's College of Engineering for Women, Katraj, Dhankawadi, Pune</x:v>
      </x:c>
      <x:c r="D1654" s="72" t="n">
        <x:v>628524550</x:v>
      </x:c>
      <x:c r="E1654" s="49" t="str">
        <x:v>Computer Engineering</x:v>
      </x:c>
      <x:c r="F1654" s="73" t="n">
        <x:v>20</x:v>
      </x:c>
      <x:c r="G1654" s="73" t="n">
        <x:v>15</x:v>
      </x:c>
      <x:c r="H1654" s="73" t="n">
        <x:v>5</x:v>
      </x:c>
      <x:c r="I1654" s="73"/>
      <x:c r="J1654" s="73" t="n">
        <x:v>0</x:v>
      </x:c>
      <x:c r="K1654" s="49" t="str">
        <x:v>Un-Aided</x:v>
      </x:c>
      <x:c r="L1654" s="49" t="str">
        <x:v>MS Seats : 15+ EWS : 5</x:v>
      </x:c>
      <x:c r="M1654" s="49" t="str">
        <x:v>https://dse2025.mahacet.org.in/dse25/admin/allotment/cap2/6285_4.pdf</x:v>
      </x:c>
    </x:row>
    <x:row r="1655">
      <x:c r="A1655" s="49" t="str">
        <x:v>2025-26</x:v>
      </x:c>
      <x:c r="B1655" s="63" t="n">
        <x:v>6285</x:v>
      </x:c>
      <x:c r="C1655" s="49" t="str">
        <x:v>Bharati Vidyapeeth's College of Engineering for Women, Katraj, Dhankawadi, Pune</x:v>
      </x:c>
      <x:c r="D1655" s="72" t="n">
        <x:v>628524650</x:v>
      </x:c>
      <x:c r="E1655" s="49" t="str">
        <x:v>Information Technology</x:v>
      </x:c>
      <x:c r="F1655" s="73" t="n">
        <x:v>9</x:v>
      </x:c>
      <x:c r="G1655" s="73" t="n">
        <x:v>8</x:v>
      </x:c>
      <x:c r="H1655" s="73" t="n">
        <x:v>1</x:v>
      </x:c>
      <x:c r="I1655" s="73"/>
      <x:c r="J1655" s="73" t="n">
        <x:v>0</x:v>
      </x:c>
      <x:c r="K1655" s="49" t="str">
        <x:v>Un-Aided</x:v>
      </x:c>
      <x:c r="L1655" s="49" t="str">
        <x:v>MS Seats : 8+ EWS : 1</x:v>
      </x:c>
      <x:c r="M1655" s="49" t="str">
        <x:v>https://dse2025.mahacet.org.in/dse25/admin/allotment/cap2/6285_4.pdf</x:v>
      </x:c>
    </x:row>
    <x:row r="1656">
      <x:c r="A1656" s="49" t="str">
        <x:v>2025-26</x:v>
      </x:c>
      <x:c r="B1656" s="63" t="n">
        <x:v>6285</x:v>
      </x:c>
      <x:c r="C1656" s="49" t="str">
        <x:v>Bharati Vidyapeeth's College of Engineering for Women, Katraj, Dhankawadi, Pune</x:v>
      </x:c>
      <x:c r="D1656" s="72" t="n">
        <x:v>628537250</x:v>
      </x:c>
      <x:c r="E1656" s="49" t="str">
        <x:v>Electronics and Telecommunication Engg</x:v>
      </x:c>
      <x:c r="F1656" s="73" t="n">
        <x:v>15</x:v>
      </x:c>
      <x:c r="G1656" s="73" t="n">
        <x:v>13</x:v>
      </x:c>
      <x:c r="H1656" s="73" t="n">
        <x:v>2</x:v>
      </x:c>
      <x:c r="I1656" s="73"/>
      <x:c r="J1656" s="73" t="n">
        <x:v>0</x:v>
      </x:c>
      <x:c r="K1656" s="49" t="str">
        <x:v>Un-Aided</x:v>
      </x:c>
      <x:c r="L1656" s="49" t="str">
        <x:v>MS Seats : 13+ EWS : 2</x:v>
      </x:c>
      <x:c r="M1656" s="49" t="str">
        <x:v>https://dse2025.mahacet.org.in/dse25/admin/allotment/cap2/6285_4.pdf</x:v>
      </x:c>
    </x:row>
    <x:row r="1657">
      <x:c r="A1657" s="49" t="str">
        <x:v>2025-26</x:v>
      </x:c>
      <x:c r="B1657" s="63" t="n">
        <x:v>6288</x:v>
      </x:c>
      <x:c r="C1657" s="49" t="str">
        <x:v>Bharati Vidyapeeth's College of Engineering, Kolhapur</x:v>
      </x:c>
      <x:c r="D1657" s="72" t="n">
        <x:v>628819110</x:v>
      </x:c>
      <x:c r="E1657" s="49" t="str">
        <x:v>Civil Engineering</x:v>
      </x:c>
      <x:c r="F1657" s="73" t="n">
        <x:v>25</x:v>
      </x:c>
      <x:c r="G1657" s="73" t="n">
        <x:v>21</x:v>
      </x:c>
      <x:c r="H1657" s="73" t="n">
        <x:v>4</x:v>
      </x:c>
      <x:c r="I1657" s="73"/>
      <x:c r="J1657" s="73" t="n">
        <x:v>0</x:v>
      </x:c>
      <x:c r="K1657" s="49" t="str">
        <x:v>Un-Aided</x:v>
      </x:c>
      <x:c r="L1657" s="49" t="str">
        <x:v>MS Seats : 21+ EWS : 4</x:v>
      </x:c>
      <x:c r="M1657" s="49" t="str">
        <x:v>https://dse2025.mahacet.org.in/dse25/admin/allotment/cap2/6288_4.pdf</x:v>
      </x:c>
    </x:row>
    <x:row r="1658">
      <x:c r="A1658" s="49" t="str">
        <x:v>2025-26</x:v>
      </x:c>
      <x:c r="B1658" s="63" t="n">
        <x:v>6288</x:v>
      </x:c>
      <x:c r="C1658" s="49" t="str">
        <x:v>Bharati Vidyapeeth's College of Engineering, Kolhapur</x:v>
      </x:c>
      <x:c r="D1658" s="72" t="n">
        <x:v>628824210</x:v>
      </x:c>
      <x:c r="E1658" s="49" t="str">
        <x:v>Computer Science and Engineering</x:v>
      </x:c>
      <x:c r="F1658" s="73" t="n">
        <x:v>25</x:v>
      </x:c>
      <x:c r="G1658" s="73" t="n">
        <x:v>20</x:v>
      </x:c>
      <x:c r="H1658" s="73" t="n">
        <x:v>5</x:v>
      </x:c>
      <x:c r="I1658" s="73"/>
      <x:c r="J1658" s="73" t="n">
        <x:v>0</x:v>
      </x:c>
      <x:c r="K1658" s="49" t="str">
        <x:v>Un-Aided</x:v>
      </x:c>
      <x:c r="L1658" s="49" t="str">
        <x:v>MS Seats : 20+ EWS : 5</x:v>
      </x:c>
      <x:c r="M1658" s="49" t="str">
        <x:v>https://dse2025.mahacet.org.in/dse25/admin/allotment/cap2/6288_4.pdf</x:v>
      </x:c>
    </x:row>
    <x:row r="1659">
      <x:c r="A1659" s="49" t="str">
        <x:v>2025-26</x:v>
      </x:c>
      <x:c r="B1659" s="63" t="n">
        <x:v>6288</x:v>
      </x:c>
      <x:c r="C1659" s="49" t="str">
        <x:v>Bharati Vidyapeeth's College of Engineering, Kolhapur</x:v>
      </x:c>
      <x:c r="D1659" s="72" t="n">
        <x:v>628837210</x:v>
      </x:c>
      <x:c r="E1659" s="49" t="str">
        <x:v>Electronics and Telecommunication Engg</x:v>
      </x:c>
      <x:c r="F1659" s="73" t="n">
        <x:v>15</x:v>
      </x:c>
      <x:c r="G1659" s="73" t="n">
        <x:v>14</x:v>
      </x:c>
      <x:c r="H1659" s="73" t="n">
        <x:v>1</x:v>
      </x:c>
      <x:c r="I1659" s="73"/>
      <x:c r="J1659" s="73" t="n">
        <x:v>0</x:v>
      </x:c>
      <x:c r="K1659" s="49" t="str">
        <x:v>Un-Aided</x:v>
      </x:c>
      <x:c r="L1659" s="49" t="str">
        <x:v>MS Seats : 14+ EWS : 1</x:v>
      </x:c>
      <x:c r="M1659" s="49" t="str">
        <x:v>https://dse2025.mahacet.org.in/dse25/admin/allotment/cap2/6288_4.pdf</x:v>
      </x:c>
    </x:row>
    <x:row r="1660">
      <x:c r="A1660" s="49" t="str">
        <x:v>2025-26</x:v>
      </x:c>
      <x:c r="B1660" s="63" t="n">
        <x:v>6288</x:v>
      </x:c>
      <x:c r="C1660" s="49" t="str">
        <x:v>Bharati Vidyapeeth's College of Engineering, Kolhapur</x:v>
      </x:c>
      <x:c r="D1660" s="72" t="n">
        <x:v>628861210</x:v>
      </x:c>
      <x:c r="E1660" s="49" t="str">
        <x:v>Mechanical Engineering</x:v>
      </x:c>
      <x:c r="F1660" s="73" t="n">
        <x:v>33</x:v>
      </x:c>
      <x:c r="G1660" s="73" t="n">
        <x:v>28</x:v>
      </x:c>
      <x:c r="H1660" s="73" t="n">
        <x:v>5</x:v>
      </x:c>
      <x:c r="I1660" s="73"/>
      <x:c r="J1660" s="73" t="n">
        <x:v>0</x:v>
      </x:c>
      <x:c r="K1660" s="49" t="str">
        <x:v>Un-Aided</x:v>
      </x:c>
      <x:c r="L1660" s="49" t="str">
        <x:v>MS Seats : 28+ EWS : 5</x:v>
      </x:c>
      <x:c r="M1660" s="49" t="str">
        <x:v>https://dse2025.mahacet.org.in/dse25/admin/allotment/cap2/6288_4.pdf</x:v>
      </x:c>
    </x:row>
    <x:row r="1661">
      <x:c r="A1661" s="49" t="str">
        <x:v>2025-26</x:v>
      </x:c>
      <x:c r="B1661" s="63" t="n">
        <x:v>6288</x:v>
      </x:c>
      <x:c r="C1661" s="49" t="str">
        <x:v>Bharati Vidyapeeth's College of Engineering, Kolhapur</x:v>
      </x:c>
      <x:c r="D1661" s="72" t="n">
        <x:v>628891110</x:v>
      </x:c>
      <x:c r="E1661" s="49" t="str">
        <x:v>Computer Science and Engineering(Artificial Intelligence and Machine Learning)</x:v>
      </x:c>
      <x:c r="F1661" s="73" t="n">
        <x:v>14</x:v>
      </x:c>
      <x:c r="G1661" s="73" t="n">
        <x:v>13</x:v>
      </x:c>
      <x:c r="H1661" s="73" t="n">
        <x:v>1</x:v>
      </x:c>
      <x:c r="I1661" s="73"/>
      <x:c r="J1661" s="73" t="n">
        <x:v>0</x:v>
      </x:c>
      <x:c r="K1661" s="49" t="str">
        <x:v>Un-Aided</x:v>
      </x:c>
      <x:c r="L1661" s="49" t="str">
        <x:v>MS Seats : 13+ EWS : 1</x:v>
      </x:c>
      <x:c r="M1661" s="49" t="str">
        <x:v>https://dse2025.mahacet.org.in/dse25/admin/allotment/cap2/6288_4.pdf</x:v>
      </x:c>
    </x:row>
    <x:row r="1662">
      <x:c r="A1662" s="49" t="str">
        <x:v>2025-26</x:v>
      </x:c>
      <x:c r="B1662" s="63" t="n">
        <x:v>6293</x:v>
      </x:c>
      <x:c r="C1662" s="49" t="str">
        <x:v>Kai Amdar Bramhadevdada Mane Shikshan &amp; Samajik Prathistan's Bramhadevdada Mane Institute of Technology, Solapur</x:v>
      </x:c>
      <x:c r="D1662" s="72" t="n">
        <x:v>629324210</x:v>
      </x:c>
      <x:c r="E1662" s="49" t="str">
        <x:v>Computer Science and Engineering</x:v>
      </x:c>
      <x:c r="F1662" s="73" t="n">
        <x:v>28</x:v>
      </x:c>
      <x:c r="G1662" s="73" t="n">
        <x:v>23</x:v>
      </x:c>
      <x:c r="H1662" s="73" t="n">
        <x:v>5</x:v>
      </x:c>
      <x:c r="I1662" s="73"/>
      <x:c r="J1662" s="73" t="n">
        <x:v>0</x:v>
      </x:c>
      <x:c r="K1662" s="49" t="str">
        <x:v>Un-Aided</x:v>
      </x:c>
      <x:c r="L1662" s="49" t="str">
        <x:v>MS Seats : 23+ EWS : 5</x:v>
      </x:c>
      <x:c r="M1662" s="49" t="str">
        <x:v>https://dse2025.mahacet.org.in/dse25/admin/allotment/cap2/6293_4.pdf</x:v>
      </x:c>
    </x:row>
    <x:row r="1663">
      <x:c r="A1663" s="49" t="str">
        <x:v>2025-26</x:v>
      </x:c>
      <x:c r="B1663" s="63" t="n">
        <x:v>6293</x:v>
      </x:c>
      <x:c r="C1663" s="49" t="str">
        <x:v>Kai Amdar Bramhadevdada Mane Shikshan &amp; Samajik Prathistan's Bramhadevdada Mane Institute of Technology, Solapur</x:v>
      </x:c>
      <x:c r="D1663" s="72" t="n">
        <x:v>629329310</x:v>
      </x:c>
      <x:c r="E1663" s="49" t="str">
        <x:v>Electrical Engineering</x:v>
      </x:c>
      <x:c r="F1663" s="73" t="n">
        <x:v>39</x:v>
      </x:c>
      <x:c r="G1663" s="73" t="n">
        <x:v>34</x:v>
      </x:c>
      <x:c r="H1663" s="73" t="n">
        <x:v>5</x:v>
      </x:c>
      <x:c r="I1663" s="73"/>
      <x:c r="J1663" s="73" t="n">
        <x:v>0</x:v>
      </x:c>
      <x:c r="K1663" s="49" t="str">
        <x:v>Un-Aided</x:v>
      </x:c>
      <x:c r="L1663" s="49" t="str">
        <x:v>MS Seats : 34+ EWS : 5</x:v>
      </x:c>
      <x:c r="M1663" s="49" t="str">
        <x:v>https://dse2025.mahacet.org.in/dse25/admin/allotment/cap2/6293_4.pdf</x:v>
      </x:c>
    </x:row>
    <x:row r="1664">
      <x:c r="A1664" s="49" t="str">
        <x:v>2025-26</x:v>
      </x:c>
      <x:c r="B1664" s="63" t="n">
        <x:v>6293</x:v>
      </x:c>
      <x:c r="C1664" s="49" t="str">
        <x:v>Kai Amdar Bramhadevdada Mane Shikshan &amp; Samajik Prathistan's Bramhadevdada Mane Institute of Technology, Solapur</x:v>
      </x:c>
      <x:c r="D1664" s="72" t="n">
        <x:v>629337210</x:v>
      </x:c>
      <x:c r="E1664" s="49" t="str">
        <x:v>Electronics and Telecommunication Engg</x:v>
      </x:c>
      <x:c r="F1664" s="73" t="n">
        <x:v>37</x:v>
      </x:c>
      <x:c r="G1664" s="73" t="n">
        <x:v>33</x:v>
      </x:c>
      <x:c r="H1664" s="73" t="n">
        <x:v>4</x:v>
      </x:c>
      <x:c r="I1664" s="73"/>
      <x:c r="J1664" s="73" t="n">
        <x:v>0</x:v>
      </x:c>
      <x:c r="K1664" s="49" t="str">
        <x:v>Un-Aided</x:v>
      </x:c>
      <x:c r="L1664" s="49" t="str">
        <x:v>MS Seats : 33+ EWS : 4</x:v>
      </x:c>
      <x:c r="M1664" s="49" t="str">
        <x:v>https://dse2025.mahacet.org.in/dse25/admin/allotment/cap2/6293_4.pdf</x:v>
      </x:c>
    </x:row>
    <x:row r="1665">
      <x:c r="A1665" s="49" t="str">
        <x:v>2025-26</x:v>
      </x:c>
      <x:c r="B1665" s="63" t="n">
        <x:v>6293</x:v>
      </x:c>
      <x:c r="C1665" s="49" t="str">
        <x:v>Kai Amdar Bramhadevdada Mane Shikshan &amp; Samajik Prathistan's Bramhadevdada Mane Institute of Technology, Solapur</x:v>
      </x:c>
      <x:c r="D1665" s="72" t="n">
        <x:v>629361210</x:v>
      </x:c>
      <x:c r="E1665" s="49" t="str">
        <x:v>Mechanical Engineering</x:v>
      </x:c>
      <x:c r="F1665" s="73" t="n">
        <x:v>21</x:v>
      </x:c>
      <x:c r="G1665" s="73" t="n">
        <x:v>20</x:v>
      </x:c>
      <x:c r="H1665" s="73" t="n">
        <x:v>1</x:v>
      </x:c>
      <x:c r="I1665" s="73"/>
      <x:c r="J1665" s="73" t="n">
        <x:v>0</x:v>
      </x:c>
      <x:c r="K1665" s="49" t="str">
        <x:v>Un-Aided</x:v>
      </x:c>
      <x:c r="L1665" s="49" t="str">
        <x:v>MS Seats : 20+ EWS : 1</x:v>
      </x:c>
      <x:c r="M1665" s="49" t="str">
        <x:v>https://dse2025.mahacet.org.in/dse25/admin/allotment/cap2/6293_4.pdf</x:v>
      </x:c>
    </x:row>
    <x:row r="1666">
      <x:c r="A1666" s="49" t="str">
        <x:v>2025-26</x:v>
      </x:c>
      <x:c r="B1666" s="63" t="n">
        <x:v>6298</x:v>
      </x:c>
      <x:c r="C1666" s="49" t="str">
        <x:v>Zeal Education Society's Zeal College of Engineering &amp; Reserch, Narhe, Pune</x:v>
      </x:c>
      <x:c r="D1666" s="72" t="n">
        <x:v>629819110</x:v>
      </x:c>
      <x:c r="E1666" s="49" t="str">
        <x:v>Civil Engineering</x:v>
      </x:c>
      <x:c r="F1666" s="73" t="n">
        <x:v>24</x:v>
      </x:c>
      <x:c r="G1666" s="73" t="n">
        <x:v>20</x:v>
      </x:c>
      <x:c r="H1666" s="73" t="n">
        <x:v>4</x:v>
      </x:c>
      <x:c r="I1666" s="73"/>
      <x:c r="J1666" s="73" t="n">
        <x:v>0</x:v>
      </x:c>
      <x:c r="K1666" s="49" t="str">
        <x:v>Un-Aided Autonomous</x:v>
      </x:c>
      <x:c r="L1666" s="49" t="str">
        <x:v>MS Seats : 20+ EWS : 4</x:v>
      </x:c>
      <x:c r="M1666" s="49" t="str">
        <x:v>https://dse2025.mahacet.org.in/dse25/admin/allotment/cap2/6298_4.pdf</x:v>
      </x:c>
    </x:row>
    <x:row r="1667">
      <x:c r="A1667" s="49" t="str">
        <x:v>2025-26</x:v>
      </x:c>
      <x:c r="B1667" s="63" t="n">
        <x:v>6298</x:v>
      </x:c>
      <x:c r="C1667" s="49" t="str">
        <x:v>Zeal Education Society's Zeal College of Engineering &amp; Reserch, Narhe, Pune</x:v>
      </x:c>
      <x:c r="D1667" s="72" t="n">
        <x:v>629821910</x:v>
      </x:c>
      <x:c r="E1667" s="49" t="str">
        <x:v>Robotics and Automation</x:v>
      </x:c>
      <x:c r="F1667" s="73" t="n">
        <x:v>33</x:v>
      </x:c>
      <x:c r="G1667" s="73" t="n">
        <x:v>25</x:v>
      </x:c>
      <x:c r="H1667" s="73" t="n">
        <x:v>8</x:v>
      </x:c>
      <x:c r="I1667" s="73"/>
      <x:c r="J1667" s="73" t="n">
        <x:v>0</x:v>
      </x:c>
      <x:c r="K1667" s="49" t="str">
        <x:v>Un-Aided Autonomous</x:v>
      </x:c>
      <x:c r="L1667" s="49" t="str">
        <x:v>MS Seats : 25+ EWS : 8</x:v>
      </x:c>
      <x:c r="M1667" s="49" t="str">
        <x:v>https://dse2025.mahacet.org.in/dse25/admin/allotment/cap2/6298_4.pdf</x:v>
      </x:c>
    </x:row>
    <x:row r="1668">
      <x:c r="A1668" s="49" t="str">
        <x:v>2025-26</x:v>
      </x:c>
      <x:c r="B1668" s="63" t="n">
        <x:v>6298</x:v>
      </x:c>
      <x:c r="C1668" s="49" t="str">
        <x:v>Zeal Education Society's Zeal College of Engineering &amp; Reserch, Narhe, Pune</x:v>
      </x:c>
      <x:c r="D1668" s="72" t="n">
        <x:v>629824510</x:v>
      </x:c>
      <x:c r="E1668" s="49" t="str">
        <x:v>Computer Engineering</x:v>
      </x:c>
      <x:c r="F1668" s="73" t="n">
        <x:v>25</x:v>
      </x:c>
      <x:c r="G1668" s="73" t="n">
        <x:v>21</x:v>
      </x:c>
      <x:c r="H1668" s="73" t="n">
        <x:v>4</x:v>
      </x:c>
      <x:c r="I1668" s="73"/>
      <x:c r="J1668" s="73" t="n">
        <x:v>0</x:v>
      </x:c>
      <x:c r="K1668" s="49" t="str">
        <x:v>Un-Aided Autonomous</x:v>
      </x:c>
      <x:c r="L1668" s="49" t="str">
        <x:v>MS Seats : 21+ EWS : 4</x:v>
      </x:c>
      <x:c r="M1668" s="49" t="str">
        <x:v>https://dse2025.mahacet.org.in/dse25/admin/allotment/cap2/6298_4.pdf</x:v>
      </x:c>
    </x:row>
    <x:row r="1669">
      <x:c r="A1669" s="49" t="str">
        <x:v>2025-26</x:v>
      </x:c>
      <x:c r="B1669" s="63" t="n">
        <x:v>6298</x:v>
      </x:c>
      <x:c r="C1669" s="49" t="str">
        <x:v>Zeal Education Society's Zeal College of Engineering &amp; Reserch, Narhe, Pune</x:v>
      </x:c>
      <x:c r="D1669" s="72" t="n">
        <x:v>629824610</x:v>
      </x:c>
      <x:c r="E1669" s="49" t="str">
        <x:v>Information Technology</x:v>
      </x:c>
      <x:c r="F1669" s="73" t="n">
        <x:v>25</x:v>
      </x:c>
      <x:c r="G1669" s="73" t="n">
        <x:v>21</x:v>
      </x:c>
      <x:c r="H1669" s="73" t="n">
        <x:v>4</x:v>
      </x:c>
      <x:c r="I1669" s="73"/>
      <x:c r="J1669" s="73" t="n">
        <x:v>0</x:v>
      </x:c>
      <x:c r="K1669" s="49" t="str">
        <x:v>Un-Aided Autonomous</x:v>
      </x:c>
      <x:c r="L1669" s="49" t="str">
        <x:v>MS Seats : 21+ EWS : 4</x:v>
      </x:c>
      <x:c r="M1669" s="49" t="str">
        <x:v>https://dse2025.mahacet.org.in/dse25/admin/allotment/cap2/6298_4.pdf</x:v>
      </x:c>
    </x:row>
    <x:row r="1670">
      <x:c r="A1670" s="49" t="str">
        <x:v>2025-26</x:v>
      </x:c>
      <x:c r="B1670" s="63" t="n">
        <x:v>6298</x:v>
      </x:c>
      <x:c r="C1670" s="49" t="str">
        <x:v>Zeal Education Society's Zeal College of Engineering &amp; Reserch, Narhe, Pune</x:v>
      </x:c>
      <x:c r="D1670" s="72" t="n">
        <x:v>629829310</x:v>
      </x:c>
      <x:c r="E1670" s="49" t="str">
        <x:v>Electrical Engineering</x:v>
      </x:c>
      <x:c r="F1670" s="73" t="n">
        <x:v>36</x:v>
      </x:c>
      <x:c r="G1670" s="73" t="n">
        <x:v>33</x:v>
      </x:c>
      <x:c r="H1670" s="73" t="n">
        <x:v>3</x:v>
      </x:c>
      <x:c r="I1670" s="73"/>
      <x:c r="J1670" s="73" t="n">
        <x:v>0</x:v>
      </x:c>
      <x:c r="K1670" s="49" t="str">
        <x:v>Un-Aided Autonomous</x:v>
      </x:c>
      <x:c r="L1670" s="49" t="str">
        <x:v>MS Seats : 33+ EWS : 3</x:v>
      </x:c>
      <x:c r="M1670" s="49" t="str">
        <x:v>https://dse2025.mahacet.org.in/dse25/admin/allotment/cap2/6298_4.pdf</x:v>
      </x:c>
    </x:row>
    <x:row r="1671">
      <x:c r="A1671" s="49" t="str">
        <x:v>2025-26</x:v>
      </x:c>
      <x:c r="B1671" s="63" t="n">
        <x:v>6298</x:v>
      </x:c>
      <x:c r="C1671" s="49" t="str">
        <x:v>Zeal Education Society's Zeal College of Engineering &amp; Reserch, Narhe, Pune</x:v>
      </x:c>
      <x:c r="D1671" s="72" t="n">
        <x:v>629837210</x:v>
      </x:c>
      <x:c r="E1671" s="49" t="str">
        <x:v>Electronics and Telecommunication Engg</x:v>
      </x:c>
      <x:c r="F1671" s="73" t="n">
        <x:v>17</x:v>
      </x:c>
      <x:c r="G1671" s="73" t="n">
        <x:v>13</x:v>
      </x:c>
      <x:c r="H1671" s="73" t="n">
        <x:v>4</x:v>
      </x:c>
      <x:c r="I1671" s="73"/>
      <x:c r="J1671" s="73" t="n">
        <x:v>0</x:v>
      </x:c>
      <x:c r="K1671" s="49" t="str">
        <x:v>Un-Aided Autonomous</x:v>
      </x:c>
      <x:c r="L1671" s="49" t="str">
        <x:v>MS Seats : 13+ EWS : 4</x:v>
      </x:c>
      <x:c r="M1671" s="49" t="str">
        <x:v>https://dse2025.mahacet.org.in/dse25/admin/allotment/cap2/6298_4.pdf</x:v>
      </x:c>
    </x:row>
    <x:row r="1672">
      <x:c r="A1672" s="49" t="str">
        <x:v>2025-26</x:v>
      </x:c>
      <x:c r="B1672" s="63" t="n">
        <x:v>6298</x:v>
      </x:c>
      <x:c r="C1672" s="49" t="str">
        <x:v>Zeal Education Society's Zeal College of Engineering &amp; Reserch, Narhe, Pune</x:v>
      </x:c>
      <x:c r="D1672" s="72" t="n">
        <x:v>629861210</x:v>
      </x:c>
      <x:c r="E1672" s="49" t="str">
        <x:v>Mechanical Engineering</x:v>
      </x:c>
      <x:c r="F1672" s="73" t="n">
        <x:v>36</x:v>
      </x:c>
      <x:c r="G1672" s="73" t="n">
        <x:v>26</x:v>
      </x:c>
      <x:c r="H1672" s="73" t="n">
        <x:v>10</x:v>
      </x:c>
      <x:c r="I1672" s="73"/>
      <x:c r="J1672" s="73" t="n">
        <x:v>0</x:v>
      </x:c>
      <x:c r="K1672" s="49" t="str">
        <x:v>Un-Aided Autonomous</x:v>
      </x:c>
      <x:c r="L1672" s="49" t="str">
        <x:v>MS Seats : 26+ EWS : 10</x:v>
      </x:c>
      <x:c r="M1672" s="49" t="str">
        <x:v>https://dse2025.mahacet.org.in/dse25/admin/allotment/cap2/6298_4.pdf</x:v>
      </x:c>
    </x:row>
    <x:row r="1673">
      <x:c r="A1673" s="49" t="str">
        <x:v>2025-26</x:v>
      </x:c>
      <x:c r="B1673" s="63" t="n">
        <x:v>6298</x:v>
      </x:c>
      <x:c r="C1673" s="49" t="str">
        <x:v>Zeal Education Society's Zeal College of Engineering &amp; Reserch, Narhe, Pune</x:v>
      </x:c>
      <x:c r="D1673" s="72" t="n">
        <x:v>629884410</x:v>
      </x:c>
      <x:c r="E1673" s="49" t="str">
        <x:v>Electronics and Computer Engineering</x:v>
      </x:c>
      <x:c r="F1673" s="73" t="n">
        <x:v>26</x:v>
      </x:c>
      <x:c r="G1673" s="73" t="n">
        <x:v>21</x:v>
      </x:c>
      <x:c r="H1673" s="73" t="n">
        <x:v>5</x:v>
      </x:c>
      <x:c r="I1673" s="73"/>
      <x:c r="J1673" s="73" t="n">
        <x:v>0</x:v>
      </x:c>
      <x:c r="K1673" s="49" t="str">
        <x:v>Un-Aided Autonomous</x:v>
      </x:c>
      <x:c r="L1673" s="49" t="str">
        <x:v>MS Seats : 21+ EWS : 5</x:v>
      </x:c>
      <x:c r="M1673" s="49" t="str">
        <x:v>https://dse2025.mahacet.org.in/dse25/admin/allotment/cap2/6298_4.pdf</x:v>
      </x:c>
    </x:row>
    <x:row r="1674">
      <x:c r="A1674" s="49" t="str">
        <x:v>2025-26</x:v>
      </x:c>
      <x:c r="B1674" s="63" t="n">
        <x:v>6298</x:v>
      </x:c>
      <x:c r="C1674" s="49" t="str">
        <x:v>Zeal Education Society's Zeal College of Engineering &amp; Reserch, Narhe, Pune</x:v>
      </x:c>
      <x:c r="D1674" s="72" t="n">
        <x:v>629892110</x:v>
      </x:c>
      <x:c r="E1674" s="49" t="str">
        <x:v>Artificial Intelligence and Machine Learning</x:v>
      </x:c>
      <x:c r="F1674" s="73" t="n">
        <x:v>25</x:v>
      </x:c>
      <x:c r="G1674" s="73" t="n">
        <x:v>21</x:v>
      </x:c>
      <x:c r="H1674" s="73" t="n">
        <x:v>4</x:v>
      </x:c>
      <x:c r="I1674" s="73"/>
      <x:c r="J1674" s="73" t="n">
        <x:v>0</x:v>
      </x:c>
      <x:c r="K1674" s="49" t="str">
        <x:v>Un-Aided Autonomous</x:v>
      </x:c>
      <x:c r="L1674" s="49" t="str">
        <x:v>MS Seats : 21+ EWS : 4</x:v>
      </x:c>
      <x:c r="M1674" s="49" t="str">
        <x:v>https://dse2025.mahacet.org.in/dse25/admin/allotment/cap2/6298_4.pdf</x:v>
      </x:c>
    </x:row>
    <x:row r="1675">
      <x:c r="A1675" s="49" t="str">
        <x:v>2025-26</x:v>
      </x:c>
      <x:c r="B1675" s="63" t="n">
        <x:v>6298</x:v>
      </x:c>
      <x:c r="C1675" s="49" t="str">
        <x:v>Zeal Education Society's Zeal College of Engineering &amp; Reserch, Narhe, Pune</x:v>
      </x:c>
      <x:c r="D1675" s="72" t="n">
        <x:v>629899510</x:v>
      </x:c>
      <x:c r="E1675" s="49" t="str">
        <x:v>Artificial Intelligence and Data Science</x:v>
      </x:c>
      <x:c r="F1675" s="73" t="n">
        <x:v>23</x:v>
      </x:c>
      <x:c r="G1675" s="73" t="n">
        <x:v>21</x:v>
      </x:c>
      <x:c r="H1675" s="73" t="n">
        <x:v>2</x:v>
      </x:c>
      <x:c r="I1675" s="73"/>
      <x:c r="J1675" s="73" t="n">
        <x:v>0</x:v>
      </x:c>
      <x:c r="K1675" s="49" t="str">
        <x:v>Un-Aided Autonomous</x:v>
      </x:c>
      <x:c r="L1675" s="49" t="str">
        <x:v>MS Seats : 21+ EWS : 2</x:v>
      </x:c>
      <x:c r="M1675" s="49" t="str">
        <x:v>https://dse2025.mahacet.org.in/dse25/admin/allotment/cap2/6298_4.pdf</x:v>
      </x:c>
    </x:row>
    <x:row r="1676">
      <x:c r="A1676" s="49" t="str">
        <x:v>2025-26</x:v>
      </x:c>
      <x:c r="B1676" s="63" t="n">
        <x:v>6303</x:v>
      </x:c>
      <x:c r="C1676" s="49" t="str">
        <x:v>Dr. Ashok Gujar Technical Institute's Dr. Daulatrao Aher College of Engineering, Karad</x:v>
      </x:c>
      <x:c r="D1676" s="72" t="n">
        <x:v>630319110</x:v>
      </x:c>
      <x:c r="E1676" s="49" t="str">
        <x:v>Civil Engineering</x:v>
      </x:c>
      <x:c r="F1676" s="73" t="n">
        <x:v>39</x:v>
      </x:c>
      <x:c r="G1676" s="73" t="n">
        <x:v>33</x:v>
      </x:c>
      <x:c r="H1676" s="73" t="n">
        <x:v>6</x:v>
      </x:c>
      <x:c r="I1676" s="73"/>
      <x:c r="J1676" s="73" t="n">
        <x:v>0</x:v>
      </x:c>
      <x:c r="K1676" s="49" t="str">
        <x:v>Un-Aided</x:v>
      </x:c>
      <x:c r="L1676" s="49" t="str">
        <x:v>MS Seats : 33+ EWS : 6</x:v>
      </x:c>
      <x:c r="M1676" s="49" t="str">
        <x:v>https://dse2025.mahacet.org.in/dse25/admin/allotment/cap2/6303_4.pdf</x:v>
      </x:c>
    </x:row>
    <x:row r="1677">
      <x:c r="A1677" s="49" t="str">
        <x:v>2025-26</x:v>
      </x:c>
      <x:c r="B1677" s="63" t="n">
        <x:v>6303</x:v>
      </x:c>
      <x:c r="C1677" s="49" t="str">
        <x:v>Dr. Ashok Gujar Technical Institute's Dr. Daulatrao Aher College of Engineering, Karad</x:v>
      </x:c>
      <x:c r="D1677" s="72" t="n">
        <x:v>630324210</x:v>
      </x:c>
      <x:c r="E1677" s="49" t="str">
        <x:v>Computer Science and Engineering</x:v>
      </x:c>
      <x:c r="F1677" s="73" t="n">
        <x:v>12</x:v>
      </x:c>
      <x:c r="G1677" s="73" t="n">
        <x:v>11</x:v>
      </x:c>
      <x:c r="H1677" s="73" t="n">
        <x:v>1</x:v>
      </x:c>
      <x:c r="I1677" s="73"/>
      <x:c r="J1677" s="73" t="n">
        <x:v>0</x:v>
      </x:c>
      <x:c r="K1677" s="49" t="str">
        <x:v>Un-Aided</x:v>
      </x:c>
      <x:c r="L1677" s="49" t="str">
        <x:v>MS Seats : 11+ EWS : 1</x:v>
      </x:c>
      <x:c r="M1677" s="49" t="str">
        <x:v>https://dse2025.mahacet.org.in/dse25/admin/allotment/cap2/6303_4.pdf</x:v>
      </x:c>
    </x:row>
    <x:row r="1678">
      <x:c r="A1678" s="49" t="str">
        <x:v>2025-26</x:v>
      </x:c>
      <x:c r="B1678" s="63" t="n">
        <x:v>6303</x:v>
      </x:c>
      <x:c r="C1678" s="49" t="str">
        <x:v>Dr. Ashok Gujar Technical Institute's Dr. Daulatrao Aher College of Engineering, Karad</x:v>
      </x:c>
      <x:c r="D1678" s="72" t="n">
        <x:v>630337210</x:v>
      </x:c>
      <x:c r="E1678" s="49" t="str">
        <x:v>Electronics and Telecommunication Engg</x:v>
      </x:c>
      <x:c r="F1678" s="73" t="n">
        <x:v>18</x:v>
      </x:c>
      <x:c r="G1678" s="73" t="n">
        <x:v>12</x:v>
      </x:c>
      <x:c r="H1678" s="73" t="n">
        <x:v>6</x:v>
      </x:c>
      <x:c r="I1678" s="73"/>
      <x:c r="J1678" s="73" t="n">
        <x:v>0</x:v>
      </x:c>
      <x:c r="K1678" s="49" t="str">
        <x:v>Un-Aided</x:v>
      </x:c>
      <x:c r="L1678" s="49" t="str">
        <x:v>MS Seats : 12+ EWS : 6</x:v>
      </x:c>
      <x:c r="M1678" s="49" t="str">
        <x:v>https://dse2025.mahacet.org.in/dse25/admin/allotment/cap2/6303_4.pdf</x:v>
      </x:c>
    </x:row>
    <x:row r="1679">
      <x:c r="A1679" s="49" t="str">
        <x:v>2025-26</x:v>
      </x:c>
      <x:c r="B1679" s="63" t="n">
        <x:v>6303</x:v>
      </x:c>
      <x:c r="C1679" s="49" t="str">
        <x:v>Dr. Ashok Gujar Technical Institute's Dr. Daulatrao Aher College of Engineering, Karad</x:v>
      </x:c>
      <x:c r="D1679" s="72" t="n">
        <x:v>630361210</x:v>
      </x:c>
      <x:c r="E1679" s="49" t="str">
        <x:v>Mechanical Engineering</x:v>
      </x:c>
      <x:c r="F1679" s="73" t="n">
        <x:v>24</x:v>
      </x:c>
      <x:c r="G1679" s="73" t="n">
        <x:v>21</x:v>
      </x:c>
      <x:c r="H1679" s="73" t="n">
        <x:v>3</x:v>
      </x:c>
      <x:c r="I1679" s="73"/>
      <x:c r="J1679" s="73" t="n">
        <x:v>0</x:v>
      </x:c>
      <x:c r="K1679" s="49" t="str">
        <x:v>Un-Aided</x:v>
      </x:c>
      <x:c r="L1679" s="49" t="str">
        <x:v>MS Seats : 21+ EWS : 3</x:v>
      </x:c>
      <x:c r="M1679" s="49" t="str">
        <x:v>https://dse2025.mahacet.org.in/dse25/admin/allotment/cap2/6303_4.pdf</x:v>
      </x:c>
    </x:row>
    <x:row r="1680">
      <x:c r="A1680" s="49" t="str">
        <x:v>2025-26</x:v>
      </x:c>
      <x:c r="B1680" s="63" t="n">
        <x:v>6303</x:v>
      </x:c>
      <x:c r="C1680" s="49" t="str">
        <x:v>Dr. Ashok Gujar Technical Institute's Dr. Daulatrao Aher College of Engineering, Karad</x:v>
      </x:c>
      <x:c r="D1680" s="72" t="n">
        <x:v>630399510</x:v>
      </x:c>
      <x:c r="E1680" s="49" t="str">
        <x:v>Artificial Intelligence and Data Science</x:v>
      </x:c>
      <x:c r="F1680" s="73" t="n">
        <x:v>20</x:v>
      </x:c>
      <x:c r="G1680" s="73" t="n">
        <x:v>17</x:v>
      </x:c>
      <x:c r="H1680" s="73" t="n">
        <x:v>3</x:v>
      </x:c>
      <x:c r="I1680" s="73"/>
      <x:c r="J1680" s="73" t="n">
        <x:v>0</x:v>
      </x:c>
      <x:c r="K1680" s="49" t="str">
        <x:v>Un-Aided</x:v>
      </x:c>
      <x:c r="L1680" s="49" t="str">
        <x:v>MS Seats : 17+ EWS : 3</x:v>
      </x:c>
      <x:c r="M1680" s="49" t="str">
        <x:v>https://dse2025.mahacet.org.in/dse25/admin/allotment/cap2/6303_4.pdf</x:v>
      </x:c>
    </x:row>
    <x:row r="1681">
      <x:c r="A1681" s="49" t="str">
        <x:v>2025-26</x:v>
      </x:c>
      <x:c r="B1681" s="63" t="n">
        <x:v>6304</x:v>
      </x:c>
      <x:c r="C1681" s="49" t="str">
        <x:v>Loknete Hanumantrao Charitable Trust's Adarsh Institute of Technology and Research Centre, Vita,Sangli</x:v>
      </x:c>
      <x:c r="D1681" s="72" t="n">
        <x:v>630419110</x:v>
      </x:c>
      <x:c r="E1681" s="49" t="str">
        <x:v>Civil Engineering</x:v>
      </x:c>
      <x:c r="F1681" s="73" t="n">
        <x:v>20</x:v>
      </x:c>
      <x:c r="G1681" s="73" t="n">
        <x:v>19</x:v>
      </x:c>
      <x:c r="H1681" s="73" t="n">
        <x:v>1</x:v>
      </x:c>
      <x:c r="I1681" s="73"/>
      <x:c r="J1681" s="73" t="n">
        <x:v>0</x:v>
      </x:c>
      <x:c r="K1681" s="49" t="str">
        <x:v>Un-Aided</x:v>
      </x:c>
      <x:c r="L1681" s="49" t="str">
        <x:v>MS Seats : 19+ EWS : 1</x:v>
      </x:c>
      <x:c r="M1681" s="49" t="str">
        <x:v>https://dse2025.mahacet.org.in/dse25/admin/allotment/cap2/6304_4.pdf</x:v>
      </x:c>
    </x:row>
    <x:row r="1682">
      <x:c r="A1682" s="49" t="str">
        <x:v>2025-26</x:v>
      </x:c>
      <x:c r="B1682" s="63" t="n">
        <x:v>6304</x:v>
      </x:c>
      <x:c r="C1682" s="49" t="str">
        <x:v>Loknete Hanumantrao Charitable Trust's Adarsh Institute of Technology and Research Centre, Vita,Sangli</x:v>
      </x:c>
      <x:c r="D1682" s="72" t="n">
        <x:v>630424210</x:v>
      </x:c>
      <x:c r="E1682" s="49" t="str">
        <x:v>Computer Science and Engineering</x:v>
      </x:c>
      <x:c r="F1682" s="73" t="n">
        <x:v>17</x:v>
      </x:c>
      <x:c r="G1682" s="73" t="n">
        <x:v>16</x:v>
      </x:c>
      <x:c r="H1682" s="73" t="n">
        <x:v>1</x:v>
      </x:c>
      <x:c r="I1682" s="73"/>
      <x:c r="J1682" s="73" t="n">
        <x:v>0</x:v>
      </x:c>
      <x:c r="K1682" s="49" t="str">
        <x:v>Un-Aided</x:v>
      </x:c>
      <x:c r="L1682" s="49" t="str">
        <x:v>MS Seats : 16+ EWS : 1</x:v>
      </x:c>
      <x:c r="M1682" s="49" t="str">
        <x:v>https://dse2025.mahacet.org.in/dse25/admin/allotment/cap2/6304_4.pdf</x:v>
      </x:c>
    </x:row>
    <x:row r="1683">
      <x:c r="A1683" s="49" t="str">
        <x:v>2025-26</x:v>
      </x:c>
      <x:c r="B1683" s="63" t="n">
        <x:v>6304</x:v>
      </x:c>
      <x:c r="C1683" s="49" t="str">
        <x:v>Loknete Hanumantrao Charitable Trust's Adarsh Institute of Technology and Research Centre, Vita,Sangli</x:v>
      </x:c>
      <x:c r="D1683" s="72" t="n">
        <x:v>630429310</x:v>
      </x:c>
      <x:c r="E1683" s="49" t="str">
        <x:v>Electrical Engineering</x:v>
      </x:c>
      <x:c r="F1683" s="73" t="n">
        <x:v>24</x:v>
      </x:c>
      <x:c r="G1683" s="73" t="n">
        <x:v>22</x:v>
      </x:c>
      <x:c r="H1683" s="73" t="n">
        <x:v>2</x:v>
      </x:c>
      <x:c r="I1683" s="73"/>
      <x:c r="J1683" s="73" t="n">
        <x:v>0</x:v>
      </x:c>
      <x:c r="K1683" s="49" t="str">
        <x:v>Un-Aided</x:v>
      </x:c>
      <x:c r="L1683" s="49" t="str">
        <x:v>MS Seats : 22+ EWS : 2</x:v>
      </x:c>
      <x:c r="M1683" s="49" t="str">
        <x:v>https://dse2025.mahacet.org.in/dse25/admin/allotment/cap2/6304_4.pdf</x:v>
      </x:c>
    </x:row>
    <x:row r="1684">
      <x:c r="A1684" s="49" t="str">
        <x:v>2025-26</x:v>
      </x:c>
      <x:c r="B1684" s="63" t="n">
        <x:v>6304</x:v>
      </x:c>
      <x:c r="C1684" s="49" t="str">
        <x:v>Loknete Hanumantrao Charitable Trust's Adarsh Institute of Technology and Research Centre, Vita,Sangli</x:v>
      </x:c>
      <x:c r="D1684" s="72" t="n">
        <x:v>630437210</x:v>
      </x:c>
      <x:c r="E1684" s="49" t="str">
        <x:v>Electronics and Telecommunication Engg</x:v>
      </x:c>
      <x:c r="F1684" s="73" t="n">
        <x:v>17</x:v>
      </x:c>
      <x:c r="G1684" s="73" t="n">
        <x:v>17</x:v>
      </x:c>
      <x:c r="H1684" s="73" t="n">
        <x:v>0</x:v>
      </x:c>
      <x:c r="I1684" s="73"/>
      <x:c r="J1684" s="73" t="n">
        <x:v>0</x:v>
      </x:c>
      <x:c r="K1684" s="49" t="str">
        <x:v>Un-Aided</x:v>
      </x:c>
      <x:c r="L1684" s="49" t="str">
        <x:v>MS Seats : 17+ EWS : 0</x:v>
      </x:c>
      <x:c r="M1684" s="49" t="str">
        <x:v>https://dse2025.mahacet.org.in/dse25/admin/allotment/cap2/6304_4.pdf</x:v>
      </x:c>
    </x:row>
    <x:row r="1685">
      <x:c r="A1685" s="49" t="str">
        <x:v>2025-26</x:v>
      </x:c>
      <x:c r="B1685" s="63" t="n">
        <x:v>6304</x:v>
      </x:c>
      <x:c r="C1685" s="49" t="str">
        <x:v>Loknete Hanumantrao Charitable Trust's Adarsh Institute of Technology and Research Centre, Vita,Sangli</x:v>
      </x:c>
      <x:c r="D1685" s="72" t="n">
        <x:v>630461210</x:v>
      </x:c>
      <x:c r="E1685" s="49" t="str">
        <x:v>Mechanical Engineering</x:v>
      </x:c>
      <x:c r="F1685" s="73" t="n">
        <x:v>23</x:v>
      </x:c>
      <x:c r="G1685" s="73" t="n">
        <x:v>23</x:v>
      </x:c>
      <x:c r="H1685" s="73" t="n">
        <x:v>0</x:v>
      </x:c>
      <x:c r="I1685" s="73"/>
      <x:c r="J1685" s="73" t="n">
        <x:v>0</x:v>
      </x:c>
      <x:c r="K1685" s="49" t="str">
        <x:v>Un-Aided</x:v>
      </x:c>
      <x:c r="L1685" s="49" t="str">
        <x:v>MS Seats : 23+ EWS : 0</x:v>
      </x:c>
      <x:c r="M1685" s="49" t="str">
        <x:v>https://dse2025.mahacet.org.in/dse25/admin/allotment/cap2/6304_4.pdf</x:v>
      </x:c>
    </x:row>
    <x:row r="1686">
      <x:c r="A1686" s="49" t="str">
        <x:v>2025-26</x:v>
      </x:c>
      <x:c r="B1686" s="63" t="n">
        <x:v>6304</x:v>
      </x:c>
      <x:c r="C1686" s="49" t="str">
        <x:v>Loknete Hanumantrao Charitable Trust's Adarsh Institute of Technology and Research Centre, Vita,Sangli</x:v>
      </x:c>
      <x:c r="D1686" s="72" t="n">
        <x:v>630492110</x:v>
      </x:c>
      <x:c r="E1686" s="49" t="str">
        <x:v>Artificial Intelligence and Machine Learning</x:v>
      </x:c>
      <x:c r="F1686" s="73" t="n">
        <x:v>18</x:v>
      </x:c>
      <x:c r="G1686" s="73" t="n">
        <x:v>17</x:v>
      </x:c>
      <x:c r="H1686" s="73" t="n">
        <x:v>1</x:v>
      </x:c>
      <x:c r="I1686" s="73"/>
      <x:c r="J1686" s="73" t="n">
        <x:v>0</x:v>
      </x:c>
      <x:c r="K1686" s="49" t="str">
        <x:v>Un-Aided</x:v>
      </x:c>
      <x:c r="L1686" s="49" t="str">
        <x:v>MS Seats : 17+ EWS : 1</x:v>
      </x:c>
      <x:c r="M1686" s="49" t="str">
        <x:v>https://dse2025.mahacet.org.in/dse25/admin/allotment/cap2/6304_4.pdf</x:v>
      </x:c>
    </x:row>
    <x:row r="1687">
      <x:c r="A1687" s="49" t="str">
        <x:v>2025-26</x:v>
      </x:c>
      <x:c r="B1687" s="63" t="n">
        <x:v>6304</x:v>
      </x:c>
      <x:c r="C1687" s="49" t="str">
        <x:v>Loknete Hanumantrao Charitable Trust's Adarsh Institute of Technology and Research Centre, Vita,Sangli</x:v>
      </x:c>
      <x:c r="D1687" s="72" t="n">
        <x:v>630492610</x:v>
      </x:c>
      <x:c r="E1687" s="49" t="str">
        <x:v>Electrical and Computer Engineering</x:v>
      </x:c>
      <x:c r="F1687" s="73" t="n">
        <x:v>28</x:v>
      </x:c>
      <x:c r="G1687" s="73" t="n">
        <x:v>25</x:v>
      </x:c>
      <x:c r="H1687" s="73" t="n">
        <x:v>3</x:v>
      </x:c>
      <x:c r="I1687" s="73"/>
      <x:c r="J1687" s="73" t="n">
        <x:v>0</x:v>
      </x:c>
      <x:c r="K1687" s="49" t="str">
        <x:v>Un-Aided</x:v>
      </x:c>
      <x:c r="L1687" s="49" t="str">
        <x:v>MS Seats : 25+ EWS : 3</x:v>
      </x:c>
      <x:c r="M1687" s="49" t="str">
        <x:v>https://dse2025.mahacet.org.in/dse25/admin/allotment/cap2/6304_4.pdf</x:v>
      </x:c>
    </x:row>
    <x:row r="1688">
      <x:c r="A1688" s="49" t="str">
        <x:v>2025-26</x:v>
      </x:c>
      <x:c r="B1688" s="63" t="n">
        <x:v>6305</x:v>
      </x:c>
      <x:c r="C1688" s="49" t="str">
        <x:v>Late Narayandas Bhawandas Chhabada Institute of Engineering &amp; Technology, Satara</x:v>
      </x:c>
      <x:c r="D1688" s="72" t="n">
        <x:v>630519110</x:v>
      </x:c>
      <x:c r="E1688" s="49" t="str">
        <x:v>Civil Engineering</x:v>
      </x:c>
      <x:c r="F1688" s="73" t="n">
        <x:v>21</x:v>
      </x:c>
      <x:c r="G1688" s="73" t="n">
        <x:v>19</x:v>
      </x:c>
      <x:c r="H1688" s="73" t="n">
        <x:v>2</x:v>
      </x:c>
      <x:c r="I1688" s="73"/>
      <x:c r="J1688" s="73" t="n">
        <x:v>0</x:v>
      </x:c>
      <x:c r="K1688" s="49" t="str">
        <x:v>Un-Aided</x:v>
      </x:c>
      <x:c r="L1688" s="49" t="str">
        <x:v>MS Seats : 19+ EWS : 2</x:v>
      </x:c>
      <x:c r="M1688" s="49" t="str">
        <x:v>https://dse2025.mahacet.org.in/dse25/admin/allotment/cap2/6305_4.pdf</x:v>
      </x:c>
    </x:row>
    <x:row r="1689">
      <x:c r="A1689" s="49" t="str">
        <x:v>2025-26</x:v>
      </x:c>
      <x:c r="B1689" s="63" t="n">
        <x:v>6305</x:v>
      </x:c>
      <x:c r="C1689" s="49" t="str">
        <x:v>Late Narayandas Bhawandas Chhabada Institute of Engineering &amp; Technology, Satara</x:v>
      </x:c>
      <x:c r="D1689" s="72" t="n">
        <x:v>630524210</x:v>
      </x:c>
      <x:c r="E1689" s="49" t="str">
        <x:v>Computer Science and Engineering</x:v>
      </x:c>
      <x:c r="F1689" s="73" t="n">
        <x:v>71</x:v>
      </x:c>
      <x:c r="G1689" s="73" t="n">
        <x:v>64</x:v>
      </x:c>
      <x:c r="H1689" s="73" t="n">
        <x:v>7</x:v>
      </x:c>
      <x:c r="I1689" s="73"/>
      <x:c r="J1689" s="73" t="n">
        <x:v>0</x:v>
      </x:c>
      <x:c r="K1689" s="49" t="str">
        <x:v>Un-Aided</x:v>
      </x:c>
      <x:c r="L1689" s="49" t="str">
        <x:v>MS Seats : 64+ EWS : 7</x:v>
      </x:c>
      <x:c r="M1689" s="49" t="str">
        <x:v>https://dse2025.mahacet.org.in/dse25/admin/allotment/cap2/6305_4.pdf</x:v>
      </x:c>
    </x:row>
    <x:row r="1690">
      <x:c r="A1690" s="49" t="str">
        <x:v>2025-26</x:v>
      </x:c>
      <x:c r="B1690" s="63" t="n">
        <x:v>6305</x:v>
      </x:c>
      <x:c r="C1690" s="49" t="str">
        <x:v>Late Narayandas Bhawandas Chhabada Institute of Engineering &amp; Technology, Satara</x:v>
      </x:c>
      <x:c r="D1690" s="72" t="n">
        <x:v>630524610</x:v>
      </x:c>
      <x:c r="E1690" s="49" t="str">
        <x:v>Information Technology</x:v>
      </x:c>
      <x:c r="F1690" s="73" t="n">
        <x:v>73</x:v>
      </x:c>
      <x:c r="G1690" s="73" t="n">
        <x:v>66</x:v>
      </x:c>
      <x:c r="H1690" s="73" t="n">
        <x:v>7</x:v>
      </x:c>
      <x:c r="I1690" s="73"/>
      <x:c r="J1690" s="73" t="n">
        <x:v>0</x:v>
      </x:c>
      <x:c r="K1690" s="49" t="str">
        <x:v>Un-Aided</x:v>
      </x:c>
      <x:c r="L1690" s="49" t="str">
        <x:v>MS Seats : 66+ EWS : 7</x:v>
      </x:c>
      <x:c r="M1690" s="49" t="str">
        <x:v>https://dse2025.mahacet.org.in/dse25/admin/allotment/cap2/6305_4.pdf</x:v>
      </x:c>
    </x:row>
    <x:row r="1691">
      <x:c r="A1691" s="49" t="str">
        <x:v>2025-26</x:v>
      </x:c>
      <x:c r="B1691" s="63" t="n">
        <x:v>6305</x:v>
      </x:c>
      <x:c r="C1691" s="49" t="str">
        <x:v>Late Narayandas Bhawandas Chhabada Institute of Engineering &amp; Technology, Satara</x:v>
      </x:c>
      <x:c r="D1691" s="72" t="n">
        <x:v>630537210</x:v>
      </x:c>
      <x:c r="E1691" s="49" t="str">
        <x:v>Electronics and Telecommunication Engg</x:v>
      </x:c>
      <x:c r="F1691" s="73" t="n">
        <x:v>44</x:v>
      </x:c>
      <x:c r="G1691" s="73" t="n">
        <x:v>39</x:v>
      </x:c>
      <x:c r="H1691" s="73" t="n">
        <x:v>5</x:v>
      </x:c>
      <x:c r="I1691" s="73"/>
      <x:c r="J1691" s="73" t="n">
        <x:v>0</x:v>
      </x:c>
      <x:c r="K1691" s="49" t="str">
        <x:v>Un-Aided</x:v>
      </x:c>
      <x:c r="L1691" s="49" t="str">
        <x:v>MS Seats : 39+ EWS : 5</x:v>
      </x:c>
      <x:c r="M1691" s="49" t="str">
        <x:v>https://dse2025.mahacet.org.in/dse25/admin/allotment/cap2/6305_4.pdf</x:v>
      </x:c>
    </x:row>
    <x:row r="1692">
      <x:c r="A1692" s="49" t="str">
        <x:v>2025-26</x:v>
      </x:c>
      <x:c r="B1692" s="63" t="n">
        <x:v>6305</x:v>
      </x:c>
      <x:c r="C1692" s="49" t="str">
        <x:v>Late Narayandas Bhawandas Chhabada Institute of Engineering &amp; Technology, Satara</x:v>
      </x:c>
      <x:c r="D1692" s="72" t="n">
        <x:v>630561210</x:v>
      </x:c>
      <x:c r="E1692" s="49" t="str">
        <x:v>Mechanical Engineering</x:v>
      </x:c>
      <x:c r="F1692" s="73" t="n">
        <x:v>44</x:v>
      </x:c>
      <x:c r="G1692" s="73" t="n">
        <x:v>39</x:v>
      </x:c>
      <x:c r="H1692" s="73" t="n">
        <x:v>5</x:v>
      </x:c>
      <x:c r="I1692" s="73"/>
      <x:c r="J1692" s="73" t="n">
        <x:v>0</x:v>
      </x:c>
      <x:c r="K1692" s="49" t="str">
        <x:v>Un-Aided</x:v>
      </x:c>
      <x:c r="L1692" s="49" t="str">
        <x:v>MS Seats : 39+ EWS : 5</x:v>
      </x:c>
      <x:c r="M1692" s="49" t="str">
        <x:v>https://dse2025.mahacet.org.in/dse25/admin/allotment/cap2/6305_4.pdf</x:v>
      </x:c>
    </x:row>
    <x:row r="1693">
      <x:c r="A1693" s="49" t="str">
        <x:v>2025-26</x:v>
      </x:c>
      <x:c r="B1693" s="63" t="n">
        <x:v>6307</x:v>
      </x:c>
      <x:c r="C1693" s="49" t="str">
        <x:v>Dhole Patil Education Society, Dhole Patil College of Engineering, Wagholi, Tal. Haveli</x:v>
      </x:c>
      <x:c r="D1693" s="72" t="n">
        <x:v>630724510</x:v>
      </x:c>
      <x:c r="E1693" s="49" t="str">
        <x:v>Computer Engineering</x:v>
      </x:c>
      <x:c r="F1693" s="73" t="n">
        <x:v>17</x:v>
      </x:c>
      <x:c r="G1693" s="73" t="n">
        <x:v>13</x:v>
      </x:c>
      <x:c r="H1693" s="73" t="n">
        <x:v>4</x:v>
      </x:c>
      <x:c r="I1693" s="73"/>
      <x:c r="J1693" s="73" t="n">
        <x:v>0</x:v>
      </x:c>
      <x:c r="K1693" s="49" t="str">
        <x:v>Un-Aided</x:v>
      </x:c>
      <x:c r="L1693" s="49" t="str">
        <x:v>MS Seats : 13+ EWS : 4</x:v>
      </x:c>
      <x:c r="M1693" s="49" t="str">
        <x:v>https://dse2025.mahacet.org.in/dse25/admin/allotment/cap2/6307_4.pdf</x:v>
      </x:c>
    </x:row>
    <x:row r="1694">
      <x:c r="A1694" s="49" t="str">
        <x:v>2025-26</x:v>
      </x:c>
      <x:c r="B1694" s="63" t="n">
        <x:v>6307</x:v>
      </x:c>
      <x:c r="C1694" s="49" t="str">
        <x:v>Dhole Patil Education Society, Dhole Patil College of Engineering, Wagholi, Tal. Haveli</x:v>
      </x:c>
      <x:c r="D1694" s="72" t="n">
        <x:v>630724610</x:v>
      </x:c>
      <x:c r="E1694" s="49" t="str">
        <x:v>Information Technology</x:v>
      </x:c>
      <x:c r="F1694" s="73" t="n">
        <x:v>10</x:v>
      </x:c>
      <x:c r="G1694" s="73" t="n">
        <x:v>6</x:v>
      </x:c>
      <x:c r="H1694" s="73" t="n">
        <x:v>4</x:v>
      </x:c>
      <x:c r="I1694" s="73"/>
      <x:c r="J1694" s="73" t="n">
        <x:v>0</x:v>
      </x:c>
      <x:c r="K1694" s="49" t="str">
        <x:v>Un-Aided</x:v>
      </x:c>
      <x:c r="L1694" s="49" t="str">
        <x:v>MS Seats : 6+ EWS : 4</x:v>
      </x:c>
      <x:c r="M1694" s="49" t="str">
        <x:v>https://dse2025.mahacet.org.in/dse25/admin/allotment/cap2/6307_4.pdf</x:v>
      </x:c>
    </x:row>
    <x:row r="1695">
      <x:c r="A1695" s="49" t="str">
        <x:v>2025-26</x:v>
      </x:c>
      <x:c r="B1695" s="63" t="n">
        <x:v>6307</x:v>
      </x:c>
      <x:c r="C1695" s="49" t="str">
        <x:v>Dhole Patil Education Society, Dhole Patil College of Engineering, Wagholi, Tal. Haveli</x:v>
      </x:c>
      <x:c r="D1695" s="72" t="n">
        <x:v>630737210</x:v>
      </x:c>
      <x:c r="E1695" s="49" t="str">
        <x:v>Electronics and Telecommunication Engg</x:v>
      </x:c>
      <x:c r="F1695" s="73" t="n">
        <x:v>12</x:v>
      </x:c>
      <x:c r="G1695" s="73" t="n">
        <x:v>9</x:v>
      </x:c>
      <x:c r="H1695" s="73" t="n">
        <x:v>3</x:v>
      </x:c>
      <x:c r="I1695" s="73"/>
      <x:c r="J1695" s="73" t="n">
        <x:v>0</x:v>
      </x:c>
      <x:c r="K1695" s="49" t="str">
        <x:v>Un-Aided</x:v>
      </x:c>
      <x:c r="L1695" s="49" t="str">
        <x:v>MS Seats : 9+ EWS : 3</x:v>
      </x:c>
      <x:c r="M1695" s="49" t="str">
        <x:v>https://dse2025.mahacet.org.in/dse25/admin/allotment/cap2/6307_4.pdf</x:v>
      </x:c>
    </x:row>
    <x:row r="1696">
      <x:c r="A1696" s="49" t="str">
        <x:v>2025-26</x:v>
      </x:c>
      <x:c r="B1696" s="63" t="n">
        <x:v>6307</x:v>
      </x:c>
      <x:c r="C1696" s="49" t="str">
        <x:v>Dhole Patil Education Society, Dhole Patil College of Engineering, Wagholi, Tal. Haveli</x:v>
      </x:c>
      <x:c r="D1696" s="72" t="n">
        <x:v>630760210</x:v>
      </x:c>
      <x:c r="E1696" s="49" t="str">
        <x:v>Automobile Engineering</x:v>
      </x:c>
      <x:c r="F1696" s="73" t="n">
        <x:v>30</x:v>
      </x:c>
      <x:c r="G1696" s="73" t="n">
        <x:v>24</x:v>
      </x:c>
      <x:c r="H1696" s="73" t="n">
        <x:v>6</x:v>
      </x:c>
      <x:c r="I1696" s="73"/>
      <x:c r="J1696" s="73" t="n">
        <x:v>0</x:v>
      </x:c>
      <x:c r="K1696" s="49" t="str">
        <x:v>Un-Aided</x:v>
      </x:c>
      <x:c r="L1696" s="49" t="str">
        <x:v>MS Seats : 24+ EWS : 6</x:v>
      </x:c>
      <x:c r="M1696" s="49" t="str">
        <x:v>https://dse2025.mahacet.org.in/dse25/admin/allotment/cap2/6307_4.pdf</x:v>
      </x:c>
    </x:row>
    <x:row r="1697">
      <x:c r="A1697" s="49" t="str">
        <x:v>2025-26</x:v>
      </x:c>
      <x:c r="B1697" s="63" t="n">
        <x:v>6308</x:v>
      </x:c>
      <x:c r="C1697" s="49" t="str">
        <x:v>Shanti Education Society, A.G. Patil Institute of Technology, Soregaon, Solapur(North)</x:v>
      </x:c>
      <x:c r="D1697" s="72" t="n">
        <x:v>630819110</x:v>
      </x:c>
      <x:c r="E1697" s="49" t="str">
        <x:v>Civil Engineering</x:v>
      </x:c>
      <x:c r="F1697" s="73" t="n">
        <x:v>50</x:v>
      </x:c>
      <x:c r="G1697" s="73" t="n">
        <x:v>46</x:v>
      </x:c>
      <x:c r="H1697" s="73" t="n">
        <x:v>4</x:v>
      </x:c>
      <x:c r="I1697" s="73"/>
      <x:c r="J1697" s="73" t="n">
        <x:v>0</x:v>
      </x:c>
      <x:c r="K1697" s="49" t="str">
        <x:v>Un-Aided</x:v>
      </x:c>
      <x:c r="L1697" s="49" t="str">
        <x:v>MS Seats : 46+ EWS : 4</x:v>
      </x:c>
      <x:c r="M1697" s="49" t="str">
        <x:v>https://dse2025.mahacet.org.in/dse25/admin/allotment/cap2/6308_4.pdf</x:v>
      </x:c>
    </x:row>
    <x:row r="1698">
      <x:c r="A1698" s="49" t="str">
        <x:v>2025-26</x:v>
      </x:c>
      <x:c r="B1698" s="63" t="n">
        <x:v>6308</x:v>
      </x:c>
      <x:c r="C1698" s="49" t="str">
        <x:v>Shanti Education Society, A.G. Patil Institute of Technology, Soregaon, Solapur(North)</x:v>
      </x:c>
      <x:c r="D1698" s="72" t="n">
        <x:v>630824510</x:v>
      </x:c>
      <x:c r="E1698" s="49" t="str">
        <x:v>Computer Engineering</x:v>
      </x:c>
      <x:c r="F1698" s="73" t="n">
        <x:v>14</x:v>
      </x:c>
      <x:c r="G1698" s="73" t="n">
        <x:v>13</x:v>
      </x:c>
      <x:c r="H1698" s="73" t="n">
        <x:v>1</x:v>
      </x:c>
      <x:c r="I1698" s="73"/>
      <x:c r="J1698" s="73" t="n">
        <x:v>0</x:v>
      </x:c>
      <x:c r="K1698" s="49" t="str">
        <x:v>Un-Aided</x:v>
      </x:c>
      <x:c r="L1698" s="49" t="str">
        <x:v>MS Seats : 13+ EWS : 1</x:v>
      </x:c>
      <x:c r="M1698" s="49" t="str">
        <x:v>https://dse2025.mahacet.org.in/dse25/admin/allotment/cap2/6308_4.pdf</x:v>
      </x:c>
    </x:row>
    <x:row r="1699">
      <x:c r="A1699" s="49" t="str">
        <x:v>2025-26</x:v>
      </x:c>
      <x:c r="B1699" s="63" t="n">
        <x:v>6308</x:v>
      </x:c>
      <x:c r="C1699" s="49" t="str">
        <x:v>Shanti Education Society, A.G. Patil Institute of Technology, Soregaon, Solapur(North)</x:v>
      </x:c>
      <x:c r="D1699" s="72" t="n">
        <x:v>630837210</x:v>
      </x:c>
      <x:c r="E1699" s="49" t="str">
        <x:v>Electronics and Telecommunication Engg</x:v>
      </x:c>
      <x:c r="F1699" s="73" t="n">
        <x:v>17</x:v>
      </x:c>
      <x:c r="G1699" s="73" t="n">
        <x:v>15</x:v>
      </x:c>
      <x:c r="H1699" s="73" t="n">
        <x:v>2</x:v>
      </x:c>
      <x:c r="I1699" s="73"/>
      <x:c r="J1699" s="73" t="n">
        <x:v>0</x:v>
      </x:c>
      <x:c r="K1699" s="49" t="str">
        <x:v>Un-Aided</x:v>
      </x:c>
      <x:c r="L1699" s="49" t="str">
        <x:v>MS Seats : 15+ EWS : 2</x:v>
      </x:c>
      <x:c r="M1699" s="49" t="str">
        <x:v>https://dse2025.mahacet.org.in/dse25/admin/allotment/cap2/6308_4.pdf</x:v>
      </x:c>
    </x:row>
    <x:row r="1700">
      <x:c r="A1700" s="49" t="str">
        <x:v>2025-26</x:v>
      </x:c>
      <x:c r="B1700" s="63" t="n">
        <x:v>6308</x:v>
      </x:c>
      <x:c r="C1700" s="49" t="str">
        <x:v>Shanti Education Society, A.G. Patil Institute of Technology, Soregaon, Solapur(North)</x:v>
      </x:c>
      <x:c r="D1700" s="72" t="n">
        <x:v>630861210</x:v>
      </x:c>
      <x:c r="E1700" s="49" t="str">
        <x:v>Mechanical Engineering</x:v>
      </x:c>
      <x:c r="F1700" s="73" t="n">
        <x:v>45</x:v>
      </x:c>
      <x:c r="G1700" s="73" t="n">
        <x:v>39</x:v>
      </x:c>
      <x:c r="H1700" s="73" t="n">
        <x:v>6</x:v>
      </x:c>
      <x:c r="I1700" s="73"/>
      <x:c r="J1700" s="73" t="n">
        <x:v>0</x:v>
      </x:c>
      <x:c r="K1700" s="49" t="str">
        <x:v>Un-Aided</x:v>
      </x:c>
      <x:c r="L1700" s="49" t="str">
        <x:v>MS Seats : 39+ EWS : 6</x:v>
      </x:c>
      <x:c r="M1700" s="49" t="str">
        <x:v>https://dse2025.mahacet.org.in/dse25/admin/allotment/cap2/6308_4.pdf</x:v>
      </x:c>
    </x:row>
    <x:row r="1701">
      <x:c r="A1701" s="49" t="str">
        <x:v>2025-26</x:v>
      </x:c>
      <x:c r="B1701" s="63" t="n">
        <x:v>6310</x:v>
      </x:c>
      <x:c r="C1701" s="49" t="str">
        <x:v>Nutan Maharashtra Vidya Prasarak Mandal, Nutan Maharashtra Institute of Engineering &amp;Technology, Talegaon station, Pune</x:v>
      </x:c>
      <x:c r="D1701" s="72" t="n">
        <x:v>631024210</x:v>
      </x:c>
      <x:c r="E1701" s="49" t="str">
        <x:v>Computer Science and Engineering</x:v>
      </x:c>
      <x:c r="F1701" s="73" t="n">
        <x:v>24</x:v>
      </x:c>
      <x:c r="G1701" s="73" t="n">
        <x:v>22</x:v>
      </x:c>
      <x:c r="H1701" s="73" t="n">
        <x:v>2</x:v>
      </x:c>
      <x:c r="I1701" s="73"/>
      <x:c r="J1701" s="73" t="n">
        <x:v>0</x:v>
      </x:c>
      <x:c r="K1701" s="49" t="str">
        <x:v>Un-Aided</x:v>
      </x:c>
      <x:c r="L1701" s="49" t="str">
        <x:v>MS Seats : 22+ EWS : 2</x:v>
      </x:c>
      <x:c r="M1701" s="49" t="str">
        <x:v>https://dse2025.mahacet.org.in/dse25/admin/allotment/cap2/6310_4.pdf</x:v>
      </x:c>
    </x:row>
    <x:row r="1702">
      <x:c r="A1702" s="49" t="str">
        <x:v>2025-26</x:v>
      </x:c>
      <x:c r="B1702" s="63" t="n">
        <x:v>6310</x:v>
      </x:c>
      <x:c r="C1702" s="49" t="str">
        <x:v>Nutan Maharashtra Vidya Prasarak Mandal, Nutan Maharashtra Institute of Engineering &amp;Technology, Talegaon station, Pune</x:v>
      </x:c>
      <x:c r="D1702" s="72" t="n">
        <x:v>631024510</x:v>
      </x:c>
      <x:c r="E1702" s="49" t="str">
        <x:v>Computer Engineering</x:v>
      </x:c>
      <x:c r="F1702" s="73" t="n">
        <x:v>33</x:v>
      </x:c>
      <x:c r="G1702" s="73" t="n">
        <x:v>28</x:v>
      </x:c>
      <x:c r="H1702" s="73" t="n">
        <x:v>5</x:v>
      </x:c>
      <x:c r="I1702" s="73"/>
      <x:c r="J1702" s="73" t="n">
        <x:v>0</x:v>
      </x:c>
      <x:c r="K1702" s="49" t="str">
        <x:v>Un-Aided</x:v>
      </x:c>
      <x:c r="L1702" s="49" t="str">
        <x:v>MS Seats : 28+ EWS : 5</x:v>
      </x:c>
      <x:c r="M1702" s="49" t="str">
        <x:v>https://dse2025.mahacet.org.in/dse25/admin/allotment/cap2/6310_4.pdf</x:v>
      </x:c>
    </x:row>
    <x:row r="1703">
      <x:c r="A1703" s="49" t="str">
        <x:v>2025-26</x:v>
      </x:c>
      <x:c r="B1703" s="63" t="n">
        <x:v>6310</x:v>
      </x:c>
      <x:c r="C1703" s="49" t="str">
        <x:v>Nutan Maharashtra Vidya Prasarak Mandal, Nutan Maharashtra Institute of Engineering &amp;Technology, Talegaon station, Pune</x:v>
      </x:c>
      <x:c r="D1703" s="72" t="n">
        <x:v>631024610</x:v>
      </x:c>
      <x:c r="E1703" s="49" t="str">
        <x:v>Information Technology</x:v>
      </x:c>
      <x:c r="F1703" s="73" t="n">
        <x:v>19</x:v>
      </x:c>
      <x:c r="G1703" s="73" t="n">
        <x:v>14</x:v>
      </x:c>
      <x:c r="H1703" s="73" t="n">
        <x:v>5</x:v>
      </x:c>
      <x:c r="I1703" s="73"/>
      <x:c r="J1703" s="73" t="n">
        <x:v>0</x:v>
      </x:c>
      <x:c r="K1703" s="49" t="str">
        <x:v>Un-Aided</x:v>
      </x:c>
      <x:c r="L1703" s="49" t="str">
        <x:v>MS Seats : 14+ EWS : 5</x:v>
      </x:c>
      <x:c r="M1703" s="49" t="str">
        <x:v>https://dse2025.mahacet.org.in/dse25/admin/allotment/cap2/6310_4.pdf</x:v>
      </x:c>
    </x:row>
    <x:row r="1704">
      <x:c r="A1704" s="49" t="str">
        <x:v>2025-26</x:v>
      </x:c>
      <x:c r="B1704" s="63" t="n">
        <x:v>6310</x:v>
      </x:c>
      <x:c r="C1704" s="49" t="str">
        <x:v>Nutan Maharashtra Vidya Prasarak Mandal, Nutan Maharashtra Institute of Engineering &amp;Technology, Talegaon station, Pune</x:v>
      </x:c>
      <x:c r="D1704" s="72" t="n">
        <x:v>631037210</x:v>
      </x:c>
      <x:c r="E1704" s="49" t="str">
        <x:v>Electronics and Telecommunication Engg</x:v>
      </x:c>
      <x:c r="F1704" s="73" t="n">
        <x:v>21</x:v>
      </x:c>
      <x:c r="G1704" s="73" t="n">
        <x:v>19</x:v>
      </x:c>
      <x:c r="H1704" s="73" t="n">
        <x:v>2</x:v>
      </x:c>
      <x:c r="I1704" s="73"/>
      <x:c r="J1704" s="73" t="n">
        <x:v>0</x:v>
      </x:c>
      <x:c r="K1704" s="49" t="str">
        <x:v>Un-Aided</x:v>
      </x:c>
      <x:c r="L1704" s="49" t="str">
        <x:v>MS Seats : 19+ EWS : 2</x:v>
      </x:c>
      <x:c r="M1704" s="49" t="str">
        <x:v>https://dse2025.mahacet.org.in/dse25/admin/allotment/cap2/6310_4.pdf</x:v>
      </x:c>
    </x:row>
    <x:row r="1705">
      <x:c r="A1705" s="49" t="str">
        <x:v>2025-26</x:v>
      </x:c>
      <x:c r="B1705" s="63" t="n">
        <x:v>6310</x:v>
      </x:c>
      <x:c r="C1705" s="49" t="str">
        <x:v>Nutan Maharashtra Vidya Prasarak Mandal, Nutan Maharashtra Institute of Engineering &amp;Technology, Talegaon station, Pune</x:v>
      </x:c>
      <x:c r="D1705" s="72" t="n">
        <x:v>631061210</x:v>
      </x:c>
      <x:c r="E1705" s="49" t="str">
        <x:v>Mechanical Engineering</x:v>
      </x:c>
      <x:c r="F1705" s="73" t="n">
        <x:v>40</x:v>
      </x:c>
      <x:c r="G1705" s="73" t="n">
        <x:v>29</x:v>
      </x:c>
      <x:c r="H1705" s="73" t="n">
        <x:v>11</x:v>
      </x:c>
      <x:c r="I1705" s="73"/>
      <x:c r="J1705" s="73" t="n">
        <x:v>0</x:v>
      </x:c>
      <x:c r="K1705" s="49" t="str">
        <x:v>Un-Aided</x:v>
      </x:c>
      <x:c r="L1705" s="49" t="str">
        <x:v>MS Seats : 29+ EWS : 11</x:v>
      </x:c>
      <x:c r="M1705" s="49" t="str">
        <x:v>https://dse2025.mahacet.org.in/dse25/admin/allotment/cap2/6310_4.pdf</x:v>
      </x:c>
    </x:row>
    <x:row r="1706">
      <x:c r="A1706" s="49" t="str">
        <x:v>2025-26</x:v>
      </x:c>
      <x:c r="B1706" s="63" t="n">
        <x:v>6310</x:v>
      </x:c>
      <x:c r="C1706" s="49" t="str">
        <x:v>Nutan Maharashtra Vidya Prasarak Mandal, Nutan Maharashtra Institute of Engineering &amp;Technology, Talegaon station, Pune</x:v>
      </x:c>
      <x:c r="D1706" s="72" t="n">
        <x:v>631091310</x:v>
      </x:c>
      <x:c r="E1706" s="49" t="str">
        <x:v>Computer Science and Engineering (Artificial Intelligence)</x:v>
      </x:c>
      <x:c r="F1706" s="73" t="n">
        <x:v>8</x:v>
      </x:c>
      <x:c r="G1706" s="73" t="n">
        <x:v>7</x:v>
      </x:c>
      <x:c r="H1706" s="73" t="n">
        <x:v>1</x:v>
      </x:c>
      <x:c r="I1706" s="73"/>
      <x:c r="J1706" s="73" t="n">
        <x:v>0</x:v>
      </x:c>
      <x:c r="K1706" s="49" t="str">
        <x:v>Un-Aided</x:v>
      </x:c>
      <x:c r="L1706" s="49" t="str">
        <x:v>MS Seats : 7+ EWS : 1</x:v>
      </x:c>
      <x:c r="M1706" s="49" t="str">
        <x:v>https://dse2025.mahacet.org.in/dse25/admin/allotment/cap2/6310_4.pdf</x:v>
      </x:c>
    </x:row>
    <x:row r="1707">
      <x:c r="A1707" s="49" t="str">
        <x:v>2025-26</x:v>
      </x:c>
      <x:c r="B1707" s="63" t="n">
        <x:v>6310</x:v>
      </x:c>
      <x:c r="C1707" s="49" t="str">
        <x:v>Nutan Maharashtra Vidya Prasarak Mandal, Nutan Maharashtra Institute of Engineering &amp;Technology, Talegaon station, Pune</x:v>
      </x:c>
      <x:c r="D1707" s="72" t="n">
        <x:v>631099510</x:v>
      </x:c>
      <x:c r="E1707" s="49" t="str">
        <x:v>Artificial Intelligence and Data Science</x:v>
      </x:c>
      <x:c r="F1707" s="73" t="n">
        <x:v>17</x:v>
      </x:c>
      <x:c r="G1707" s="73" t="n">
        <x:v>13</x:v>
      </x:c>
      <x:c r="H1707" s="73" t="n">
        <x:v>4</x:v>
      </x:c>
      <x:c r="I1707" s="73"/>
      <x:c r="J1707" s="73" t="n">
        <x:v>0</x:v>
      </x:c>
      <x:c r="K1707" s="49" t="str">
        <x:v>Un-Aided</x:v>
      </x:c>
      <x:c r="L1707" s="49" t="str">
        <x:v>MS Seats : 13+ EWS : 4</x:v>
      </x:c>
      <x:c r="M1707" s="49" t="str">
        <x:v>https://dse2025.mahacet.org.in/dse25/admin/allotment/cap2/6310_4.pdf</x:v>
      </x:c>
    </x:row>
    <x:row r="1708">
      <x:c r="A1708" s="49" t="str">
        <x:v>2025-26</x:v>
      </x:c>
      <x:c r="B1708" s="63" t="n">
        <x:v>6311</x:v>
      </x:c>
      <x:c r="C1708" s="49" t="str">
        <x:v>Jayawant Shikshan Prasarak Mandal, Bhivarabai Sawant Institute of Technology &amp; Research, Wagholi</x:v>
      </x:c>
      <x:c r="D1708" s="72" t="n">
        <x:v>631124510</x:v>
      </x:c>
      <x:c r="E1708" s="49" t="str">
        <x:v>Computer Engineering</x:v>
      </x:c>
      <x:c r="F1708" s="73" t="n">
        <x:v>32</x:v>
      </x:c>
      <x:c r="G1708" s="73" t="n">
        <x:v>26</x:v>
      </x:c>
      <x:c r="H1708" s="73" t="n">
        <x:v>6</x:v>
      </x:c>
      <x:c r="I1708" s="73"/>
      <x:c r="J1708" s="73" t="n">
        <x:v>0</x:v>
      </x:c>
      <x:c r="K1708" s="49" t="str">
        <x:v>Un-Aided</x:v>
      </x:c>
      <x:c r="L1708" s="49" t="str">
        <x:v>MS Seats : 26+ EWS : 6</x:v>
      </x:c>
      <x:c r="M1708" s="49" t="str">
        <x:v>https://dse2025.mahacet.org.in/dse25/admin/allotment/cap2/6311_4.pdf</x:v>
      </x:c>
    </x:row>
    <x:row r="1709">
      <x:c r="A1709" s="49" t="str">
        <x:v>2025-26</x:v>
      </x:c>
      <x:c r="B1709" s="63" t="n">
        <x:v>6311</x:v>
      </x:c>
      <x:c r="C1709" s="49" t="str">
        <x:v>Jayawant Shikshan Prasarak Mandal, Bhivarabai Sawant Institute of Technology &amp; Research, Wagholi</x:v>
      </x:c>
      <x:c r="D1709" s="72" t="n">
        <x:v>631124610</x:v>
      </x:c>
      <x:c r="E1709" s="49" t="str">
        <x:v>Information Technology</x:v>
      </x:c>
      <x:c r="F1709" s="73" t="n">
        <x:v>21</x:v>
      </x:c>
      <x:c r="G1709" s="73" t="n">
        <x:v>13</x:v>
      </x:c>
      <x:c r="H1709" s="73" t="n">
        <x:v>8</x:v>
      </x:c>
      <x:c r="I1709" s="73"/>
      <x:c r="J1709" s="73" t="n">
        <x:v>0</x:v>
      </x:c>
      <x:c r="K1709" s="49" t="str">
        <x:v>Un-Aided</x:v>
      </x:c>
      <x:c r="L1709" s="49" t="str">
        <x:v>MS Seats : 13+ EWS : 8</x:v>
      </x:c>
      <x:c r="M1709" s="49" t="str">
        <x:v>https://dse2025.mahacet.org.in/dse25/admin/allotment/cap2/6311_4.pdf</x:v>
      </x:c>
    </x:row>
    <x:row r="1710">
      <x:c r="A1710" s="49" t="str">
        <x:v>2025-26</x:v>
      </x:c>
      <x:c r="B1710" s="63" t="n">
        <x:v>6311</x:v>
      </x:c>
      <x:c r="C1710" s="49" t="str">
        <x:v>Jayawant Shikshan Prasarak Mandal, Bhivarabai Sawant Institute of Technology &amp; Research, Wagholi</x:v>
      </x:c>
      <x:c r="D1710" s="72" t="n">
        <x:v>631129310</x:v>
      </x:c>
      <x:c r="E1710" s="49" t="str">
        <x:v>Electrical Engineering</x:v>
      </x:c>
      <x:c r="F1710" s="73" t="n">
        <x:v>23</x:v>
      </x:c>
      <x:c r="G1710" s="73" t="n">
        <x:v>20</x:v>
      </x:c>
      <x:c r="H1710" s="73" t="n">
        <x:v>3</x:v>
      </x:c>
      <x:c r="I1710" s="73"/>
      <x:c r="J1710" s="73" t="n">
        <x:v>0</x:v>
      </x:c>
      <x:c r="K1710" s="49" t="str">
        <x:v>Un-Aided</x:v>
      </x:c>
      <x:c r="L1710" s="49" t="str">
        <x:v>MS Seats : 20+ EWS : 3</x:v>
      </x:c>
      <x:c r="M1710" s="49" t="str">
        <x:v>https://dse2025.mahacet.org.in/dse25/admin/allotment/cap2/6311_4.pdf</x:v>
      </x:c>
    </x:row>
    <x:row r="1711">
      <x:c r="A1711" s="49" t="str">
        <x:v>2025-26</x:v>
      </x:c>
      <x:c r="B1711" s="63" t="n">
        <x:v>6311</x:v>
      </x:c>
      <x:c r="C1711" s="49" t="str">
        <x:v>Jayawant Shikshan Prasarak Mandal, Bhivarabai Sawant Institute of Technology &amp; Research, Wagholi</x:v>
      </x:c>
      <x:c r="D1711" s="72" t="n">
        <x:v>631137210</x:v>
      </x:c>
      <x:c r="E1711" s="49" t="str">
        <x:v>Electronics and Telecommunication Engg</x:v>
      </x:c>
      <x:c r="F1711" s="73" t="n">
        <x:v>15</x:v>
      </x:c>
      <x:c r="G1711" s="73" t="n">
        <x:v>13</x:v>
      </x:c>
      <x:c r="H1711" s="73" t="n">
        <x:v>2</x:v>
      </x:c>
      <x:c r="I1711" s="73"/>
      <x:c r="J1711" s="73" t="n">
        <x:v>0</x:v>
      </x:c>
      <x:c r="K1711" s="49" t="str">
        <x:v>Un-Aided</x:v>
      </x:c>
      <x:c r="L1711" s="49" t="str">
        <x:v>MS Seats : 13+ EWS : 2</x:v>
      </x:c>
      <x:c r="M1711" s="49" t="str">
        <x:v>https://dse2025.mahacet.org.in/dse25/admin/allotment/cap2/6311_4.pdf</x:v>
      </x:c>
    </x:row>
    <x:row r="1712">
      <x:c r="A1712" s="49" t="str">
        <x:v>2025-26</x:v>
      </x:c>
      <x:c r="B1712" s="63" t="n">
        <x:v>6311</x:v>
      </x:c>
      <x:c r="C1712" s="49" t="str">
        <x:v>Jayawant Shikshan Prasarak Mandal, Bhivarabai Sawant Institute of Technology &amp; Research, Wagholi</x:v>
      </x:c>
      <x:c r="D1712" s="72" t="n">
        <x:v>631161210</x:v>
      </x:c>
      <x:c r="E1712" s="49" t="str">
        <x:v>Mechanical Engineering</x:v>
      </x:c>
      <x:c r="F1712" s="73" t="n">
        <x:v>47</x:v>
      </x:c>
      <x:c r="G1712" s="73" t="n">
        <x:v>34</x:v>
      </x:c>
      <x:c r="H1712" s="73" t="n">
        <x:v>13</x:v>
      </x:c>
      <x:c r="I1712" s="73"/>
      <x:c r="J1712" s="73" t="n">
        <x:v>0</x:v>
      </x:c>
      <x:c r="K1712" s="49" t="str">
        <x:v>Un-Aided</x:v>
      </x:c>
      <x:c r="L1712" s="49" t="str">
        <x:v>MS Seats : 34+ EWS : 13</x:v>
      </x:c>
      <x:c r="M1712" s="49" t="str">
        <x:v>https://dse2025.mahacet.org.in/dse25/admin/allotment/cap2/6311_4.pdf</x:v>
      </x:c>
    </x:row>
    <x:row r="1713">
      <x:c r="A1713" s="49" t="str">
        <x:v>2025-26</x:v>
      </x:c>
      <x:c r="B1713" s="63" t="n">
        <x:v>6313</x:v>
      </x:c>
      <x:c r="C1713" s="49" t="str">
        <x:v>Jaywant College of Engineering &amp; Polytechnic , Kille Macchindragad Tal. Walva District- Sangali</x:v>
      </x:c>
      <x:c r="D1713" s="72" t="n">
        <x:v>631319110</x:v>
      </x:c>
      <x:c r="E1713" s="49" t="str">
        <x:v>Civil Engineering</x:v>
      </x:c>
      <x:c r="F1713" s="73" t="n">
        <x:v>71</x:v>
      </x:c>
      <x:c r="G1713" s="73" t="n">
        <x:v>64</x:v>
      </x:c>
      <x:c r="H1713" s="73" t="n">
        <x:v>7</x:v>
      </x:c>
      <x:c r="I1713" s="73"/>
      <x:c r="J1713" s="73" t="n">
        <x:v>0</x:v>
      </x:c>
      <x:c r="K1713" s="49" t="str">
        <x:v>Un-Aided</x:v>
      </x:c>
      <x:c r="L1713" s="49" t="str">
        <x:v>MS Seats : 64+ EWS : 7</x:v>
      </x:c>
      <x:c r="M1713" s="49" t="str">
        <x:v>https://dse2025.mahacet.org.in/dse25/admin/allotment/cap2/6313_4.pdf</x:v>
      </x:c>
    </x:row>
    <x:row r="1714">
      <x:c r="A1714" s="49" t="str">
        <x:v>2025-26</x:v>
      </x:c>
      <x:c r="B1714" s="63" t="n">
        <x:v>6313</x:v>
      </x:c>
      <x:c r="C1714" s="49" t="str">
        <x:v>Jaywant College of Engineering &amp; Polytechnic , Kille Macchindragad Tal. Walva District- Sangali</x:v>
      </x:c>
      <x:c r="D1714" s="72" t="n">
        <x:v>631324510</x:v>
      </x:c>
      <x:c r="E1714" s="49" t="str">
        <x:v>Computer Engineering</x:v>
      </x:c>
      <x:c r="F1714" s="73" t="n">
        <x:v>43</x:v>
      </x:c>
      <x:c r="G1714" s="73" t="n">
        <x:v>38</x:v>
      </x:c>
      <x:c r="H1714" s="73" t="n">
        <x:v>5</x:v>
      </x:c>
      <x:c r="I1714" s="73"/>
      <x:c r="J1714" s="73" t="n">
        <x:v>0</x:v>
      </x:c>
      <x:c r="K1714" s="49" t="str">
        <x:v>Un-Aided</x:v>
      </x:c>
      <x:c r="L1714" s="49" t="str">
        <x:v>MS Seats : 38+ EWS : 5</x:v>
      </x:c>
      <x:c r="M1714" s="49" t="str">
        <x:v>https://dse2025.mahacet.org.in/dse25/admin/allotment/cap2/6313_4.pdf</x:v>
      </x:c>
    </x:row>
    <x:row r="1715">
      <x:c r="A1715" s="49" t="str">
        <x:v>2025-26</x:v>
      </x:c>
      <x:c r="B1715" s="63" t="n">
        <x:v>6313</x:v>
      </x:c>
      <x:c r="C1715" s="49" t="str">
        <x:v>Jaywant College of Engineering &amp; Polytechnic , Kille Macchindragad Tal. Walva District- Sangali</x:v>
      </x:c>
      <x:c r="D1715" s="72" t="n">
        <x:v>631329310</x:v>
      </x:c>
      <x:c r="E1715" s="49" t="str">
        <x:v>Electrical Engineering</x:v>
      </x:c>
      <x:c r="F1715" s="73" t="n">
        <x:v>66</x:v>
      </x:c>
      <x:c r="G1715" s="73" t="n">
        <x:v>59</x:v>
      </x:c>
      <x:c r="H1715" s="73" t="n">
        <x:v>7</x:v>
      </x:c>
      <x:c r="I1715" s="73"/>
      <x:c r="J1715" s="73" t="n">
        <x:v>0</x:v>
      </x:c>
      <x:c r="K1715" s="49" t="str">
        <x:v>Un-Aided</x:v>
      </x:c>
      <x:c r="L1715" s="49" t="str">
        <x:v>MS Seats : 59+ EWS : 7</x:v>
      </x:c>
      <x:c r="M1715" s="49" t="str">
        <x:v>https://dse2025.mahacet.org.in/dse25/admin/allotment/cap2/6313_4.pdf</x:v>
      </x:c>
    </x:row>
    <x:row r="1716">
      <x:c r="A1716" s="49" t="str">
        <x:v>2025-26</x:v>
      </x:c>
      <x:c r="B1716" s="63" t="n">
        <x:v>6313</x:v>
      </x:c>
      <x:c r="C1716" s="49" t="str">
        <x:v>Jaywant College of Engineering &amp; Polytechnic , Kille Macchindragad Tal. Walva District- Sangali</x:v>
      </x:c>
      <x:c r="D1716" s="72" t="n">
        <x:v>631337210</x:v>
      </x:c>
      <x:c r="E1716" s="49" t="str">
        <x:v>Electronics and Telecommunication Engg</x:v>
      </x:c>
      <x:c r="F1716" s="73" t="n">
        <x:v>26</x:v>
      </x:c>
      <x:c r="G1716" s="73" t="n">
        <x:v>23</x:v>
      </x:c>
      <x:c r="H1716" s="73" t="n">
        <x:v>3</x:v>
      </x:c>
      <x:c r="I1716" s="73"/>
      <x:c r="J1716" s="73" t="n">
        <x:v>0</x:v>
      </x:c>
      <x:c r="K1716" s="49" t="str">
        <x:v>Un-Aided</x:v>
      </x:c>
      <x:c r="L1716" s="49" t="str">
        <x:v>MS Seats : 23+ EWS : 3</x:v>
      </x:c>
      <x:c r="M1716" s="49" t="str">
        <x:v>https://dse2025.mahacet.org.in/dse25/admin/allotment/cap2/6313_4.pdf</x:v>
      </x:c>
    </x:row>
    <x:row r="1717">
      <x:c r="A1717" s="49" t="str">
        <x:v>2025-26</x:v>
      </x:c>
      <x:c r="B1717" s="63" t="n">
        <x:v>6313</x:v>
      </x:c>
      <x:c r="C1717" s="49" t="str">
        <x:v>Jaywant College of Engineering &amp; Polytechnic , Kille Macchindragad Tal. Walva District- Sangali</x:v>
      </x:c>
      <x:c r="D1717" s="72" t="n">
        <x:v>631361210</x:v>
      </x:c>
      <x:c r="E1717" s="49" t="str">
        <x:v>Mechanical Engineering</x:v>
      </x:c>
      <x:c r="F1717" s="73" t="n">
        <x:v>63</x:v>
      </x:c>
      <x:c r="G1717" s="73" t="n">
        <x:v>57</x:v>
      </x:c>
      <x:c r="H1717" s="73" t="n">
        <x:v>6</x:v>
      </x:c>
      <x:c r="I1717" s="73"/>
      <x:c r="J1717" s="73" t="n">
        <x:v>0</x:v>
      </x:c>
      <x:c r="K1717" s="49" t="str">
        <x:v>Un-Aided</x:v>
      </x:c>
      <x:c r="L1717" s="49" t="str">
        <x:v>MS Seats : 57+ EWS : 6</x:v>
      </x:c>
      <x:c r="M1717" s="49" t="str">
        <x:v>https://dse2025.mahacet.org.in/dse25/admin/allotment/cap2/6313_4.pdf</x:v>
      </x:c>
    </x:row>
    <x:row r="1718">
      <x:c r="A1718" s="49" t="str">
        <x:v>2025-26</x:v>
      </x:c>
      <x:c r="B1718" s="63" t="n">
        <x:v>6315</x:v>
      </x:c>
      <x:c r="C1718" s="49" t="str">
        <x:v>Sanjeevan Group of Institutions</x:v>
      </x:c>
      <x:c r="D1718" s="72" t="n">
        <x:v>631519110</x:v>
      </x:c>
      <x:c r="E1718" s="49" t="str">
        <x:v>Civil Engineering</x:v>
      </x:c>
      <x:c r="F1718" s="73" t="n">
        <x:v>55</x:v>
      </x:c>
      <x:c r="G1718" s="73" t="n">
        <x:v>49</x:v>
      </x:c>
      <x:c r="H1718" s="73" t="n">
        <x:v>6</x:v>
      </x:c>
      <x:c r="I1718" s="73"/>
      <x:c r="J1718" s="73" t="n">
        <x:v>0</x:v>
      </x:c>
      <x:c r="K1718" s="49" t="str">
        <x:v>Un-Aided</x:v>
      </x:c>
      <x:c r="L1718" s="49" t="str">
        <x:v>MS Seats : 49+ EWS : 6</x:v>
      </x:c>
      <x:c r="M1718" s="49" t="str">
        <x:v>https://dse2025.mahacet.org.in/dse25/admin/allotment/cap2/6315_4.pdf</x:v>
      </x:c>
    </x:row>
    <x:row r="1719">
      <x:c r="A1719" s="49" t="str">
        <x:v>2025-26</x:v>
      </x:c>
      <x:c r="B1719" s="63" t="n">
        <x:v>6315</x:v>
      </x:c>
      <x:c r="C1719" s="49" t="str">
        <x:v>Sanjeevan Group of Institutions</x:v>
      </x:c>
      <x:c r="D1719" s="72" t="n">
        <x:v>631524210</x:v>
      </x:c>
      <x:c r="E1719" s="49" t="str">
        <x:v>Computer Science and Engineering</x:v>
      </x:c>
      <x:c r="F1719" s="73" t="n">
        <x:v>42</x:v>
      </x:c>
      <x:c r="G1719" s="73" t="n">
        <x:v>37</x:v>
      </x:c>
      <x:c r="H1719" s="73" t="n">
        <x:v>5</x:v>
      </x:c>
      <x:c r="I1719" s="73"/>
      <x:c r="J1719" s="73" t="n">
        <x:v>0</x:v>
      </x:c>
      <x:c r="K1719" s="49" t="str">
        <x:v>Un-Aided</x:v>
      </x:c>
      <x:c r="L1719" s="49" t="str">
        <x:v>MS Seats : 37+ EWS : 5</x:v>
      </x:c>
      <x:c r="M1719" s="49" t="str">
        <x:v>https://dse2025.mahacet.org.in/dse25/admin/allotment/cap2/6315_4.pdf</x:v>
      </x:c>
    </x:row>
    <x:row r="1720">
      <x:c r="A1720" s="49" t="str">
        <x:v>2025-26</x:v>
      </x:c>
      <x:c r="B1720" s="63" t="n">
        <x:v>6315</x:v>
      </x:c>
      <x:c r="C1720" s="49" t="str">
        <x:v>Sanjeevan Group of Institutions</x:v>
      </x:c>
      <x:c r="D1720" s="72" t="n">
        <x:v>631529310</x:v>
      </x:c>
      <x:c r="E1720" s="49" t="str">
        <x:v>Electrical Engineering</x:v>
      </x:c>
      <x:c r="F1720" s="73" t="n">
        <x:v>47</x:v>
      </x:c>
      <x:c r="G1720" s="73" t="n">
        <x:v>41</x:v>
      </x:c>
      <x:c r="H1720" s="73" t="n">
        <x:v>6</x:v>
      </x:c>
      <x:c r="I1720" s="73"/>
      <x:c r="J1720" s="73" t="n">
        <x:v>0</x:v>
      </x:c>
      <x:c r="K1720" s="49" t="str">
        <x:v>Un-Aided</x:v>
      </x:c>
      <x:c r="L1720" s="49" t="str">
        <x:v>MS Seats : 41+ EWS : 6</x:v>
      </x:c>
      <x:c r="M1720" s="49" t="str">
        <x:v>https://dse2025.mahacet.org.in/dse25/admin/allotment/cap2/6315_4.pdf</x:v>
      </x:c>
    </x:row>
    <x:row r="1721">
      <x:c r="A1721" s="49" t="str">
        <x:v>2025-26</x:v>
      </x:c>
      <x:c r="B1721" s="63" t="n">
        <x:v>6315</x:v>
      </x:c>
      <x:c r="C1721" s="49" t="str">
        <x:v>Sanjeevan Group of Institutions</x:v>
      </x:c>
      <x:c r="D1721" s="72" t="n">
        <x:v>631561210</x:v>
      </x:c>
      <x:c r="E1721" s="49" t="str">
        <x:v>Mechanical Engineering</x:v>
      </x:c>
      <x:c r="F1721" s="73" t="n">
        <x:v>60</x:v>
      </x:c>
      <x:c r="G1721" s="73" t="n">
        <x:v>53</x:v>
      </x:c>
      <x:c r="H1721" s="73" t="n">
        <x:v>7</x:v>
      </x:c>
      <x:c r="I1721" s="73"/>
      <x:c r="J1721" s="73" t="n">
        <x:v>0</x:v>
      </x:c>
      <x:c r="K1721" s="49" t="str">
        <x:v>Un-Aided</x:v>
      </x:c>
      <x:c r="L1721" s="49" t="str">
        <x:v>MS Seats : 53+ EWS : 7</x:v>
      </x:c>
      <x:c r="M1721" s="49" t="str">
        <x:v>https://dse2025.mahacet.org.in/dse25/admin/allotment/cap2/6315_4.pdf</x:v>
      </x:c>
    </x:row>
    <x:row r="1722">
      <x:c r="A1722" s="49" t="str">
        <x:v>2025-26</x:v>
      </x:c>
      <x:c r="B1722" s="63" t="n">
        <x:v>6315</x:v>
      </x:c>
      <x:c r="C1722" s="49" t="str">
        <x:v>Sanjeevan Group of Institutions</x:v>
      </x:c>
      <x:c r="D1722" s="72" t="n">
        <x:v>631584410</x:v>
      </x:c>
      <x:c r="E1722" s="49" t="str">
        <x:v>Electronics and Computer Engineering</x:v>
      </x:c>
      <x:c r="F1722" s="73" t="n">
        <x:v>27</x:v>
      </x:c>
      <x:c r="G1722" s="73" t="n">
        <x:v>24</x:v>
      </x:c>
      <x:c r="H1722" s="73" t="n">
        <x:v>3</x:v>
      </x:c>
      <x:c r="I1722" s="73"/>
      <x:c r="J1722" s="73" t="n">
        <x:v>0</x:v>
      </x:c>
      <x:c r="K1722" s="49" t="str">
        <x:v>Un-Aided</x:v>
      </x:c>
      <x:c r="L1722" s="49" t="str">
        <x:v>MS Seats : 24+ EWS : 3</x:v>
      </x:c>
      <x:c r="M1722" s="49" t="str">
        <x:v>https://dse2025.mahacet.org.in/dse25/admin/allotment/cap2/6315_4.pdf</x:v>
      </x:c>
    </x:row>
    <x:row r="1723">
      <x:c r="A1723" s="49" t="str">
        <x:v>2025-26</x:v>
      </x:c>
      <x:c r="B1723" s="63" t="n">
        <x:v>6315</x:v>
      </x:c>
      <x:c r="C1723" s="49" t="str">
        <x:v>Sanjeevan Group of Institutions</x:v>
      </x:c>
      <x:c r="D1723" s="72" t="n">
        <x:v>631592110</x:v>
      </x:c>
      <x:c r="E1723" s="49" t="str">
        <x:v>Artificial Intelligence and Machine Learning</x:v>
      </x:c>
      <x:c r="F1723" s="73" t="n">
        <x:v>15</x:v>
      </x:c>
      <x:c r="G1723" s="73" t="n">
        <x:v>13</x:v>
      </x:c>
      <x:c r="H1723" s="73" t="n">
        <x:v>2</x:v>
      </x:c>
      <x:c r="I1723" s="73"/>
      <x:c r="J1723" s="73" t="n">
        <x:v>0</x:v>
      </x:c>
      <x:c r="K1723" s="49" t="str">
        <x:v>Un-Aided</x:v>
      </x:c>
      <x:c r="L1723" s="49" t="str">
        <x:v>MS Seats : 13+ EWS : 2</x:v>
      </x:c>
      <x:c r="M1723" s="49" t="str">
        <x:v>https://dse2025.mahacet.org.in/dse25/admin/allotment/cap2/6315_4.pdf</x:v>
      </x:c>
    </x:row>
    <x:row r="1724">
      <x:c r="A1724" s="49" t="str">
        <x:v>2025-26</x:v>
      </x:c>
      <x:c r="B1724" s="63" t="n">
        <x:v>6317</x:v>
      </x:c>
      <x:c r="C1724" s="49" t="str">
        <x:v>Sharad Institute of Technology College of Engineering, Yadrav(Ichalkaranji)</x:v>
      </x:c>
      <x:c r="D1724" s="72" t="n">
        <x:v>631719110</x:v>
      </x:c>
      <x:c r="E1724" s="49" t="str">
        <x:v>Civil Engineering</x:v>
      </x:c>
      <x:c r="F1724" s="73" t="n">
        <x:v>6</x:v>
      </x:c>
      <x:c r="G1724" s="73" t="n">
        <x:v>6</x:v>
      </x:c>
      <x:c r="H1724" s="73" t="n">
        <x:v>0</x:v>
      </x:c>
      <x:c r="I1724" s="73"/>
      <x:c r="J1724" s="73" t="n">
        <x:v>0</x:v>
      </x:c>
      <x:c r="K1724" s="49" t="str">
        <x:v>Un-Aided Autonomous</x:v>
      </x:c>
      <x:c r="L1724" s="49" t="str">
        <x:v>MS Seats : 6+ EWS : 0</x:v>
      </x:c>
      <x:c r="M1724" s="49" t="str">
        <x:v>https://dse2025.mahacet.org.in/dse25/admin/allotment/cap2/6317_4.pdf</x:v>
      </x:c>
    </x:row>
    <x:row r="1725">
      <x:c r="A1725" s="49" t="str">
        <x:v>2025-26</x:v>
      </x:c>
      <x:c r="B1725" s="63" t="n">
        <x:v>6317</x:v>
      </x:c>
      <x:c r="C1725" s="49" t="str">
        <x:v>Sharad Institute of Technology College of Engineering, Yadrav(Ichalkaranji)</x:v>
      </x:c>
      <x:c r="D1725" s="72" t="n">
        <x:v>631724210</x:v>
      </x:c>
      <x:c r="E1725" s="49" t="str">
        <x:v>Computer Science and Engineering</x:v>
      </x:c>
      <x:c r="F1725" s="73" t="n">
        <x:v>34</x:v>
      </x:c>
      <x:c r="G1725" s="73" t="n">
        <x:v>29</x:v>
      </x:c>
      <x:c r="H1725" s="73" t="n">
        <x:v>5</x:v>
      </x:c>
      <x:c r="I1725" s="73"/>
      <x:c r="J1725" s="73" t="n">
        <x:v>0</x:v>
      </x:c>
      <x:c r="K1725" s="49" t="str">
        <x:v>Un-Aided Autonomous</x:v>
      </x:c>
      <x:c r="L1725" s="49" t="str">
        <x:v>MS Seats : 29+ EWS : 5</x:v>
      </x:c>
      <x:c r="M1725" s="49" t="str">
        <x:v>https://dse2025.mahacet.org.in/dse25/admin/allotment/cap2/6317_4.pdf</x:v>
      </x:c>
    </x:row>
    <x:row r="1726">
      <x:c r="A1726" s="49" t="str">
        <x:v>2025-26</x:v>
      </x:c>
      <x:c r="B1726" s="63" t="n">
        <x:v>6317</x:v>
      </x:c>
      <x:c r="C1726" s="49" t="str">
        <x:v>Sharad Institute of Technology College of Engineering, Yadrav(Ichalkaranji)</x:v>
      </x:c>
      <x:c r="D1726" s="72" t="n">
        <x:v>631729310</x:v>
      </x:c>
      <x:c r="E1726" s="49" t="str">
        <x:v>Electrical Engineering</x:v>
      </x:c>
      <x:c r="F1726" s="73" t="n">
        <x:v>12</x:v>
      </x:c>
      <x:c r="G1726" s="73" t="n">
        <x:v>10</x:v>
      </x:c>
      <x:c r="H1726" s="73" t="n">
        <x:v>2</x:v>
      </x:c>
      <x:c r="I1726" s="73"/>
      <x:c r="J1726" s="73" t="n">
        <x:v>0</x:v>
      </x:c>
      <x:c r="K1726" s="49" t="str">
        <x:v>Un-Aided Autonomous</x:v>
      </x:c>
      <x:c r="L1726" s="49" t="str">
        <x:v>MS Seats : 10+ EWS : 2</x:v>
      </x:c>
      <x:c r="M1726" s="49" t="str">
        <x:v>https://dse2025.mahacet.org.in/dse25/admin/allotment/cap2/6317_4.pdf</x:v>
      </x:c>
    </x:row>
    <x:row r="1727">
      <x:c r="A1727" s="49" t="str">
        <x:v>2025-26</x:v>
      </x:c>
      <x:c r="B1727" s="63" t="n">
        <x:v>6317</x:v>
      </x:c>
      <x:c r="C1727" s="49" t="str">
        <x:v>Sharad Institute of Technology College of Engineering, Yadrav(Ichalkaranji)</x:v>
      </x:c>
      <x:c r="D1727" s="72" t="n">
        <x:v>631761210</x:v>
      </x:c>
      <x:c r="E1727" s="49" t="str">
        <x:v>Mechanical Engineering</x:v>
      </x:c>
      <x:c r="F1727" s="73" t="n">
        <x:v>12</x:v>
      </x:c>
      <x:c r="G1727" s="73" t="n">
        <x:v>10</x:v>
      </x:c>
      <x:c r="H1727" s="73" t="n">
        <x:v>2</x:v>
      </x:c>
      <x:c r="I1727" s="73"/>
      <x:c r="J1727" s="73" t="n">
        <x:v>0</x:v>
      </x:c>
      <x:c r="K1727" s="49" t="str">
        <x:v>Un-Aided Autonomous</x:v>
      </x:c>
      <x:c r="L1727" s="49" t="str">
        <x:v>MS Seats : 10+ EWS : 2</x:v>
      </x:c>
      <x:c r="M1727" s="49" t="str">
        <x:v>https://dse2025.mahacet.org.in/dse25/admin/allotment/cap2/6317_4.pdf</x:v>
      </x:c>
    </x:row>
    <x:row r="1728">
      <x:c r="A1728" s="49" t="str">
        <x:v>2025-26</x:v>
      </x:c>
      <x:c r="B1728" s="63" t="n">
        <x:v>6317</x:v>
      </x:c>
      <x:c r="C1728" s="49" t="str">
        <x:v>Sharad Institute of Technology College of Engineering, Yadrav(Ichalkaranji)</x:v>
      </x:c>
      <x:c r="D1728" s="72" t="n">
        <x:v>631762410</x:v>
      </x:c>
      <x:c r="E1728" s="49" t="str">
        <x:v>Mechatronics Engineering</x:v>
      </x:c>
      <x:c r="F1728" s="73" t="n">
        <x:v>15</x:v>
      </x:c>
      <x:c r="G1728" s="73" t="n">
        <x:v>14</x:v>
      </x:c>
      <x:c r="H1728" s="73" t="n">
        <x:v>1</x:v>
      </x:c>
      <x:c r="I1728" s="73"/>
      <x:c r="J1728" s="73" t="n">
        <x:v>0</x:v>
      </x:c>
      <x:c r="K1728" s="49" t="str">
        <x:v>Un-Aided Autonomous</x:v>
      </x:c>
      <x:c r="L1728" s="49" t="str">
        <x:v>MS Seats : 14+ EWS : 1</x:v>
      </x:c>
      <x:c r="M1728" s="49" t="str">
        <x:v>https://dse2025.mahacet.org.in/dse25/admin/allotment/cap2/6317_4.pdf</x:v>
      </x:c>
    </x:row>
    <x:row r="1729">
      <x:c r="A1729" s="49" t="str">
        <x:v>2025-26</x:v>
      </x:c>
      <x:c r="B1729" s="63" t="n">
        <x:v>6317</x:v>
      </x:c>
      <x:c r="C1729" s="49" t="str">
        <x:v>Sharad Institute of Technology College of Engineering, Yadrav(Ichalkaranji)</x:v>
      </x:c>
      <x:c r="D1729" s="72" t="n">
        <x:v>631784410</x:v>
      </x:c>
      <x:c r="E1729" s="49" t="str">
        <x:v>Electronics and Computer Engineering</x:v>
      </x:c>
      <x:c r="F1729" s="73" t="n">
        <x:v>21</x:v>
      </x:c>
      <x:c r="G1729" s="73" t="n">
        <x:v>19</x:v>
      </x:c>
      <x:c r="H1729" s="73" t="n">
        <x:v>2</x:v>
      </x:c>
      <x:c r="I1729" s="73"/>
      <x:c r="J1729" s="73" t="n">
        <x:v>0</x:v>
      </x:c>
      <x:c r="K1729" s="49" t="str">
        <x:v>Un-Aided Autonomous</x:v>
      </x:c>
      <x:c r="L1729" s="49" t="str">
        <x:v>MS Seats : 19+ EWS : 2</x:v>
      </x:c>
      <x:c r="M1729" s="49" t="str">
        <x:v>https://dse2025.mahacet.org.in/dse25/admin/allotment/cap2/6317_4.pdf</x:v>
      </x:c>
    </x:row>
    <x:row r="1730">
      <x:c r="A1730" s="49" t="str">
        <x:v>2025-26</x:v>
      </x:c>
      <x:c r="B1730" s="63" t="n">
        <x:v>6317</x:v>
      </x:c>
      <x:c r="C1730" s="49" t="str">
        <x:v>Sharad Institute of Technology College of Engineering, Yadrav(Ichalkaranji)</x:v>
      </x:c>
      <x:c r="D1730" s="72" t="n">
        <x:v>631791610</x:v>
      </x:c>
      <x:c r="E1730" s="49" t="str">
        <x:v>Automation and Robotics</x:v>
      </x:c>
      <x:c r="F1730" s="73" t="n">
        <x:v>18</x:v>
      </x:c>
      <x:c r="G1730" s="73" t="n">
        <x:v>16</x:v>
      </x:c>
      <x:c r="H1730" s="73" t="n">
        <x:v>2</x:v>
      </x:c>
      <x:c r="I1730" s="73"/>
      <x:c r="J1730" s="73" t="n">
        <x:v>0</x:v>
      </x:c>
      <x:c r="K1730" s="49" t="str">
        <x:v>Un-Aided Autonomous</x:v>
      </x:c>
      <x:c r="L1730" s="49" t="str">
        <x:v>MS Seats : 16+ EWS : 2</x:v>
      </x:c>
      <x:c r="M1730" s="49" t="str">
        <x:v>https://dse2025.mahacet.org.in/dse25/admin/allotment/cap2/6317_4.pdf</x:v>
      </x:c>
    </x:row>
    <x:row r="1731">
      <x:c r="A1731" s="49" t="str">
        <x:v>2025-26</x:v>
      </x:c>
      <x:c r="B1731" s="63" t="n">
        <x:v>6317</x:v>
      </x:c>
      <x:c r="C1731" s="49" t="str">
        <x:v>Sharad Institute of Technology College of Engineering, Yadrav(Ichalkaranji)</x:v>
      </x:c>
      <x:c r="D1731" s="72" t="n">
        <x:v>631799510</x:v>
      </x:c>
      <x:c r="E1731" s="49" t="str">
        <x:v>Artificial Intelligence and Data Science</x:v>
      </x:c>
      <x:c r="F1731" s="73" t="n">
        <x:v>13</x:v>
      </x:c>
      <x:c r="G1731" s="73" t="n">
        <x:v>12</x:v>
      </x:c>
      <x:c r="H1731" s="73" t="n">
        <x:v>1</x:v>
      </x:c>
      <x:c r="I1731" s="73"/>
      <x:c r="J1731" s="73" t="n">
        <x:v>0</x:v>
      </x:c>
      <x:c r="K1731" s="49" t="str">
        <x:v>Un-Aided Autonomous</x:v>
      </x:c>
      <x:c r="L1731" s="49" t="str">
        <x:v>MS Seats : 12+ EWS : 1</x:v>
      </x:c>
      <x:c r="M1731" s="49" t="str">
        <x:v>https://dse2025.mahacet.org.in/dse25/admin/allotment/cap2/6317_4.pdf</x:v>
      </x:c>
    </x:row>
    <x:row r="1732">
      <x:c r="A1732" s="49" t="str">
        <x:v>2025-26</x:v>
      </x:c>
      <x:c r="B1732" s="63" t="n">
        <x:v>6319</x:v>
      </x:c>
      <x:c r="C1732" s="49" t="str">
        <x:v>Shahajirao Patil Vikas Pratishthan, S.B.Patil College of Engineering, Vangali, Tal. Indapur</x:v>
      </x:c>
      <x:c r="D1732" s="72" t="n">
        <x:v>631919110</x:v>
      </x:c>
      <x:c r="E1732" s="49" t="str">
        <x:v>Civil Engineering</x:v>
      </x:c>
      <x:c r="F1732" s="73" t="n">
        <x:v>25</x:v>
      </x:c>
      <x:c r="G1732" s="73" t="n">
        <x:v>18</x:v>
      </x:c>
      <x:c r="H1732" s="73" t="n">
        <x:v>7</x:v>
      </x:c>
      <x:c r="I1732" s="73"/>
      <x:c r="J1732" s="73" t="n">
        <x:v>0</x:v>
      </x:c>
      <x:c r="K1732" s="49" t="str">
        <x:v>Un-Aided</x:v>
      </x:c>
      <x:c r="L1732" s="49" t="str">
        <x:v>MS Seats : 18+ EWS : 7</x:v>
      </x:c>
      <x:c r="M1732" s="49" t="str">
        <x:v>https://dse2025.mahacet.org.in/dse25/admin/allotment/cap2/6319_4.pdf</x:v>
      </x:c>
    </x:row>
    <x:row r="1733">
      <x:c r="A1733" s="49" t="str">
        <x:v>2025-26</x:v>
      </x:c>
      <x:c r="B1733" s="63" t="n">
        <x:v>6319</x:v>
      </x:c>
      <x:c r="C1733" s="49" t="str">
        <x:v>Shahajirao Patil Vikas Pratishthan, S.B.Patil College of Engineering, Vangali, Tal. Indapur</x:v>
      </x:c>
      <x:c r="D1733" s="72" t="n">
        <x:v>631924510</x:v>
      </x:c>
      <x:c r="E1733" s="49" t="str">
        <x:v>Computer Engineering</x:v>
      </x:c>
      <x:c r="F1733" s="73" t="n">
        <x:v>33</x:v>
      </x:c>
      <x:c r="G1733" s="73" t="n">
        <x:v>28</x:v>
      </x:c>
      <x:c r="H1733" s="73" t="n">
        <x:v>5</x:v>
      </x:c>
      <x:c r="I1733" s="73"/>
      <x:c r="J1733" s="73" t="n">
        <x:v>0</x:v>
      </x:c>
      <x:c r="K1733" s="49" t="str">
        <x:v>Un-Aided</x:v>
      </x:c>
      <x:c r="L1733" s="49" t="str">
        <x:v>MS Seats : 28+ EWS : 5</x:v>
      </x:c>
      <x:c r="M1733" s="49" t="str">
        <x:v>https://dse2025.mahacet.org.in/dse25/admin/allotment/cap2/6319_4.pdf</x:v>
      </x:c>
    </x:row>
    <x:row r="1734">
      <x:c r="A1734" s="49" t="str">
        <x:v>2025-26</x:v>
      </x:c>
      <x:c r="B1734" s="63" t="n">
        <x:v>6319</x:v>
      </x:c>
      <x:c r="C1734" s="49" t="str">
        <x:v>Shahajirao Patil Vikas Pratishthan, S.B.Patil College of Engineering, Vangali, Tal. Indapur</x:v>
      </x:c>
      <x:c r="D1734" s="72" t="n">
        <x:v>631924610</x:v>
      </x:c>
      <x:c r="E1734" s="49" t="str">
        <x:v>Information Technology</x:v>
      </x:c>
      <x:c r="F1734" s="73" t="n">
        <x:v>11</x:v>
      </x:c>
      <x:c r="G1734" s="73" t="n">
        <x:v>10</x:v>
      </x:c>
      <x:c r="H1734" s="73" t="n">
        <x:v>1</x:v>
      </x:c>
      <x:c r="I1734" s="73"/>
      <x:c r="J1734" s="73" t="n">
        <x:v>0</x:v>
      </x:c>
      <x:c r="K1734" s="49" t="str">
        <x:v>Un-Aided</x:v>
      </x:c>
      <x:c r="L1734" s="49" t="str">
        <x:v>MS Seats : 10+ EWS : 1</x:v>
      </x:c>
      <x:c r="M1734" s="49" t="str">
        <x:v>https://dse2025.mahacet.org.in/dse25/admin/allotment/cap2/6319_4.pdf</x:v>
      </x:c>
    </x:row>
    <x:row r="1735">
      <x:c r="A1735" s="49" t="str">
        <x:v>2025-26</x:v>
      </x:c>
      <x:c r="B1735" s="63" t="n">
        <x:v>6319</x:v>
      </x:c>
      <x:c r="C1735" s="49" t="str">
        <x:v>Shahajirao Patil Vikas Pratishthan, S.B.Patil College of Engineering, Vangali, Tal. Indapur</x:v>
      </x:c>
      <x:c r="D1735" s="72" t="n">
        <x:v>631926310</x:v>
      </x:c>
      <x:c r="E1735" s="49" t="str">
        <x:v>Artificial Intelligence (AI) and Data Science</x:v>
      </x:c>
      <x:c r="F1735" s="73" t="n">
        <x:v>8</x:v>
      </x:c>
      <x:c r="G1735" s="73" t="n">
        <x:v>7</x:v>
      </x:c>
      <x:c r="H1735" s="73" t="n">
        <x:v>1</x:v>
      </x:c>
      <x:c r="I1735" s="73"/>
      <x:c r="J1735" s="73" t="n">
        <x:v>0</x:v>
      </x:c>
      <x:c r="K1735" s="49" t="str">
        <x:v>Un-Aided</x:v>
      </x:c>
      <x:c r="L1735" s="49" t="str">
        <x:v>MS Seats : 7+ EWS : 1</x:v>
      </x:c>
      <x:c r="M1735" s="49" t="str">
        <x:v>https://dse2025.mahacet.org.in/dse25/admin/allotment/cap2/6319_4.pdf</x:v>
      </x:c>
    </x:row>
    <x:row r="1736">
      <x:c r="A1736" s="49" t="str">
        <x:v>2025-26</x:v>
      </x:c>
      <x:c r="B1736" s="63" t="n">
        <x:v>6319</x:v>
      </x:c>
      <x:c r="C1736" s="49" t="str">
        <x:v>Shahajirao Patil Vikas Pratishthan, S.B.Patil College of Engineering, Vangali, Tal. Indapur</x:v>
      </x:c>
      <x:c r="D1736" s="72" t="n">
        <x:v>631929310</x:v>
      </x:c>
      <x:c r="E1736" s="49" t="str">
        <x:v>Electrical Engineering</x:v>
      </x:c>
      <x:c r="F1736" s="73" t="n">
        <x:v>23</x:v>
      </x:c>
      <x:c r="G1736" s="73" t="n">
        <x:v>16</x:v>
      </x:c>
      <x:c r="H1736" s="73" t="n">
        <x:v>7</x:v>
      </x:c>
      <x:c r="I1736" s="73"/>
      <x:c r="J1736" s="73" t="n">
        <x:v>0</x:v>
      </x:c>
      <x:c r="K1736" s="49" t="str">
        <x:v>Un-Aided</x:v>
      </x:c>
      <x:c r="L1736" s="49" t="str">
        <x:v>MS Seats : 16+ EWS : 7</x:v>
      </x:c>
      <x:c r="M1736" s="49" t="str">
        <x:v>https://dse2025.mahacet.org.in/dse25/admin/allotment/cap2/6319_4.pdf</x:v>
      </x:c>
    </x:row>
    <x:row r="1737">
      <x:c r="A1737" s="49" t="str">
        <x:v>2025-26</x:v>
      </x:c>
      <x:c r="B1737" s="63" t="n">
        <x:v>6319</x:v>
      </x:c>
      <x:c r="C1737" s="49" t="str">
        <x:v>Shahajirao Patil Vikas Pratishthan, S.B.Patil College of Engineering, Vangali, Tal. Indapur</x:v>
      </x:c>
      <x:c r="D1737" s="72" t="n">
        <x:v>631937210</x:v>
      </x:c>
      <x:c r="E1737" s="49" t="str">
        <x:v>Electronics and Telecommunication Engg</x:v>
      </x:c>
      <x:c r="F1737" s="73" t="n">
        <x:v>16</x:v>
      </x:c>
      <x:c r="G1737" s="73" t="n">
        <x:v>10</x:v>
      </x:c>
      <x:c r="H1737" s="73" t="n">
        <x:v>6</x:v>
      </x:c>
      <x:c r="I1737" s="73"/>
      <x:c r="J1737" s="73" t="n">
        <x:v>0</x:v>
      </x:c>
      <x:c r="K1737" s="49" t="str">
        <x:v>Un-Aided</x:v>
      </x:c>
      <x:c r="L1737" s="49" t="str">
        <x:v>MS Seats : 10+ EWS : 6</x:v>
      </x:c>
      <x:c r="M1737" s="49" t="str">
        <x:v>https://dse2025.mahacet.org.in/dse25/admin/allotment/cap2/6319_4.pdf</x:v>
      </x:c>
    </x:row>
    <x:row r="1738">
      <x:c r="A1738" s="49" t="str">
        <x:v>2025-26</x:v>
      </x:c>
      <x:c r="B1738" s="63" t="n">
        <x:v>6319</x:v>
      </x:c>
      <x:c r="C1738" s="49" t="str">
        <x:v>Shahajirao Patil Vikas Pratishthan, S.B.Patil College of Engineering, Vangali, Tal. Indapur</x:v>
      </x:c>
      <x:c r="D1738" s="72" t="n">
        <x:v>631961210</x:v>
      </x:c>
      <x:c r="E1738" s="49" t="str">
        <x:v>Mechanical Engineering</x:v>
      </x:c>
      <x:c r="F1738" s="73" t="n">
        <x:v>8</x:v>
      </x:c>
      <x:c r="G1738" s="73" t="n">
        <x:v>8</x:v>
      </x:c>
      <x:c r="H1738" s="73" t="n">
        <x:v>0</x:v>
      </x:c>
      <x:c r="I1738" s="73"/>
      <x:c r="J1738" s="73" t="n">
        <x:v>0</x:v>
      </x:c>
      <x:c r="K1738" s="49" t="str">
        <x:v>Un-Aided</x:v>
      </x:c>
      <x:c r="L1738" s="49" t="str">
        <x:v>MS Seats : 8+ EWS : 0</x:v>
      </x:c>
      <x:c r="M1738" s="49" t="str">
        <x:v>https://dse2025.mahacet.org.in/dse25/admin/allotment/cap2/6319_4.pdf</x:v>
      </x:c>
    </x:row>
    <x:row r="1739">
      <x:c r="A1739" s="49" t="str">
        <x:v>2025-26</x:v>
      </x:c>
      <x:c r="B1739" s="63" t="n">
        <x:v>6320</x:v>
      </x:c>
      <x:c r="C1739" s="49" t="str">
        <x:v>K.J.'s Educational Institute's K.J.College of Engineering &amp; Management Research, Pisoli</x:v>
      </x:c>
      <x:c r="D1739" s="72" t="n">
        <x:v>632019110</x:v>
      </x:c>
      <x:c r="E1739" s="49" t="str">
        <x:v>Civil Engineering</x:v>
      </x:c>
      <x:c r="F1739" s="73" t="n">
        <x:v>41</x:v>
      </x:c>
      <x:c r="G1739" s="73" t="n">
        <x:v>35</x:v>
      </x:c>
      <x:c r="H1739" s="73" t="n">
        <x:v>6</x:v>
      </x:c>
      <x:c r="I1739" s="73"/>
      <x:c r="J1739" s="73" t="n">
        <x:v>0</x:v>
      </x:c>
      <x:c r="K1739" s="49" t="str">
        <x:v>Un-Aided</x:v>
      </x:c>
      <x:c r="L1739" s="49" t="str">
        <x:v>MS Seats : 35+ EWS : 6</x:v>
      </x:c>
      <x:c r="M1739" s="49" t="str">
        <x:v>https://dse2025.mahacet.org.in/dse25/admin/allotment/cap2/6320_4.pdf</x:v>
      </x:c>
    </x:row>
    <x:row r="1740">
      <x:c r="A1740" s="49" t="str">
        <x:v>2025-26</x:v>
      </x:c>
      <x:c r="B1740" s="63" t="n">
        <x:v>6320</x:v>
      </x:c>
      <x:c r="C1740" s="49" t="str">
        <x:v>K.J.'s Educational Institute's K.J.College of Engineering &amp; Management Research, Pisoli</x:v>
      </x:c>
      <x:c r="D1740" s="72" t="n">
        <x:v>632024510</x:v>
      </x:c>
      <x:c r="E1740" s="49" t="str">
        <x:v>Computer Engineering</x:v>
      </x:c>
      <x:c r="F1740" s="73" t="n">
        <x:v>26</x:v>
      </x:c>
      <x:c r="G1740" s="73" t="n">
        <x:v>21</x:v>
      </x:c>
      <x:c r="H1740" s="73" t="n">
        <x:v>5</x:v>
      </x:c>
      <x:c r="I1740" s="73"/>
      <x:c r="J1740" s="73" t="n">
        <x:v>0</x:v>
      </x:c>
      <x:c r="K1740" s="49" t="str">
        <x:v>Un-Aided</x:v>
      </x:c>
      <x:c r="L1740" s="49" t="str">
        <x:v>MS Seats : 21+ EWS : 5</x:v>
      </x:c>
      <x:c r="M1740" s="49" t="str">
        <x:v>https://dse2025.mahacet.org.in/dse25/admin/allotment/cap2/6320_4.pdf</x:v>
      </x:c>
    </x:row>
    <x:row r="1741">
      <x:c r="A1741" s="49" t="str">
        <x:v>2025-26</x:v>
      </x:c>
      <x:c r="B1741" s="63" t="n">
        <x:v>6320</x:v>
      </x:c>
      <x:c r="C1741" s="49" t="str">
        <x:v>K.J.'s Educational Institute's K.J.College of Engineering &amp; Management Research, Pisoli</x:v>
      </x:c>
      <x:c r="D1741" s="72" t="n">
        <x:v>632029310</x:v>
      </x:c>
      <x:c r="E1741" s="49" t="str">
        <x:v>Electrical Engineering</x:v>
      </x:c>
      <x:c r="F1741" s="73" t="n">
        <x:v>42</x:v>
      </x:c>
      <x:c r="G1741" s="73" t="n">
        <x:v>35</x:v>
      </x:c>
      <x:c r="H1741" s="73" t="n">
        <x:v>7</x:v>
      </x:c>
      <x:c r="I1741" s="73"/>
      <x:c r="J1741" s="73" t="n">
        <x:v>0</x:v>
      </x:c>
      <x:c r="K1741" s="49" t="str">
        <x:v>Un-Aided</x:v>
      </x:c>
      <x:c r="L1741" s="49" t="str">
        <x:v>MS Seats : 35+ EWS : 7</x:v>
      </x:c>
      <x:c r="M1741" s="49" t="str">
        <x:v>https://dse2025.mahacet.org.in/dse25/admin/allotment/cap2/6320_4.pdf</x:v>
      </x:c>
    </x:row>
    <x:row r="1742">
      <x:c r="A1742" s="49" t="str">
        <x:v>2025-26</x:v>
      </x:c>
      <x:c r="B1742" s="63" t="n">
        <x:v>6320</x:v>
      </x:c>
      <x:c r="C1742" s="49" t="str">
        <x:v>K.J.'s Educational Institute's K.J.College of Engineering &amp; Management Research, Pisoli</x:v>
      </x:c>
      <x:c r="D1742" s="72" t="n">
        <x:v>632037210</x:v>
      </x:c>
      <x:c r="E1742" s="49" t="str">
        <x:v>Electronics and Telecommunication Engg</x:v>
      </x:c>
      <x:c r="F1742" s="73" t="n">
        <x:v>9</x:v>
      </x:c>
      <x:c r="G1742" s="73" t="n">
        <x:v>7</x:v>
      </x:c>
      <x:c r="H1742" s="73" t="n">
        <x:v>2</x:v>
      </x:c>
      <x:c r="I1742" s="73"/>
      <x:c r="J1742" s="73" t="n">
        <x:v>0</x:v>
      </x:c>
      <x:c r="K1742" s="49" t="str">
        <x:v>Un-Aided</x:v>
      </x:c>
      <x:c r="L1742" s="49" t="str">
        <x:v>MS Seats : 7+ EWS : 2</x:v>
      </x:c>
      <x:c r="M1742" s="49" t="str">
        <x:v>https://dse2025.mahacet.org.in/dse25/admin/allotment/cap2/6320_4.pdf</x:v>
      </x:c>
    </x:row>
    <x:row r="1743">
      <x:c r="A1743" s="49" t="str">
        <x:v>2025-26</x:v>
      </x:c>
      <x:c r="B1743" s="63" t="n">
        <x:v>6320</x:v>
      </x:c>
      <x:c r="C1743" s="49" t="str">
        <x:v>K.J.'s Educational Institute's K.J.College of Engineering &amp; Management Research, Pisoli</x:v>
      </x:c>
      <x:c r="D1743" s="72" t="n">
        <x:v>632037810</x:v>
      </x:c>
      <x:c r="E1743" s="49" t="str">
        <x:v>Electronics Engineering ( VLSI Design and Technology)</x:v>
      </x:c>
      <x:c r="F1743" s="73" t="n">
        <x:v>27</x:v>
      </x:c>
      <x:c r="G1743" s="73" t="n">
        <x:v>22</x:v>
      </x:c>
      <x:c r="H1743" s="73" t="n">
        <x:v>5</x:v>
      </x:c>
      <x:c r="I1743" s="73"/>
      <x:c r="J1743" s="73" t="n">
        <x:v>0</x:v>
      </x:c>
      <x:c r="K1743" s="49" t="str">
        <x:v>Un-Aided</x:v>
      </x:c>
      <x:c r="L1743" s="49" t="str">
        <x:v>MS Seats : 22+ EWS : 5</x:v>
      </x:c>
      <x:c r="M1743" s="49" t="str">
        <x:v>https://dse2025.mahacet.org.in/dse25/admin/allotment/cap2/6320_4.pdf</x:v>
      </x:c>
    </x:row>
    <x:row r="1744">
      <x:c r="A1744" s="49" t="str">
        <x:v>2025-26</x:v>
      </x:c>
      <x:c r="B1744" s="63" t="n">
        <x:v>6320</x:v>
      </x:c>
      <x:c r="C1744" s="49" t="str">
        <x:v>K.J.'s Educational Institute's K.J.College of Engineering &amp; Management Research, Pisoli</x:v>
      </x:c>
      <x:c r="D1744" s="72" t="n">
        <x:v>632061210</x:v>
      </x:c>
      <x:c r="E1744" s="49" t="str">
        <x:v>Mechanical Engineering</x:v>
      </x:c>
      <x:c r="F1744" s="73" t="n">
        <x:v>59</x:v>
      </x:c>
      <x:c r="G1744" s="73" t="n">
        <x:v>49</x:v>
      </x:c>
      <x:c r="H1744" s="73" t="n">
        <x:v>10</x:v>
      </x:c>
      <x:c r="I1744" s="73"/>
      <x:c r="J1744" s="73" t="n">
        <x:v>0</x:v>
      </x:c>
      <x:c r="K1744" s="49" t="str">
        <x:v>Un-Aided</x:v>
      </x:c>
      <x:c r="L1744" s="49" t="str">
        <x:v>MS Seats : 49+ EWS : 10</x:v>
      </x:c>
      <x:c r="M1744" s="49" t="str">
        <x:v>https://dse2025.mahacet.org.in/dse25/admin/allotment/cap2/6320_4.pdf</x:v>
      </x:c>
    </x:row>
    <x:row r="1745">
      <x:c r="A1745" s="49" t="str">
        <x:v>2025-26</x:v>
      </x:c>
      <x:c r="B1745" s="63" t="n">
        <x:v>6320</x:v>
      </x:c>
      <x:c r="C1745" s="49" t="str">
        <x:v>K.J.'s Educational Institute's K.J.College of Engineering &amp; Management Research, Pisoli</x:v>
      </x:c>
      <x:c r="D1745" s="72" t="n">
        <x:v>632092810</x:v>
      </x:c>
      <x:c r="E1745" s="49" t="str">
        <x:v>Electronics and Communication(Advanced Communication Technology)</x:v>
      </x:c>
      <x:c r="F1745" s="73" t="n">
        <x:v>22</x:v>
      </x:c>
      <x:c r="G1745" s="73" t="n">
        <x:v>17</x:v>
      </x:c>
      <x:c r="H1745" s="73" t="n">
        <x:v>5</x:v>
      </x:c>
      <x:c r="I1745" s="73"/>
      <x:c r="J1745" s="73" t="n">
        <x:v>0</x:v>
      </x:c>
      <x:c r="K1745" s="49" t="str">
        <x:v>Un-Aided</x:v>
      </x:c>
      <x:c r="L1745" s="49" t="str">
        <x:v>MS Seats : 17+ EWS : 5</x:v>
      </x:c>
      <x:c r="M1745" s="49" t="str">
        <x:v>https://dse2025.mahacet.org.in/dse25/admin/allotment/cap2/6320_4.pdf</x:v>
      </x:c>
    </x:row>
    <x:row r="1746">
      <x:c r="A1746" s="49" t="str">
        <x:v>2025-26</x:v>
      </x:c>
      <x:c r="B1746" s="63" t="n">
        <x:v>6321</x:v>
      </x:c>
      <x:c r="C1746" s="49" t="str">
        <x:v>Vidya Vikas Pratishthan Institute of Engineering and Technology, Solapur</x:v>
      </x:c>
      <x:c r="D1746" s="72" t="n">
        <x:v>632119110</x:v>
      </x:c>
      <x:c r="E1746" s="49" t="str">
        <x:v>Civil Engineering</x:v>
      </x:c>
      <x:c r="F1746" s="73" t="n">
        <x:v>33</x:v>
      </x:c>
      <x:c r="G1746" s="73" t="n">
        <x:v>30</x:v>
      </x:c>
      <x:c r="H1746" s="73" t="n">
        <x:v>3</x:v>
      </x:c>
      <x:c r="I1746" s="73"/>
      <x:c r="J1746" s="73" t="n">
        <x:v>0</x:v>
      </x:c>
      <x:c r="K1746" s="49" t="str">
        <x:v>Un-Aided</x:v>
      </x:c>
      <x:c r="L1746" s="49" t="str">
        <x:v>MS Seats : 30+ EWS : 3</x:v>
      </x:c>
      <x:c r="M1746" s="49" t="str">
        <x:v>https://dse2025.mahacet.org.in/dse25/admin/allotment/cap2/6321_4.pdf</x:v>
      </x:c>
    </x:row>
    <x:row r="1747">
      <x:c r="A1747" s="49" t="str">
        <x:v>2025-26</x:v>
      </x:c>
      <x:c r="B1747" s="63" t="n">
        <x:v>6321</x:v>
      </x:c>
      <x:c r="C1747" s="49" t="str">
        <x:v>Vidya Vikas Pratishthan Institute of Engineering and Technology, Solapur</x:v>
      </x:c>
      <x:c r="D1747" s="72" t="n">
        <x:v>632124210</x:v>
      </x:c>
      <x:c r="E1747" s="49" t="str">
        <x:v>Computer Science and Engineering</x:v>
      </x:c>
      <x:c r="F1747" s="73" t="n">
        <x:v>26</x:v>
      </x:c>
      <x:c r="G1747" s="73" t="n">
        <x:v>23</x:v>
      </x:c>
      <x:c r="H1747" s="73" t="n">
        <x:v>3</x:v>
      </x:c>
      <x:c r="I1747" s="73"/>
      <x:c r="J1747" s="73" t="n">
        <x:v>0</x:v>
      </x:c>
      <x:c r="K1747" s="49" t="str">
        <x:v>Un-Aided</x:v>
      </x:c>
      <x:c r="L1747" s="49" t="str">
        <x:v>MS Seats : 23+ EWS : 3</x:v>
      </x:c>
      <x:c r="M1747" s="49" t="str">
        <x:v>https://dse2025.mahacet.org.in/dse25/admin/allotment/cap2/6321_4.pdf</x:v>
      </x:c>
    </x:row>
    <x:row r="1748">
      <x:c r="A1748" s="49" t="str">
        <x:v>2025-26</x:v>
      </x:c>
      <x:c r="B1748" s="63" t="n">
        <x:v>6321</x:v>
      </x:c>
      <x:c r="C1748" s="49" t="str">
        <x:v>Vidya Vikas Pratishthan Institute of Engineering and Technology, Solapur</x:v>
      </x:c>
      <x:c r="D1748" s="72" t="n">
        <x:v>632129310</x:v>
      </x:c>
      <x:c r="E1748" s="49" t="str">
        <x:v>Electrical Engineering</x:v>
      </x:c>
      <x:c r="F1748" s="73" t="n">
        <x:v>66</x:v>
      </x:c>
      <x:c r="G1748" s="73" t="n">
        <x:v>60</x:v>
      </x:c>
      <x:c r="H1748" s="73" t="n">
        <x:v>6</x:v>
      </x:c>
      <x:c r="I1748" s="73"/>
      <x:c r="J1748" s="73" t="n">
        <x:v>0</x:v>
      </x:c>
      <x:c r="K1748" s="49" t="str">
        <x:v>Un-Aided</x:v>
      </x:c>
      <x:c r="L1748" s="49" t="str">
        <x:v>MS Seats : 60+ EWS : 6</x:v>
      </x:c>
      <x:c r="M1748" s="49" t="str">
        <x:v>https://dse2025.mahacet.org.in/dse25/admin/allotment/cap2/6321_4.pdf</x:v>
      </x:c>
    </x:row>
    <x:row r="1749">
      <x:c r="A1749" s="49" t="str">
        <x:v>2025-26</x:v>
      </x:c>
      <x:c r="B1749" s="63" t="n">
        <x:v>6321</x:v>
      </x:c>
      <x:c r="C1749" s="49" t="str">
        <x:v>Vidya Vikas Pratishthan Institute of Engineering and Technology, Solapur</x:v>
      </x:c>
      <x:c r="D1749" s="72" t="n">
        <x:v>632137210</x:v>
      </x:c>
      <x:c r="E1749" s="49" t="str">
        <x:v>Electronics and Telecommunication Engg</x:v>
      </x:c>
      <x:c r="F1749" s="73" t="n">
        <x:v>26</x:v>
      </x:c>
      <x:c r="G1749" s="73" t="n">
        <x:v>25</x:v>
      </x:c>
      <x:c r="H1749" s="73" t="n">
        <x:v>1</x:v>
      </x:c>
      <x:c r="I1749" s="73"/>
      <x:c r="J1749" s="73" t="n">
        <x:v>0</x:v>
      </x:c>
      <x:c r="K1749" s="49" t="str">
        <x:v>Un-Aided</x:v>
      </x:c>
      <x:c r="L1749" s="49" t="str">
        <x:v>MS Seats : 25+ EWS : 1</x:v>
      </x:c>
      <x:c r="M1749" s="49" t="str">
        <x:v>https://dse2025.mahacet.org.in/dse25/admin/allotment/cap2/6321_4.pdf</x:v>
      </x:c>
    </x:row>
    <x:row r="1750">
      <x:c r="A1750" s="49" t="str">
        <x:v>2025-26</x:v>
      </x:c>
      <x:c r="B1750" s="63" t="n">
        <x:v>6321</x:v>
      </x:c>
      <x:c r="C1750" s="49" t="str">
        <x:v>Vidya Vikas Pratishthan Institute of Engineering and Technology, Solapur</x:v>
      </x:c>
      <x:c r="D1750" s="72" t="n">
        <x:v>632161210</x:v>
      </x:c>
      <x:c r="E1750" s="49" t="str">
        <x:v>Mechanical Engineering</x:v>
      </x:c>
      <x:c r="F1750" s="73" t="n">
        <x:v>33</x:v>
      </x:c>
      <x:c r="G1750" s="73" t="n">
        <x:v>30</x:v>
      </x:c>
      <x:c r="H1750" s="73" t="n">
        <x:v>3</x:v>
      </x:c>
      <x:c r="I1750" s="73"/>
      <x:c r="J1750" s="73" t="n">
        <x:v>0</x:v>
      </x:c>
      <x:c r="K1750" s="49" t="str">
        <x:v>Un-Aided</x:v>
      </x:c>
      <x:c r="L1750" s="49" t="str">
        <x:v>MS Seats : 30+ EWS : 3</x:v>
      </x:c>
      <x:c r="M1750" s="49" t="str">
        <x:v>https://dse2025.mahacet.org.in/dse25/admin/allotment/cap2/6321_4.pdf</x:v>
      </x:c>
    </x:row>
    <x:row r="1751">
      <x:c r="A1751" s="49" t="str">
        <x:v>2025-26</x:v>
      </x:c>
      <x:c r="B1751" s="63" t="n">
        <x:v>6321</x:v>
      </x:c>
      <x:c r="C1751" s="49" t="str">
        <x:v>Vidya Vikas Pratishthan Institute of Engineering and Technology, Solapur</x:v>
      </x:c>
      <x:c r="D1751" s="72" t="n">
        <x:v>632199510</x:v>
      </x:c>
      <x:c r="E1751" s="49" t="str">
        <x:v>Artificial Intelligence and Data Science</x:v>
      </x:c>
      <x:c r="F1751" s="73" t="n">
        <x:v>11</x:v>
      </x:c>
      <x:c r="G1751" s="73" t="n">
        <x:v>11</x:v>
      </x:c>
      <x:c r="H1751" s="73" t="n">
        <x:v>0</x:v>
      </x:c>
      <x:c r="I1751" s="73"/>
      <x:c r="J1751" s="73" t="n">
        <x:v>0</x:v>
      </x:c>
      <x:c r="K1751" s="49" t="str">
        <x:v>Un-Aided</x:v>
      </x:c>
      <x:c r="L1751" s="49" t="str">
        <x:v>MS Seats : 11+ EWS : 0</x:v>
      </x:c>
      <x:c r="M1751" s="49" t="str">
        <x:v>https://dse2025.mahacet.org.in/dse25/admin/allotment/cap2/6321_4.pdf</x:v>
      </x:c>
    </x:row>
    <x:row r="1752">
      <x:c r="A1752" s="49" t="str">
        <x:v>2025-26</x:v>
      </x:c>
      <x:c r="B1752" s="63" t="n">
        <x:v>6322</x:v>
      </x:c>
      <x:c r="C1752" s="49" t="str">
        <x:v>Shree Gajanan Maharaj Shikshan Prasarak Manda'l Sharadchandra Pawar College of Engineering, Dumbarwadi</x:v>
      </x:c>
      <x:c r="D1752" s="72" t="n">
        <x:v>632224510</x:v>
      </x:c>
      <x:c r="E1752" s="49" t="str">
        <x:v>Computer Engineering</x:v>
      </x:c>
      <x:c r="F1752" s="73" t="n">
        <x:v>18</x:v>
      </x:c>
      <x:c r="G1752" s="73" t="n">
        <x:v>15</x:v>
      </x:c>
      <x:c r="H1752" s="73" t="n">
        <x:v>3</x:v>
      </x:c>
      <x:c r="I1752" s="73"/>
      <x:c r="J1752" s="73" t="n">
        <x:v>0</x:v>
      </x:c>
      <x:c r="K1752" s="49" t="str">
        <x:v>Un-Aided</x:v>
      </x:c>
      <x:c r="L1752" s="49" t="str">
        <x:v>MS Seats : 15+ EWS : 3</x:v>
      </x:c>
      <x:c r="M1752" s="49" t="str">
        <x:v>https://dse2025.mahacet.org.in/dse25/admin/allotment/cap2/6322_4.pdf</x:v>
      </x:c>
    </x:row>
    <x:row r="1753">
      <x:c r="A1753" s="49" t="str">
        <x:v>2025-26</x:v>
      </x:c>
      <x:c r="B1753" s="63" t="n">
        <x:v>6322</x:v>
      </x:c>
      <x:c r="C1753" s="49" t="str">
        <x:v>Shree Gajanan Maharaj Shikshan Prasarak Manda'l Sharadchandra Pawar College of Engineering, Dumbarwadi</x:v>
      </x:c>
      <x:c r="D1753" s="72" t="n">
        <x:v>632237210</x:v>
      </x:c>
      <x:c r="E1753" s="49" t="str">
        <x:v>Electronics and Telecommunication Engg</x:v>
      </x:c>
      <x:c r="F1753" s="73" t="n">
        <x:v>24</x:v>
      </x:c>
      <x:c r="G1753" s="73" t="n">
        <x:v>21</x:v>
      </x:c>
      <x:c r="H1753" s="73" t="n">
        <x:v>3</x:v>
      </x:c>
      <x:c r="I1753" s="73"/>
      <x:c r="J1753" s="73" t="n">
        <x:v>0</x:v>
      </x:c>
      <x:c r="K1753" s="49" t="str">
        <x:v>Un-Aided</x:v>
      </x:c>
      <x:c r="L1753" s="49" t="str">
        <x:v>MS Seats : 21+ EWS : 3</x:v>
      </x:c>
      <x:c r="M1753" s="49" t="str">
        <x:v>https://dse2025.mahacet.org.in/dse25/admin/allotment/cap2/6322_4.pdf</x:v>
      </x:c>
    </x:row>
    <x:row r="1754">
      <x:c r="A1754" s="49" t="str">
        <x:v>2025-26</x:v>
      </x:c>
      <x:c r="B1754" s="63" t="n">
        <x:v>6322</x:v>
      </x:c>
      <x:c r="C1754" s="49" t="str">
        <x:v>Shree Gajanan Maharaj Shikshan Prasarak Manda'l Sharadchandra Pawar College of Engineering, Dumbarwadi</x:v>
      </x:c>
      <x:c r="D1754" s="72" t="n">
        <x:v>632261210</x:v>
      </x:c>
      <x:c r="E1754" s="49" t="str">
        <x:v>Mechanical Engineering</x:v>
      </x:c>
      <x:c r="F1754" s="73" t="n">
        <x:v>36</x:v>
      </x:c>
      <x:c r="G1754" s="73" t="n">
        <x:v>33</x:v>
      </x:c>
      <x:c r="H1754" s="73" t="n">
        <x:v>3</x:v>
      </x:c>
      <x:c r="I1754" s="73"/>
      <x:c r="J1754" s="73" t="n">
        <x:v>0</x:v>
      </x:c>
      <x:c r="K1754" s="49" t="str">
        <x:v>Un-Aided</x:v>
      </x:c>
      <x:c r="L1754" s="49" t="str">
        <x:v>MS Seats : 33+ EWS : 3</x:v>
      </x:c>
      <x:c r="M1754" s="49" t="str">
        <x:v>https://dse2025.mahacet.org.in/dse25/admin/allotment/cap2/6322_4.pdf</x:v>
      </x:c>
    </x:row>
    <x:row r="1755">
      <x:c r="A1755" s="49" t="str">
        <x:v>2025-26</x:v>
      </x:c>
      <x:c r="B1755" s="63" t="n">
        <x:v>6322</x:v>
      </x:c>
      <x:c r="C1755" s="49" t="str">
        <x:v>Shree Gajanan Maharaj Shikshan Prasarak Manda'l Sharadchandra Pawar College of Engineering, Dumbarwadi</x:v>
      </x:c>
      <x:c r="D1755" s="72" t="n">
        <x:v>632292110</x:v>
      </x:c>
      <x:c r="E1755" s="49" t="str">
        <x:v>Artificial Intelligence and Machine Learning</x:v>
      </x:c>
      <x:c r="F1755" s="73" t="n">
        <x:v>41</x:v>
      </x:c>
      <x:c r="G1755" s="73" t="n">
        <x:v>35</x:v>
      </x:c>
      <x:c r="H1755" s="73" t="n">
        <x:v>6</x:v>
      </x:c>
      <x:c r="I1755" s="73"/>
      <x:c r="J1755" s="73" t="n">
        <x:v>0</x:v>
      </x:c>
      <x:c r="K1755" s="49" t="str">
        <x:v>Un-Aided</x:v>
      </x:c>
      <x:c r="L1755" s="49" t="str">
        <x:v>MS Seats : 35+ EWS : 6</x:v>
      </x:c>
      <x:c r="M1755" s="49" t="str">
        <x:v>https://dse2025.mahacet.org.in/dse25/admin/allotment/cap2/6322_4.pdf</x:v>
      </x:c>
    </x:row>
    <x:row r="1756">
      <x:c r="A1756" s="49" t="str">
        <x:v>2025-26</x:v>
      </x:c>
      <x:c r="B1756" s="63" t="n">
        <x:v>6324</x:v>
      </x:c>
      <x:c r="C1756" s="49" t="str">
        <x:v>Rajgad Technical Campus</x:v>
      </x:c>
      <x:c r="D1756" s="72" t="n">
        <x:v>632419110</x:v>
      </x:c>
      <x:c r="E1756" s="49" t="str">
        <x:v>Civil Engineering</x:v>
      </x:c>
      <x:c r="F1756" s="73" t="n">
        <x:v>43</x:v>
      </x:c>
      <x:c r="G1756" s="73" t="n">
        <x:v>36</x:v>
      </x:c>
      <x:c r="H1756" s="73" t="n">
        <x:v>7</x:v>
      </x:c>
      <x:c r="I1756" s="73"/>
      <x:c r="J1756" s="73" t="n">
        <x:v>0</x:v>
      </x:c>
      <x:c r="K1756" s="49" t="str">
        <x:v>Un-Aided</x:v>
      </x:c>
      <x:c r="L1756" s="49" t="str">
        <x:v>MS Seats : 36+ EWS : 7</x:v>
      </x:c>
      <x:c r="M1756" s="49" t="str">
        <x:v>https://dse2025.mahacet.org.in/dse25/admin/allotment/cap2/6324_4.pdf</x:v>
      </x:c>
    </x:row>
    <x:row r="1757">
      <x:c r="A1757" s="49" t="str">
        <x:v>2025-26</x:v>
      </x:c>
      <x:c r="B1757" s="63" t="n">
        <x:v>6324</x:v>
      </x:c>
      <x:c r="C1757" s="49" t="str">
        <x:v>Rajgad Technical Campus</x:v>
      </x:c>
      <x:c r="D1757" s="72" t="n">
        <x:v>632424510</x:v>
      </x:c>
      <x:c r="E1757" s="49" t="str">
        <x:v>Computer Engineering</x:v>
      </x:c>
      <x:c r="F1757" s="73" t="n">
        <x:v>37</x:v>
      </x:c>
      <x:c r="G1757" s="73" t="n">
        <x:v>32</x:v>
      </x:c>
      <x:c r="H1757" s="73" t="n">
        <x:v>5</x:v>
      </x:c>
      <x:c r="I1757" s="73"/>
      <x:c r="J1757" s="73" t="n">
        <x:v>0</x:v>
      </x:c>
      <x:c r="K1757" s="49" t="str">
        <x:v>Un-Aided</x:v>
      </x:c>
      <x:c r="L1757" s="49" t="str">
        <x:v>MS Seats : 32+ EWS : 5</x:v>
      </x:c>
      <x:c r="M1757" s="49" t="str">
        <x:v>https://dse2025.mahacet.org.in/dse25/admin/allotment/cap2/6324_4.pdf</x:v>
      </x:c>
    </x:row>
    <x:row r="1758">
      <x:c r="A1758" s="49" t="str">
        <x:v>2025-26</x:v>
      </x:c>
      <x:c r="B1758" s="63" t="n">
        <x:v>6324</x:v>
      </x:c>
      <x:c r="C1758" s="49" t="str">
        <x:v>Rajgad Technical Campus</x:v>
      </x:c>
      <x:c r="D1758" s="72" t="n">
        <x:v>632426310</x:v>
      </x:c>
      <x:c r="E1758" s="49" t="str">
        <x:v>Artificial Intelligence (AI) and Data Science</x:v>
      </x:c>
      <x:c r="F1758" s="73" t="n">
        <x:v>31</x:v>
      </x:c>
      <x:c r="G1758" s="73" t="n">
        <x:v>27</x:v>
      </x:c>
      <x:c r="H1758" s="73" t="n">
        <x:v>4</x:v>
      </x:c>
      <x:c r="I1758" s="73"/>
      <x:c r="J1758" s="73" t="n">
        <x:v>0</x:v>
      </x:c>
      <x:c r="K1758" s="49" t="str">
        <x:v>Un-Aided</x:v>
      </x:c>
      <x:c r="L1758" s="49" t="str">
        <x:v>MS Seats : 27+ EWS : 4</x:v>
      </x:c>
      <x:c r="M1758" s="49" t="str">
        <x:v>https://dse2025.mahacet.org.in/dse25/admin/allotment/cap2/6324_4.pdf</x:v>
      </x:c>
    </x:row>
    <x:row r="1759">
      <x:c r="A1759" s="49" t="str">
        <x:v>2025-26</x:v>
      </x:c>
      <x:c r="B1759" s="63" t="n">
        <x:v>6324</x:v>
      </x:c>
      <x:c r="C1759" s="49" t="str">
        <x:v>Rajgad Technical Campus</x:v>
      </x:c>
      <x:c r="D1759" s="72" t="n">
        <x:v>632437210</x:v>
      </x:c>
      <x:c r="E1759" s="49" t="str">
        <x:v>Electronics and Telecommunication Engg</x:v>
      </x:c>
      <x:c r="F1759" s="73" t="n">
        <x:v>26</x:v>
      </x:c>
      <x:c r="G1759" s="73" t="n">
        <x:v>22</x:v>
      </x:c>
      <x:c r="H1759" s="73" t="n">
        <x:v>4</x:v>
      </x:c>
      <x:c r="I1759" s="73"/>
      <x:c r="J1759" s="73" t="n">
        <x:v>0</x:v>
      </x:c>
      <x:c r="K1759" s="49" t="str">
        <x:v>Un-Aided</x:v>
      </x:c>
      <x:c r="L1759" s="49" t="str">
        <x:v>MS Seats : 22+ EWS : 4</x:v>
      </x:c>
      <x:c r="M1759" s="49" t="str">
        <x:v>https://dse2025.mahacet.org.in/dse25/admin/allotment/cap2/6324_4.pdf</x:v>
      </x:c>
    </x:row>
    <x:row r="1760">
      <x:c r="A1760" s="49" t="str">
        <x:v>2025-26</x:v>
      </x:c>
      <x:c r="B1760" s="63" t="n">
        <x:v>6324</x:v>
      </x:c>
      <x:c r="C1760" s="49" t="str">
        <x:v>Rajgad Technical Campus</x:v>
      </x:c>
      <x:c r="D1760" s="72" t="n">
        <x:v>632461210</x:v>
      </x:c>
      <x:c r="E1760" s="49" t="str">
        <x:v>Mechanical Engineering</x:v>
      </x:c>
      <x:c r="F1760" s="73" t="n">
        <x:v>27</x:v>
      </x:c>
      <x:c r="G1760" s="73" t="n">
        <x:v>22</x:v>
      </x:c>
      <x:c r="H1760" s="73" t="n">
        <x:v>5</x:v>
      </x:c>
      <x:c r="I1760" s="73"/>
      <x:c r="J1760" s="73" t="n">
        <x:v>0</x:v>
      </x:c>
      <x:c r="K1760" s="49" t="str">
        <x:v>Un-Aided</x:v>
      </x:c>
      <x:c r="L1760" s="49" t="str">
        <x:v>MS Seats : 22+ EWS : 5</x:v>
      </x:c>
      <x:c r="M1760" s="49" t="str">
        <x:v>https://dse2025.mahacet.org.in/dse25/admin/allotment/cap2/6324_4.pdf</x:v>
      </x:c>
    </x:row>
    <x:row r="1761">
      <x:c r="A1761" s="49" t="str">
        <x:v>2025-26</x:v>
      </x:c>
      <x:c r="B1761" s="63" t="n">
        <x:v>6325</x:v>
      </x:c>
      <x:c r="C1761" s="49" t="str">
        <x:v>Alard Charitable Trust's Alard College of Engineering and Management, Pune</x:v>
      </x:c>
      <x:c r="D1761" s="72" t="n">
        <x:v>632519110</x:v>
      </x:c>
      <x:c r="E1761" s="49" t="str">
        <x:v>Civil Engineering</x:v>
      </x:c>
      <x:c r="F1761" s="73" t="n">
        <x:v>15</x:v>
      </x:c>
      <x:c r="G1761" s="73" t="n">
        <x:v>7</x:v>
      </x:c>
      <x:c r="H1761" s="73"/>
      <x:c r="I1761" s="73" t="n">
        <x:v>8</x:v>
      </x:c>
      <x:c r="J1761" s="73" t="n">
        <x:v>0</x:v>
      </x:c>
      <x:c r="K1761" s="49" t="str">
        <x:v>Un-Aided Linguistic Minority - Hindi</x:v>
      </x:c>
      <x:c r="L1761" s="49" t="str">
        <x:v>MS Seats : 7 + Minority Seats : 8</x:v>
      </x:c>
      <x:c r="M1761" s="49" t="str">
        <x:v>https://dse2025.mahacet.org.in/dse25/admin/allotment/cap2/6325_4.pdf</x:v>
      </x:c>
    </x:row>
    <x:row r="1762">
      <x:c r="A1762" s="49" t="str">
        <x:v>2025-26</x:v>
      </x:c>
      <x:c r="B1762" s="63" t="n">
        <x:v>6325</x:v>
      </x:c>
      <x:c r="C1762" s="49" t="str">
        <x:v>Alard Charitable Trust's Alard College of Engineering and Management, Pune</x:v>
      </x:c>
      <x:c r="D1762" s="72" t="n">
        <x:v>632524510</x:v>
      </x:c>
      <x:c r="E1762" s="49" t="str">
        <x:v>Computer Engineering</x:v>
      </x:c>
      <x:c r="F1762" s="73" t="n">
        <x:v>9</x:v>
      </x:c>
      <x:c r="G1762" s="73" t="n">
        <x:v>4</x:v>
      </x:c>
      <x:c r="H1762" s="73"/>
      <x:c r="I1762" s="73" t="n">
        <x:v>5</x:v>
      </x:c>
      <x:c r="J1762" s="73" t="n">
        <x:v>0</x:v>
      </x:c>
      <x:c r="K1762" s="49" t="str">
        <x:v>Un-Aided Linguistic Minority - Hindi</x:v>
      </x:c>
      <x:c r="L1762" s="49" t="str">
        <x:v>MS Seats : 4 + Minority Seats : 5</x:v>
      </x:c>
      <x:c r="M1762" s="49" t="str">
        <x:v>https://dse2025.mahacet.org.in/dse25/admin/allotment/cap2/6325_4.pdf</x:v>
      </x:c>
    </x:row>
    <x:row r="1763">
      <x:c r="A1763" s="49" t="str">
        <x:v>2025-26</x:v>
      </x:c>
      <x:c r="B1763" s="63" t="n">
        <x:v>6325</x:v>
      </x:c>
      <x:c r="C1763" s="49" t="str">
        <x:v>Alard Charitable Trust's Alard College of Engineering and Management, Pune</x:v>
      </x:c>
      <x:c r="D1763" s="72" t="n">
        <x:v>632525710</x:v>
      </x:c>
      <x:c r="E1763" s="49" t="str">
        <x:v>Computer Science and Design</x:v>
      </x:c>
      <x:c r="F1763" s="73" t="n">
        <x:v>12</x:v>
      </x:c>
      <x:c r="G1763" s="73" t="n">
        <x:v>5</x:v>
      </x:c>
      <x:c r="H1763" s="73"/>
      <x:c r="I1763" s="73" t="n">
        <x:v>7</x:v>
      </x:c>
      <x:c r="J1763" s="73" t="n">
        <x:v>0</x:v>
      </x:c>
      <x:c r="K1763" s="49" t="str">
        <x:v>Un-Aided Linguistic Minority - Hindi</x:v>
      </x:c>
      <x:c r="L1763" s="49" t="str">
        <x:v>MS Seats : 5 + Minority Seats : 7</x:v>
      </x:c>
      <x:c r="M1763" s="49" t="str">
        <x:v>https://dse2025.mahacet.org.in/dse25/admin/allotment/cap2/6325_4.pdf</x:v>
      </x:c>
    </x:row>
    <x:row r="1764">
      <x:c r="A1764" s="49" t="str">
        <x:v>2025-26</x:v>
      </x:c>
      <x:c r="B1764" s="63" t="n">
        <x:v>6325</x:v>
      </x:c>
      <x:c r="C1764" s="49" t="str">
        <x:v>Alard Charitable Trust's Alard College of Engineering and Management, Pune</x:v>
      </x:c>
      <x:c r="D1764" s="72" t="n">
        <x:v>632529310</x:v>
      </x:c>
      <x:c r="E1764" s="49" t="str">
        <x:v>Electrical Engineering</x:v>
      </x:c>
      <x:c r="F1764" s="73" t="n">
        <x:v>16</x:v>
      </x:c>
      <x:c r="G1764" s="73" t="n">
        <x:v>7</x:v>
      </x:c>
      <x:c r="H1764" s="73"/>
      <x:c r="I1764" s="73" t="n">
        <x:v>9</x:v>
      </x:c>
      <x:c r="J1764" s="73" t="n">
        <x:v>0</x:v>
      </x:c>
      <x:c r="K1764" s="49" t="str">
        <x:v>Un-Aided Linguistic Minority - Hindi</x:v>
      </x:c>
      <x:c r="L1764" s="49" t="str">
        <x:v>MS Seats : 7 + Minority Seats : 9</x:v>
      </x:c>
      <x:c r="M1764" s="49" t="str">
        <x:v>https://dse2025.mahacet.org.in/dse25/admin/allotment/cap2/6325_4.pdf</x:v>
      </x:c>
    </x:row>
    <x:row r="1765">
      <x:c r="A1765" s="49" t="str">
        <x:v>2025-26</x:v>
      </x:c>
      <x:c r="B1765" s="63" t="n">
        <x:v>6325</x:v>
      </x:c>
      <x:c r="C1765" s="49" t="str">
        <x:v>Alard Charitable Trust's Alard College of Engineering and Management, Pune</x:v>
      </x:c>
      <x:c r="D1765" s="72" t="n">
        <x:v>632537210</x:v>
      </x:c>
      <x:c r="E1765" s="49" t="str">
        <x:v>Electronics and Telecommunication Engg</x:v>
      </x:c>
      <x:c r="F1765" s="73" t="n">
        <x:v>25</x:v>
      </x:c>
      <x:c r="G1765" s="73" t="n">
        <x:v>11</x:v>
      </x:c>
      <x:c r="H1765" s="73"/>
      <x:c r="I1765" s="73" t="n">
        <x:v>14</x:v>
      </x:c>
      <x:c r="J1765" s="73" t="n">
        <x:v>0</x:v>
      </x:c>
      <x:c r="K1765" s="49" t="str">
        <x:v>Un-Aided Linguistic Minority - Hindi</x:v>
      </x:c>
      <x:c r="L1765" s="49" t="str">
        <x:v>MS Seats : 11 + Minority Seats : 14</x:v>
      </x:c>
      <x:c r="M1765" s="49" t="str">
        <x:v>https://dse2025.mahacet.org.in/dse25/admin/allotment/cap2/6325_4.pdf</x:v>
      </x:c>
    </x:row>
    <x:row r="1766">
      <x:c r="A1766" s="49" t="str">
        <x:v>2025-26</x:v>
      </x:c>
      <x:c r="B1766" s="63" t="n">
        <x:v>6325</x:v>
      </x:c>
      <x:c r="C1766" s="49" t="str">
        <x:v>Alard Charitable Trust's Alard College of Engineering and Management, Pune</x:v>
      </x:c>
      <x:c r="D1766" s="72" t="n">
        <x:v>632537810</x:v>
      </x:c>
      <x:c r="E1766" s="49" t="str">
        <x:v>Electronics Engineering ( VLSI Design and Technology)</x:v>
      </x:c>
      <x:c r="F1766" s="73" t="n">
        <x:v>37</x:v>
      </x:c>
      <x:c r="G1766" s="73" t="n">
        <x:v>17</x:v>
      </x:c>
      <x:c r="H1766" s="73"/>
      <x:c r="I1766" s="73" t="n">
        <x:v>20</x:v>
      </x:c>
      <x:c r="J1766" s="73" t="n">
        <x:v>0</x:v>
      </x:c>
      <x:c r="K1766" s="49" t="str">
        <x:v>Un-Aided Linguistic Minority - Hindi</x:v>
      </x:c>
      <x:c r="L1766" s="49" t="str">
        <x:v>MS Seats : 17 + Minority Seats : 20</x:v>
      </x:c>
      <x:c r="M1766" s="49" t="str">
        <x:v>https://dse2025.mahacet.org.in/dse25/admin/allotment/cap2/6325_4.pdf</x:v>
      </x:c>
    </x:row>
    <x:row r="1767">
      <x:c r="A1767" s="49" t="str">
        <x:v>2025-26</x:v>
      </x:c>
      <x:c r="B1767" s="63" t="n">
        <x:v>6325</x:v>
      </x:c>
      <x:c r="C1767" s="49" t="str">
        <x:v>Alard Charitable Trust's Alard College of Engineering and Management, Pune</x:v>
      </x:c>
      <x:c r="D1767" s="72" t="n">
        <x:v>632561210</x:v>
      </x:c>
      <x:c r="E1767" s="49" t="str">
        <x:v>Mechanical Engineering</x:v>
      </x:c>
      <x:c r="F1767" s="73" t="n">
        <x:v>34</x:v>
      </x:c>
      <x:c r="G1767" s="73" t="n">
        <x:v>16</x:v>
      </x:c>
      <x:c r="H1767" s="73"/>
      <x:c r="I1767" s="73" t="n">
        <x:v>18</x:v>
      </x:c>
      <x:c r="J1767" s="73" t="n">
        <x:v>0</x:v>
      </x:c>
      <x:c r="K1767" s="49" t="str">
        <x:v>Un-Aided Linguistic Minority - Hindi</x:v>
      </x:c>
      <x:c r="L1767" s="49" t="str">
        <x:v>MS Seats : 16 + Minority Seats : 18</x:v>
      </x:c>
      <x:c r="M1767" s="49" t="str">
        <x:v>https://dse2025.mahacet.org.in/dse25/admin/allotment/cap2/6325_4.pdf</x:v>
      </x:c>
    </x:row>
    <x:row r="1768">
      <x:c r="A1768" s="49" t="str">
        <x:v>2025-26</x:v>
      </x:c>
      <x:c r="B1768" s="63" t="n">
        <x:v>6325</x:v>
      </x:c>
      <x:c r="C1768" s="49" t="str">
        <x:v>Alard Charitable Trust's Alard College of Engineering and Management, Pune</x:v>
      </x:c>
      <x:c r="D1768" s="72" t="n">
        <x:v>632592110</x:v>
      </x:c>
      <x:c r="E1768" s="49" t="str">
        <x:v>Artificial Intelligence and Machine Learning</x:v>
      </x:c>
      <x:c r="F1768" s="73" t="n">
        <x:v>15</x:v>
      </x:c>
      <x:c r="G1768" s="73" t="n">
        <x:v>7</x:v>
      </x:c>
      <x:c r="H1768" s="73"/>
      <x:c r="I1768" s="73" t="n">
        <x:v>8</x:v>
      </x:c>
      <x:c r="J1768" s="73" t="n">
        <x:v>0</x:v>
      </x:c>
      <x:c r="K1768" s="49" t="str">
        <x:v>Un-Aided Linguistic Minority - Hindi</x:v>
      </x:c>
      <x:c r="L1768" s="49" t="str">
        <x:v>MS Seats : 7 + Minority Seats : 8</x:v>
      </x:c>
      <x:c r="M1768" s="49" t="str">
        <x:v>https://dse2025.mahacet.org.in/dse25/admin/allotment/cap2/6325_4.pdf</x:v>
      </x:c>
    </x:row>
    <x:row r="1769">
      <x:c r="A1769" s="49" t="str">
        <x:v>2025-26</x:v>
      </x:c>
      <x:c r="B1769" s="63" t="n">
        <x:v>6325</x:v>
      </x:c>
      <x:c r="C1769" s="49" t="str">
        <x:v>Alard Charitable Trust's Alard College of Engineering and Management, Pune</x:v>
      </x:c>
      <x:c r="D1769" s="72" t="n">
        <x:v>632593310</x:v>
      </x:c>
      <x:c r="E1769" s="49" t="str">
        <x:v>Electronics and Communication (Advanced Communication Technology)</x:v>
      </x:c>
      <x:c r="F1769" s="73" t="n">
        <x:v>28</x:v>
      </x:c>
      <x:c r="G1769" s="73" t="n">
        <x:v>12</x:v>
      </x:c>
      <x:c r="H1769" s="73"/>
      <x:c r="I1769" s="73" t="n">
        <x:v>16</x:v>
      </x:c>
      <x:c r="J1769" s="73" t="n">
        <x:v>0</x:v>
      </x:c>
      <x:c r="K1769" s="49" t="str">
        <x:v>Un-Aided Linguistic Minority - Hindi</x:v>
      </x:c>
      <x:c r="L1769" s="49" t="str">
        <x:v>MS Seats : 12 + Minority Seats : 16</x:v>
      </x:c>
      <x:c r="M1769" s="49" t="str">
        <x:v>https://dse2025.mahacet.org.in/dse25/admin/allotment/cap2/6325_4.pdf</x:v>
      </x:c>
    </x:row>
    <x:row r="1770">
      <x:c r="A1770" s="49" t="str">
        <x:v>2025-26</x:v>
      </x:c>
      <x:c r="B1770" s="63" t="n">
        <x:v>6326</x:v>
      </x:c>
      <x:c r="C1770" s="49" t="str">
        <x:v>Karmayogi Institute of Technology</x:v>
      </x:c>
      <x:c r="D1770" s="72" t="n">
        <x:v>632619110</x:v>
      </x:c>
      <x:c r="E1770" s="49" t="str">
        <x:v>Civil Engineering</x:v>
      </x:c>
      <x:c r="F1770" s="73" t="n">
        <x:v>21</x:v>
      </x:c>
      <x:c r="G1770" s="73" t="n">
        <x:v>16</x:v>
      </x:c>
      <x:c r="H1770" s="73" t="n">
        <x:v>5</x:v>
      </x:c>
      <x:c r="I1770" s="73"/>
      <x:c r="J1770" s="73" t="n">
        <x:v>0</x:v>
      </x:c>
      <x:c r="K1770" s="49" t="str">
        <x:v>Un-Aided</x:v>
      </x:c>
      <x:c r="L1770" s="49" t="str">
        <x:v>MS Seats : 16+ EWS : 5</x:v>
      </x:c>
      <x:c r="M1770" s="49" t="str">
        <x:v>https://dse2025.mahacet.org.in/dse25/admin/allotment/cap2/6326_4.pdf</x:v>
      </x:c>
    </x:row>
    <x:row r="1771">
      <x:c r="A1771" s="49" t="str">
        <x:v>2025-26</x:v>
      </x:c>
      <x:c r="B1771" s="63" t="n">
        <x:v>6326</x:v>
      </x:c>
      <x:c r="C1771" s="49" t="str">
        <x:v>Karmayogi Institute of Technology</x:v>
      </x:c>
      <x:c r="D1771" s="72" t="n">
        <x:v>632624210</x:v>
      </x:c>
      <x:c r="E1771" s="49" t="str">
        <x:v>Computer Science and Engineering</x:v>
      </x:c>
      <x:c r="F1771" s="73" t="n">
        <x:v>10</x:v>
      </x:c>
      <x:c r="G1771" s="73" t="n">
        <x:v>9</x:v>
      </x:c>
      <x:c r="H1771" s="73" t="n">
        <x:v>1</x:v>
      </x:c>
      <x:c r="I1771" s="73"/>
      <x:c r="J1771" s="73" t="n">
        <x:v>0</x:v>
      </x:c>
      <x:c r="K1771" s="49" t="str">
        <x:v>Un-Aided</x:v>
      </x:c>
      <x:c r="L1771" s="49" t="str">
        <x:v>MS Seats : 9+ EWS : 1</x:v>
      </x:c>
      <x:c r="M1771" s="49" t="str">
        <x:v>https://dse2025.mahacet.org.in/dse25/admin/allotment/cap2/6326_4.pdf</x:v>
      </x:c>
    </x:row>
    <x:row r="1772">
      <x:c r="A1772" s="49" t="str">
        <x:v>2025-26</x:v>
      </x:c>
      <x:c r="B1772" s="63" t="n">
        <x:v>6326</x:v>
      </x:c>
      <x:c r="C1772" s="49" t="str">
        <x:v>Karmayogi Institute of Technology</x:v>
      </x:c>
      <x:c r="D1772" s="72" t="n">
        <x:v>632637210</x:v>
      </x:c>
      <x:c r="E1772" s="49" t="str">
        <x:v>Electronics and Telecommunication Engg</x:v>
      </x:c>
      <x:c r="F1772" s="73" t="n">
        <x:v>20</x:v>
      </x:c>
      <x:c r="G1772" s="73" t="n">
        <x:v>18</x:v>
      </x:c>
      <x:c r="H1772" s="73" t="n">
        <x:v>2</x:v>
      </x:c>
      <x:c r="I1772" s="73"/>
      <x:c r="J1772" s="73" t="n">
        <x:v>0</x:v>
      </x:c>
      <x:c r="K1772" s="49" t="str">
        <x:v>Un-Aided</x:v>
      </x:c>
      <x:c r="L1772" s="49" t="str">
        <x:v>MS Seats : 18+ EWS : 2</x:v>
      </x:c>
      <x:c r="M1772" s="49" t="str">
        <x:v>https://dse2025.mahacet.org.in/dse25/admin/allotment/cap2/6326_4.pdf</x:v>
      </x:c>
    </x:row>
    <x:row r="1773">
      <x:c r="A1773" s="49" t="str">
        <x:v>2025-26</x:v>
      </x:c>
      <x:c r="B1773" s="63" t="n">
        <x:v>6326</x:v>
      </x:c>
      <x:c r="C1773" s="49" t="str">
        <x:v>Karmayogi Institute of Technology</x:v>
      </x:c>
      <x:c r="D1773" s="72" t="n">
        <x:v>632661210</x:v>
      </x:c>
      <x:c r="E1773" s="49" t="str">
        <x:v>Mechanical Engineering</x:v>
      </x:c>
      <x:c r="F1773" s="73" t="n">
        <x:v>24</x:v>
      </x:c>
      <x:c r="G1773" s="73" t="n">
        <x:v>19</x:v>
      </x:c>
      <x:c r="H1773" s="73" t="n">
        <x:v>5</x:v>
      </x:c>
      <x:c r="I1773" s="73"/>
      <x:c r="J1773" s="73" t="n">
        <x:v>0</x:v>
      </x:c>
      <x:c r="K1773" s="49" t="str">
        <x:v>Un-Aided</x:v>
      </x:c>
      <x:c r="L1773" s="49" t="str">
        <x:v>MS Seats : 19+ EWS : 5</x:v>
      </x:c>
      <x:c r="M1773" s="49" t="str">
        <x:v>https://dse2025.mahacet.org.in/dse25/admin/allotment/cap2/6326_4.pdf</x:v>
      </x:c>
    </x:row>
    <x:row r="1774">
      <x:c r="A1774" s="49" t="str">
        <x:v>2025-26</x:v>
      </x:c>
      <x:c r="B1774" s="63" t="n">
        <x:v>6402</x:v>
      </x:c>
      <x:c r="C1774" s="49" t="str">
        <x:v>NEW INSTITUTE OF TECHNOLOGY,KOLHAPUR</x:v>
      </x:c>
      <x:c r="D1774" s="72" t="n">
        <x:v>640224210</x:v>
      </x:c>
      <x:c r="E1774" s="49" t="str">
        <x:v>Computer Science and Engineering</x:v>
      </x:c>
      <x:c r="F1774" s="73" t="n">
        <x:v>33</x:v>
      </x:c>
      <x:c r="G1774" s="73" t="n">
        <x:v>27</x:v>
      </x:c>
      <x:c r="H1774" s="73" t="n">
        <x:v>6</x:v>
      </x:c>
      <x:c r="I1774" s="73"/>
      <x:c r="J1774" s="73" t="n">
        <x:v>0</x:v>
      </x:c>
      <x:c r="K1774" s="49" t="str">
        <x:v>Un-Aided</x:v>
      </x:c>
      <x:c r="L1774" s="49" t="str">
        <x:v>MS Seats : 27+ EWS : 6</x:v>
      </x:c>
      <x:c r="M1774" s="49" t="str">
        <x:v>https://dse2025.mahacet.org.in/dse25/admin/allotment/cap2/6402_4.pdf</x:v>
      </x:c>
    </x:row>
    <x:row r="1775">
      <x:c r="A1775" s="49" t="str">
        <x:v>2025-26</x:v>
      </x:c>
      <x:c r="B1775" s="63" t="n">
        <x:v>6402</x:v>
      </x:c>
      <x:c r="C1775" s="49" t="str">
        <x:v>NEW INSTITUTE OF TECHNOLOGY,KOLHAPUR</x:v>
      </x:c>
      <x:c r="D1775" s="72" t="n">
        <x:v>640225910</x:v>
      </x:c>
      <x:c r="E1775" s="49" t="str">
        <x:v>Mechanical and Mechatronics Engineering (Additive Manufacturing)</x:v>
      </x:c>
      <x:c r="F1775" s="73" t="n">
        <x:v>63</x:v>
      </x:c>
      <x:c r="G1775" s="73" t="n">
        <x:v>56</x:v>
      </x:c>
      <x:c r="H1775" s="73" t="n">
        <x:v>7</x:v>
      </x:c>
      <x:c r="I1775" s="73"/>
      <x:c r="J1775" s="73" t="n">
        <x:v>0</x:v>
      </x:c>
      <x:c r="K1775" s="49" t="str">
        <x:v>Un-Aided</x:v>
      </x:c>
      <x:c r="L1775" s="49" t="str">
        <x:v>MS Seats : 56+ EWS : 7</x:v>
      </x:c>
      <x:c r="M1775" s="49" t="str">
        <x:v>https://dse2025.mahacet.org.in/dse25/admin/allotment/cap2/6402_4.pdf</x:v>
      </x:c>
    </x:row>
    <x:row r="1776">
      <x:c r="A1776" s="49" t="str">
        <x:v>2025-26</x:v>
      </x:c>
      <x:c r="B1776" s="63" t="n">
        <x:v>6402</x:v>
      </x:c>
      <x:c r="C1776" s="49" t="str">
        <x:v>NEW INSTITUTE OF TECHNOLOGY,KOLHAPUR</x:v>
      </x:c>
      <x:c r="D1776" s="72" t="n">
        <x:v>640257310</x:v>
      </x:c>
      <x:c r="E1776" s="49" t="str">
        <x:v>Electrical, Electronics and Power</x:v>
      </x:c>
      <x:c r="F1776" s="73" t="n">
        <x:v>69</x:v>
      </x:c>
      <x:c r="G1776" s="73" t="n">
        <x:v>62</x:v>
      </x:c>
      <x:c r="H1776" s="73" t="n">
        <x:v>7</x:v>
      </x:c>
      <x:c r="I1776" s="73"/>
      <x:c r="J1776" s="73" t="n">
        <x:v>0</x:v>
      </x:c>
      <x:c r="K1776" s="49" t="str">
        <x:v>Un-Aided</x:v>
      </x:c>
      <x:c r="L1776" s="49" t="str">
        <x:v>MS Seats : 62+ EWS : 7</x:v>
      </x:c>
      <x:c r="M1776" s="49" t="str">
        <x:v>https://dse2025.mahacet.org.in/dse25/admin/allotment/cap2/6402_4.pdf</x:v>
      </x:c>
    </x:row>
    <x:row r="1777">
      <x:c r="A1777" s="49" t="str">
        <x:v>2025-26</x:v>
      </x:c>
      <x:c r="B1777" s="63" t="n">
        <x:v>6402</x:v>
      </x:c>
      <x:c r="C1777" s="49" t="str">
        <x:v>NEW INSTITUTE OF TECHNOLOGY,KOLHAPUR</x:v>
      </x:c>
      <x:c r="D1777" s="72" t="n">
        <x:v>640291110</x:v>
      </x:c>
      <x:c r="E1777" s="49" t="str">
        <x:v>Computer Science and Engineering(Artificial Intelligence and Machine Learning)</x:v>
      </x:c>
      <x:c r="F1777" s="73" t="n">
        <x:v>36</x:v>
      </x:c>
      <x:c r="G1777" s="73" t="n">
        <x:v>29</x:v>
      </x:c>
      <x:c r="H1777" s="73" t="n">
        <x:v>7</x:v>
      </x:c>
      <x:c r="I1777" s="73"/>
      <x:c r="J1777" s="73" t="n">
        <x:v>0</x:v>
      </x:c>
      <x:c r="K1777" s="49" t="str">
        <x:v>Un-Aided</x:v>
      </x:c>
      <x:c r="L1777" s="49" t="str">
        <x:v>MS Seats : 29+ EWS : 7</x:v>
      </x:c>
      <x:c r="M1777" s="49" t="str">
        <x:v>https://dse2025.mahacet.org.in/dse25/admin/allotment/cap2/6402_4.pdf</x:v>
      </x:c>
    </x:row>
    <x:row r="1778">
      <x:c r="A1778" s="49" t="str">
        <x:v>2025-26</x:v>
      </x:c>
      <x:c r="B1778" s="63" t="n">
        <x:v>6444</x:v>
      </x:c>
      <x:c r="C1778" s="49" t="str">
        <x:v>Shriram Institute Of Engineering &amp; Technology, (Poly), Paniv</x:v>
      </x:c>
      <x:c r="D1778" s="72" t="n">
        <x:v>644419110</x:v>
      </x:c>
      <x:c r="E1778" s="49" t="str">
        <x:v>Civil Engineering</x:v>
      </x:c>
      <x:c r="F1778" s="73" t="n">
        <x:v>32</x:v>
      </x:c>
      <x:c r="G1778" s="73" t="n">
        <x:v>29</x:v>
      </x:c>
      <x:c r="H1778" s="73" t="n">
        <x:v>3</x:v>
      </x:c>
      <x:c r="I1778" s="73"/>
      <x:c r="J1778" s="73" t="n">
        <x:v>0</x:v>
      </x:c>
      <x:c r="K1778" s="49" t="str">
        <x:v>Un-Aided</x:v>
      </x:c>
      <x:c r="L1778" s="49" t="str">
        <x:v>MS Seats : 29+ EWS : 3</x:v>
      </x:c>
      <x:c r="M1778" s="49" t="str">
        <x:v>https://dse2025.mahacet.org.in/dse25/admin/allotment/cap2/6444_4.pdf</x:v>
      </x:c>
    </x:row>
    <x:row r="1779">
      <x:c r="A1779" s="49" t="str">
        <x:v>2025-26</x:v>
      </x:c>
      <x:c r="B1779" s="63" t="n">
        <x:v>6444</x:v>
      </x:c>
      <x:c r="C1779" s="49" t="str">
        <x:v>Shriram Institute Of Engineering &amp; Technology, (Poly), Paniv</x:v>
      </x:c>
      <x:c r="D1779" s="72" t="n">
        <x:v>644424510</x:v>
      </x:c>
      <x:c r="E1779" s="49" t="str">
        <x:v>Computer Engineering</x:v>
      </x:c>
      <x:c r="F1779" s="73" t="n">
        <x:v>46</x:v>
      </x:c>
      <x:c r="G1779" s="73" t="n">
        <x:v>34</x:v>
      </x:c>
      <x:c r="H1779" s="73" t="n">
        <x:v>12</x:v>
      </x:c>
      <x:c r="I1779" s="73"/>
      <x:c r="J1779" s="73" t="n">
        <x:v>0</x:v>
      </x:c>
      <x:c r="K1779" s="49" t="str">
        <x:v>Un-Aided</x:v>
      </x:c>
      <x:c r="L1779" s="49" t="str">
        <x:v>MS Seats : 34+ EWS : 12</x:v>
      </x:c>
      <x:c r="M1779" s="49" t="str">
        <x:v>https://dse2025.mahacet.org.in/dse25/admin/allotment/cap2/6444_4.pdf</x:v>
      </x:c>
    </x:row>
    <x:row r="1780">
      <x:c r="A1780" s="49" t="str">
        <x:v>2025-26</x:v>
      </x:c>
      <x:c r="B1780" s="63" t="n">
        <x:v>6444</x:v>
      </x:c>
      <x:c r="C1780" s="49" t="str">
        <x:v>Shriram Institute Of Engineering &amp; Technology, (Poly), Paniv</x:v>
      </x:c>
      <x:c r="D1780" s="72" t="n">
        <x:v>644461210</x:v>
      </x:c>
      <x:c r="E1780" s="49" t="str">
        <x:v>Mechanical Engineering</x:v>
      </x:c>
      <x:c r="F1780" s="73" t="n">
        <x:v>26</x:v>
      </x:c>
      <x:c r="G1780" s="73" t="n">
        <x:v>24</x:v>
      </x:c>
      <x:c r="H1780" s="73" t="n">
        <x:v>2</x:v>
      </x:c>
      <x:c r="I1780" s="73"/>
      <x:c r="J1780" s="73" t="n">
        <x:v>0</x:v>
      </x:c>
      <x:c r="K1780" s="49" t="str">
        <x:v>Un-Aided</x:v>
      </x:c>
      <x:c r="L1780" s="49" t="str">
        <x:v>MS Seats : 24+ EWS : 2</x:v>
      </x:c>
      <x:c r="M1780" s="49" t="str">
        <x:v>https://dse2025.mahacet.org.in/dse25/admin/allotment/cap2/6444_4.pdf</x:v>
      </x:c>
    </x:row>
    <x:row r="1781">
      <x:c r="A1781" s="49" t="str">
        <x:v>2025-26</x:v>
      </x:c>
      <x:c r="B1781" s="63" t="n">
        <x:v>6466</x:v>
      </x:c>
      <x:c r="C1781" s="49" t="str">
        <x:v>Shree Santkrupa Shikshan Sanstha, Shree Santkrupa Institute Of Engineering &amp; Technology, Karad</x:v>
      </x:c>
      <x:c r="D1781" s="72" t="n">
        <x:v>646619110</x:v>
      </x:c>
      <x:c r="E1781" s="49" t="str">
        <x:v>Civil Engineering</x:v>
      </x:c>
      <x:c r="F1781" s="73" t="n">
        <x:v>32</x:v>
      </x:c>
      <x:c r="G1781" s="73" t="n">
        <x:v>29</x:v>
      </x:c>
      <x:c r="H1781" s="73" t="n">
        <x:v>3</x:v>
      </x:c>
      <x:c r="I1781" s="73"/>
      <x:c r="J1781" s="73" t="n">
        <x:v>0</x:v>
      </x:c>
      <x:c r="K1781" s="49" t="str">
        <x:v>Un-Aided</x:v>
      </x:c>
      <x:c r="L1781" s="49" t="str">
        <x:v>MS Seats : 29+ EWS : 3</x:v>
      </x:c>
      <x:c r="M1781" s="49" t="str">
        <x:v>https://dse2025.mahacet.org.in/dse25/admin/allotment/cap2/6466_4.pdf</x:v>
      </x:c>
    </x:row>
    <x:row r="1782">
      <x:c r="A1782" s="49" t="str">
        <x:v>2025-26</x:v>
      </x:c>
      <x:c r="B1782" s="63" t="n">
        <x:v>6466</x:v>
      </x:c>
      <x:c r="C1782" s="49" t="str">
        <x:v>Shree Santkrupa Shikshan Sanstha, Shree Santkrupa Institute Of Engineering &amp; Technology, Karad</x:v>
      </x:c>
      <x:c r="D1782" s="72" t="n">
        <x:v>646624210</x:v>
      </x:c>
      <x:c r="E1782" s="49" t="str">
        <x:v>Computer Science and Engineering</x:v>
      </x:c>
      <x:c r="F1782" s="73" t="n">
        <x:v>14</x:v>
      </x:c>
      <x:c r="G1782" s="73" t="n">
        <x:v>13</x:v>
      </x:c>
      <x:c r="H1782" s="73" t="n">
        <x:v>1</x:v>
      </x:c>
      <x:c r="I1782" s="73"/>
      <x:c r="J1782" s="73" t="n">
        <x:v>0</x:v>
      </x:c>
      <x:c r="K1782" s="49" t="str">
        <x:v>Un-Aided</x:v>
      </x:c>
      <x:c r="L1782" s="49" t="str">
        <x:v>MS Seats : 13+ EWS : 1</x:v>
      </x:c>
      <x:c r="M1782" s="49" t="str">
        <x:v>https://dse2025.mahacet.org.in/dse25/admin/allotment/cap2/6466_4.pdf</x:v>
      </x:c>
    </x:row>
    <x:row r="1783">
      <x:c r="A1783" s="49" t="str">
        <x:v>2025-26</x:v>
      </x:c>
      <x:c r="B1783" s="63" t="n">
        <x:v>6466</x:v>
      </x:c>
      <x:c r="C1783" s="49" t="str">
        <x:v>Shree Santkrupa Shikshan Sanstha, Shree Santkrupa Institute Of Engineering &amp; Technology, Karad</x:v>
      </x:c>
      <x:c r="D1783" s="72" t="n">
        <x:v>646629310</x:v>
      </x:c>
      <x:c r="E1783" s="49" t="str">
        <x:v>Electrical Engineering</x:v>
      </x:c>
      <x:c r="F1783" s="73" t="n">
        <x:v>45</x:v>
      </x:c>
      <x:c r="G1783" s="73" t="n">
        <x:v>38</x:v>
      </x:c>
      <x:c r="H1783" s="73" t="n">
        <x:v>7</x:v>
      </x:c>
      <x:c r="I1783" s="73"/>
      <x:c r="J1783" s="73" t="n">
        <x:v>0</x:v>
      </x:c>
      <x:c r="K1783" s="49" t="str">
        <x:v>Un-Aided</x:v>
      </x:c>
      <x:c r="L1783" s="49" t="str">
        <x:v>MS Seats : 38+ EWS : 7</x:v>
      </x:c>
      <x:c r="M1783" s="49" t="str">
        <x:v>https://dse2025.mahacet.org.in/dse25/admin/allotment/cap2/6466_4.pdf</x:v>
      </x:c>
    </x:row>
    <x:row r="1784">
      <x:c r="A1784" s="49" t="str">
        <x:v>2025-26</x:v>
      </x:c>
      <x:c r="B1784" s="63" t="n">
        <x:v>6466</x:v>
      </x:c>
      <x:c r="C1784" s="49" t="str">
        <x:v>Shree Santkrupa Shikshan Sanstha, Shree Santkrupa Institute Of Engineering &amp; Technology, Karad</x:v>
      </x:c>
      <x:c r="D1784" s="72" t="n">
        <x:v>646661210</x:v>
      </x:c>
      <x:c r="E1784" s="49" t="str">
        <x:v>Mechanical Engineering</x:v>
      </x:c>
      <x:c r="F1784" s="73" t="n">
        <x:v>20</x:v>
      </x:c>
      <x:c r="G1784" s="73" t="n">
        <x:v>19</x:v>
      </x:c>
      <x:c r="H1784" s="73" t="n">
        <x:v>1</x:v>
      </x:c>
      <x:c r="I1784" s="73"/>
      <x:c r="J1784" s="73" t="n">
        <x:v>0</x:v>
      </x:c>
      <x:c r="K1784" s="49" t="str">
        <x:v>Un-Aided</x:v>
      </x:c>
      <x:c r="L1784" s="49" t="str">
        <x:v>MS Seats : 19+ EWS : 1</x:v>
      </x:c>
      <x:c r="M1784" s="49" t="str">
        <x:v>https://dse2025.mahacet.org.in/dse25/admin/allotment/cap2/6466_4.pdf</x:v>
      </x:c>
    </x:row>
    <x:row r="1785">
      <x:c r="A1785" s="49" t="str">
        <x:v>2025-26</x:v>
      </x:c>
      <x:c r="B1785" s="63" t="n">
        <x:v>6468</x:v>
      </x:c>
      <x:c r="C1785" s="49" t="str">
        <x:v>Swami Vivekananda Shikshan Sanstha, Dr. Bapuji Salunkhe Institute Of Engineering &amp; Technology,Kolhapur</x:v>
      </x:c>
      <x:c r="D1785" s="72" t="n">
        <x:v>646824210</x:v>
      </x:c>
      <x:c r="E1785" s="49" t="str">
        <x:v>Computer Science and Engineering</x:v>
      </x:c>
      <x:c r="F1785" s="73" t="n">
        <x:v>36</x:v>
      </x:c>
      <x:c r="G1785" s="73" t="n">
        <x:v>29</x:v>
      </x:c>
      <x:c r="H1785" s="73" t="n">
        <x:v>7</x:v>
      </x:c>
      <x:c r="I1785" s="73"/>
      <x:c r="J1785" s="73" t="n">
        <x:v>0</x:v>
      </x:c>
      <x:c r="K1785" s="49" t="str">
        <x:v>Un-Aided</x:v>
      </x:c>
      <x:c r="L1785" s="49" t="str">
        <x:v>MS Seats : 29+ EWS : 7</x:v>
      </x:c>
      <x:c r="M1785" s="49" t="str">
        <x:v>https://dse2025.mahacet.org.in/dse25/admin/allotment/cap2/6468_4.pdf</x:v>
      </x:c>
    </x:row>
    <x:row r="1786">
      <x:c r="A1786" s="49" t="str">
        <x:v>2025-26</x:v>
      </x:c>
      <x:c r="B1786" s="63" t="n">
        <x:v>6468</x:v>
      </x:c>
      <x:c r="C1786" s="49" t="str">
        <x:v>Swami Vivekananda Shikshan Sanstha, Dr. Bapuji Salunkhe Institute Of Engineering &amp; Technology,Kolhapur</x:v>
      </x:c>
      <x:c r="D1786" s="72" t="n">
        <x:v>646829310</x:v>
      </x:c>
      <x:c r="E1786" s="49" t="str">
        <x:v>Electrical Engineering</x:v>
      </x:c>
      <x:c r="F1786" s="73" t="n">
        <x:v>48</x:v>
      </x:c>
      <x:c r="G1786" s="73" t="n">
        <x:v>42</x:v>
      </x:c>
      <x:c r="H1786" s="73" t="n">
        <x:v>6</x:v>
      </x:c>
      <x:c r="I1786" s="73"/>
      <x:c r="J1786" s="73" t="n">
        <x:v>0</x:v>
      </x:c>
      <x:c r="K1786" s="49" t="str">
        <x:v>Un-Aided</x:v>
      </x:c>
      <x:c r="L1786" s="49" t="str">
        <x:v>MS Seats : 42+ EWS : 6</x:v>
      </x:c>
      <x:c r="M1786" s="49" t="str">
        <x:v>https://dse2025.mahacet.org.in/dse25/admin/allotment/cap2/6468_4.pdf</x:v>
      </x:c>
    </x:row>
    <x:row r="1787">
      <x:c r="A1787" s="49" t="str">
        <x:v>2025-26</x:v>
      </x:c>
      <x:c r="B1787" s="63" t="n">
        <x:v>6468</x:v>
      </x:c>
      <x:c r="C1787" s="49" t="str">
        <x:v>Swami Vivekananda Shikshan Sanstha, Dr. Bapuji Salunkhe Institute Of Engineering &amp; Technology,Kolhapur</x:v>
      </x:c>
      <x:c r="D1787" s="72" t="n">
        <x:v>646837210</x:v>
      </x:c>
      <x:c r="E1787" s="49" t="str">
        <x:v>Electronics and Telecommunication Engg</x:v>
      </x:c>
      <x:c r="F1787" s="73" t="n">
        <x:v>16</x:v>
      </x:c>
      <x:c r="G1787" s="73" t="n">
        <x:v>12</x:v>
      </x:c>
      <x:c r="H1787" s="73" t="n">
        <x:v>4</x:v>
      </x:c>
      <x:c r="I1787" s="73"/>
      <x:c r="J1787" s="73" t="n">
        <x:v>0</x:v>
      </x:c>
      <x:c r="K1787" s="49" t="str">
        <x:v>Un-Aided</x:v>
      </x:c>
      <x:c r="L1787" s="49" t="str">
        <x:v>MS Seats : 12+ EWS : 4</x:v>
      </x:c>
      <x:c r="M1787" s="49" t="str">
        <x:v>https://dse2025.mahacet.org.in/dse25/admin/allotment/cap2/6468_4.pdf</x:v>
      </x:c>
    </x:row>
    <x:row r="1788">
      <x:c r="A1788" s="49" t="str">
        <x:v>2025-26</x:v>
      </x:c>
      <x:c r="B1788" s="63" t="n">
        <x:v>6468</x:v>
      </x:c>
      <x:c r="C1788" s="49" t="str">
        <x:v>Swami Vivekananda Shikshan Sanstha, Dr. Bapuji Salunkhe Institute Of Engineering &amp; Technology,Kolhapur</x:v>
      </x:c>
      <x:c r="D1788" s="72" t="n">
        <x:v>646884410</x:v>
      </x:c>
      <x:c r="E1788" s="49" t="str">
        <x:v>Electronics and Computer Engineering</x:v>
      </x:c>
      <x:c r="F1788" s="73" t="n">
        <x:v>19</x:v>
      </x:c>
      <x:c r="G1788" s="73" t="n">
        <x:v>14</x:v>
      </x:c>
      <x:c r="H1788" s="73" t="n">
        <x:v>5</x:v>
      </x:c>
      <x:c r="I1788" s="73"/>
      <x:c r="J1788" s="73" t="n">
        <x:v>0</x:v>
      </x:c>
      <x:c r="K1788" s="49" t="str">
        <x:v>Un-Aided</x:v>
      </x:c>
      <x:c r="L1788" s="49" t="str">
        <x:v>MS Seats : 14+ EWS : 5</x:v>
      </x:c>
      <x:c r="M1788" s="49" t="str">
        <x:v>https://dse2025.mahacet.org.in/dse25/admin/allotment/cap2/6468_4.pdf</x:v>
      </x:c>
    </x:row>
    <x:row r="1789">
      <x:c r="A1789" s="49" t="str">
        <x:v>2025-26</x:v>
      </x:c>
      <x:c r="B1789" s="63" t="n">
        <x:v>6468</x:v>
      </x:c>
      <x:c r="C1789" s="49" t="str">
        <x:v>Swami Vivekananda Shikshan Sanstha, Dr. Bapuji Salunkhe Institute Of Engineering &amp; Technology,Kolhapur</x:v>
      </x:c>
      <x:c r="D1789" s="72" t="n">
        <x:v>646891110</x:v>
      </x:c>
      <x:c r="E1789" s="49" t="str">
        <x:v>Computer Science and Engineering(Artificial Intelligence and Machine Learning)</x:v>
      </x:c>
      <x:c r="F1789" s="73" t="n">
        <x:v>14</x:v>
      </x:c>
      <x:c r="G1789" s="73" t="n">
        <x:v>11</x:v>
      </x:c>
      <x:c r="H1789" s="73" t="n">
        <x:v>3</x:v>
      </x:c>
      <x:c r="I1789" s="73"/>
      <x:c r="J1789" s="73" t="n">
        <x:v>0</x:v>
      </x:c>
      <x:c r="K1789" s="49" t="str">
        <x:v>Un-Aided</x:v>
      </x:c>
      <x:c r="L1789" s="49" t="str">
        <x:v>MS Seats : 11+ EWS : 3</x:v>
      </x:c>
      <x:c r="M1789" s="49" t="str">
        <x:v>https://dse2025.mahacet.org.in/dse25/admin/allotment/cap2/6468_4.pdf</x:v>
      </x:c>
    </x:row>
    <x:row r="1790">
      <x:c r="A1790" s="49" t="str">
        <x:v>2025-26</x:v>
      </x:c>
      <x:c r="B1790" s="63" t="n">
        <x:v>6545</x:v>
      </x:c>
      <x:c r="C1790" s="49" t="str">
        <x:v>Samarth Education Trust's Arvind Gavali College Of Engineering Panwalewadi, Varye,Satara.</x:v>
      </x:c>
      <x:c r="D1790" s="72" t="n">
        <x:v>654519110</x:v>
      </x:c>
      <x:c r="E1790" s="49" t="str">
        <x:v>Civil Engineering</x:v>
      </x:c>
      <x:c r="F1790" s="73" t="n">
        <x:v>36</x:v>
      </x:c>
      <x:c r="G1790" s="73" t="n">
        <x:v>33</x:v>
      </x:c>
      <x:c r="H1790" s="73" t="n">
        <x:v>3</x:v>
      </x:c>
      <x:c r="I1790" s="73"/>
      <x:c r="J1790" s="73" t="n">
        <x:v>0</x:v>
      </x:c>
      <x:c r="K1790" s="49" t="str">
        <x:v>Un-Aided</x:v>
      </x:c>
      <x:c r="L1790" s="49" t="str">
        <x:v>MS Seats : 33+ EWS : 3</x:v>
      </x:c>
      <x:c r="M1790" s="49" t="str">
        <x:v>https://dse2025.mahacet.org.in/dse25/admin/allotment/cap2/6545_4.pdf</x:v>
      </x:c>
    </x:row>
    <x:row r="1791">
      <x:c r="A1791" s="49" t="str">
        <x:v>2025-26</x:v>
      </x:c>
      <x:c r="B1791" s="63" t="n">
        <x:v>6545</x:v>
      </x:c>
      <x:c r="C1791" s="49" t="str">
        <x:v>Samarth Education Trust's Arvind Gavali College Of Engineering Panwalewadi, Varye,Satara.</x:v>
      </x:c>
      <x:c r="D1791" s="72" t="n">
        <x:v>654524210</x:v>
      </x:c>
      <x:c r="E1791" s="49" t="str">
        <x:v>Computer Science and Engineering</x:v>
      </x:c>
      <x:c r="F1791" s="73" t="n">
        <x:v>44</x:v>
      </x:c>
      <x:c r="G1791" s="73" t="n">
        <x:v>34</x:v>
      </x:c>
      <x:c r="H1791" s="73" t="n">
        <x:v>10</x:v>
      </x:c>
      <x:c r="I1791" s="73"/>
      <x:c r="J1791" s="73" t="n">
        <x:v>0</x:v>
      </x:c>
      <x:c r="K1791" s="49" t="str">
        <x:v>Un-Aided</x:v>
      </x:c>
      <x:c r="L1791" s="49" t="str">
        <x:v>MS Seats : 34+ EWS : 10</x:v>
      </x:c>
      <x:c r="M1791" s="49" t="str">
        <x:v>https://dse2025.mahacet.org.in/dse25/admin/allotment/cap2/6545_4.pdf</x:v>
      </x:c>
    </x:row>
    <x:row r="1792">
      <x:c r="A1792" s="49" t="str">
        <x:v>2025-26</x:v>
      </x:c>
      <x:c r="B1792" s="63" t="n">
        <x:v>6545</x:v>
      </x:c>
      <x:c r="C1792" s="49" t="str">
        <x:v>Samarth Education Trust's Arvind Gavali College Of Engineering Panwalewadi, Varye,Satara.</x:v>
      </x:c>
      <x:c r="D1792" s="72" t="n">
        <x:v>654526310</x:v>
      </x:c>
      <x:c r="E1792" s="49" t="str">
        <x:v>Artificial Intelligence (AI) and Data Science</x:v>
      </x:c>
      <x:c r="F1792" s="73" t="n">
        <x:v>25</x:v>
      </x:c>
      <x:c r="G1792" s="73" t="n">
        <x:v>19</x:v>
      </x:c>
      <x:c r="H1792" s="73" t="n">
        <x:v>6</x:v>
      </x:c>
      <x:c r="I1792" s="73"/>
      <x:c r="J1792" s="73" t="n">
        <x:v>0</x:v>
      </x:c>
      <x:c r="K1792" s="49" t="str">
        <x:v>Un-Aided</x:v>
      </x:c>
      <x:c r="L1792" s="49" t="str">
        <x:v>MS Seats : 19+ EWS : 6</x:v>
      </x:c>
      <x:c r="M1792" s="49" t="str">
        <x:v>https://dse2025.mahacet.org.in/dse25/admin/allotment/cap2/6545_4.pdf</x:v>
      </x:c>
    </x:row>
    <x:row r="1793">
      <x:c r="A1793" s="49" t="str">
        <x:v>2025-26</x:v>
      </x:c>
      <x:c r="B1793" s="63" t="n">
        <x:v>6545</x:v>
      </x:c>
      <x:c r="C1793" s="49" t="str">
        <x:v>Samarth Education Trust's Arvind Gavali College Of Engineering Panwalewadi, Varye,Satara.</x:v>
      </x:c>
      <x:c r="D1793" s="72" t="n">
        <x:v>654529310</x:v>
      </x:c>
      <x:c r="E1793" s="49" t="str">
        <x:v>Electrical Engineering</x:v>
      </x:c>
      <x:c r="F1793" s="73" t="n">
        <x:v>23</x:v>
      </x:c>
      <x:c r="G1793" s="73" t="n">
        <x:v>20</x:v>
      </x:c>
      <x:c r="H1793" s="73" t="n">
        <x:v>3</x:v>
      </x:c>
      <x:c r="I1793" s="73"/>
      <x:c r="J1793" s="73" t="n">
        <x:v>0</x:v>
      </x:c>
      <x:c r="K1793" s="49" t="str">
        <x:v>Un-Aided</x:v>
      </x:c>
      <x:c r="L1793" s="49" t="str">
        <x:v>MS Seats : 20+ EWS : 3</x:v>
      </x:c>
      <x:c r="M1793" s="49" t="str">
        <x:v>https://dse2025.mahacet.org.in/dse25/admin/allotment/cap2/6545_4.pdf</x:v>
      </x:c>
    </x:row>
    <x:row r="1794">
      <x:c r="A1794" s="49" t="str">
        <x:v>2025-26</x:v>
      </x:c>
      <x:c r="B1794" s="63" t="n">
        <x:v>6545</x:v>
      </x:c>
      <x:c r="C1794" s="49" t="str">
        <x:v>Samarth Education Trust's Arvind Gavali College Of Engineering Panwalewadi, Varye,Satara.</x:v>
      </x:c>
      <x:c r="D1794" s="72" t="n">
        <x:v>654537210</x:v>
      </x:c>
      <x:c r="E1794" s="49" t="str">
        <x:v>Electronics and Telecommunication Engg</x:v>
      </x:c>
      <x:c r="F1794" s="73" t="n">
        <x:v>36</x:v>
      </x:c>
      <x:c r="G1794" s="73" t="n">
        <x:v>31</x:v>
      </x:c>
      <x:c r="H1794" s="73" t="n">
        <x:v>5</x:v>
      </x:c>
      <x:c r="I1794" s="73"/>
      <x:c r="J1794" s="73" t="n">
        <x:v>0</x:v>
      </x:c>
      <x:c r="K1794" s="49" t="str">
        <x:v>Un-Aided</x:v>
      </x:c>
      <x:c r="L1794" s="49" t="str">
        <x:v>MS Seats : 31+ EWS : 5</x:v>
      </x:c>
      <x:c r="M1794" s="49" t="str">
        <x:v>https://dse2025.mahacet.org.in/dse25/admin/allotment/cap2/6545_4.pdf</x:v>
      </x:c>
    </x:row>
    <x:row r="1795">
      <x:c r="A1795" s="49" t="str">
        <x:v>2025-26</x:v>
      </x:c>
      <x:c r="B1795" s="63" t="n">
        <x:v>6545</x:v>
      </x:c>
      <x:c r="C1795" s="49" t="str">
        <x:v>Samarth Education Trust's Arvind Gavali College Of Engineering Panwalewadi, Varye,Satara.</x:v>
      </x:c>
      <x:c r="D1795" s="72" t="n">
        <x:v>654561210</x:v>
      </x:c>
      <x:c r="E1795" s="49" t="str">
        <x:v>Mechanical Engineering</x:v>
      </x:c>
      <x:c r="F1795" s="73" t="n">
        <x:v>66</x:v>
      </x:c>
      <x:c r="G1795" s="73" t="n">
        <x:v>59</x:v>
      </x:c>
      <x:c r="H1795" s="73" t="n">
        <x:v>7</x:v>
      </x:c>
      <x:c r="I1795" s="73"/>
      <x:c r="J1795" s="73" t="n">
        <x:v>0</x:v>
      </x:c>
      <x:c r="K1795" s="49" t="str">
        <x:v>Un-Aided</x:v>
      </x:c>
      <x:c r="L1795" s="49" t="str">
        <x:v>MS Seats : 59+ EWS : 7</x:v>
      </x:c>
      <x:c r="M1795" s="49" t="str">
        <x:v>https://dse2025.mahacet.org.in/dse25/admin/allotment/cap2/6545_4.pdf</x:v>
      </x:c>
    </x:row>
    <x:row r="1796">
      <x:c r="A1796" s="49" t="str">
        <x:v>2025-26</x:v>
      </x:c>
      <x:c r="B1796" s="63" t="n">
        <x:v>6609</x:v>
      </x:c>
      <x:c r="C1796" s="49" t="str">
        <x:v>Jaihind College Of Engineering,Kuran</x:v>
      </x:c>
      <x:c r="D1796" s="72" t="n">
        <x:v>660919110</x:v>
      </x:c>
      <x:c r="E1796" s="49" t="str">
        <x:v>Civil Engineering</x:v>
      </x:c>
      <x:c r="F1796" s="73" t="n">
        <x:v>10</x:v>
      </x:c>
      <x:c r="G1796" s="73" t="n">
        <x:v>7</x:v>
      </x:c>
      <x:c r="H1796" s="73" t="n">
        <x:v>3</x:v>
      </x:c>
      <x:c r="I1796" s="73"/>
      <x:c r="J1796" s="73" t="n">
        <x:v>0</x:v>
      </x:c>
      <x:c r="K1796" s="49" t="str">
        <x:v>Un-Aided</x:v>
      </x:c>
      <x:c r="L1796" s="49" t="str">
        <x:v>MS Seats : 7+ EWS : 3</x:v>
      </x:c>
      <x:c r="M1796" s="49" t="str">
        <x:v>https://dse2025.mahacet.org.in/dse25/admin/allotment/cap2/6609_4.pdf</x:v>
      </x:c>
    </x:row>
    <x:row r="1797">
      <x:c r="A1797" s="49" t="str">
        <x:v>2025-26</x:v>
      </x:c>
      <x:c r="B1797" s="63" t="n">
        <x:v>6609</x:v>
      </x:c>
      <x:c r="C1797" s="49" t="str">
        <x:v>Jaihind College Of Engineering,Kuran</x:v>
      </x:c>
      <x:c r="D1797" s="72" t="n">
        <x:v>660924510</x:v>
      </x:c>
      <x:c r="E1797" s="49" t="str">
        <x:v>Computer Engineering</x:v>
      </x:c>
      <x:c r="F1797" s="73" t="n">
        <x:v>24</x:v>
      </x:c>
      <x:c r="G1797" s="73" t="n">
        <x:v>16</x:v>
      </x:c>
      <x:c r="H1797" s="73" t="n">
        <x:v>8</x:v>
      </x:c>
      <x:c r="I1797" s="73"/>
      <x:c r="J1797" s="73" t="n">
        <x:v>0</x:v>
      </x:c>
      <x:c r="K1797" s="49" t="str">
        <x:v>Un-Aided</x:v>
      </x:c>
      <x:c r="L1797" s="49" t="str">
        <x:v>MS Seats : 16+ EWS : 8</x:v>
      </x:c>
      <x:c r="M1797" s="49" t="str">
        <x:v>https://dse2025.mahacet.org.in/dse25/admin/allotment/cap2/6609_4.pdf</x:v>
      </x:c>
    </x:row>
    <x:row r="1798">
      <x:c r="A1798" s="49" t="str">
        <x:v>2025-26</x:v>
      </x:c>
      <x:c r="B1798" s="63" t="n">
        <x:v>6609</x:v>
      </x:c>
      <x:c r="C1798" s="49" t="str">
        <x:v>Jaihind College Of Engineering,Kuran</x:v>
      </x:c>
      <x:c r="D1798" s="72" t="n">
        <x:v>660926310</x:v>
      </x:c>
      <x:c r="E1798" s="49" t="str">
        <x:v>Artificial Intelligence (AI) and Data Science</x:v>
      </x:c>
      <x:c r="F1798" s="73" t="n">
        <x:v>18</x:v>
      </x:c>
      <x:c r="G1798" s="73" t="n">
        <x:v>11</x:v>
      </x:c>
      <x:c r="H1798" s="73" t="n">
        <x:v>7</x:v>
      </x:c>
      <x:c r="I1798" s="73"/>
      <x:c r="J1798" s="73" t="n">
        <x:v>0</x:v>
      </x:c>
      <x:c r="K1798" s="49" t="str">
        <x:v>Un-Aided</x:v>
      </x:c>
      <x:c r="L1798" s="49" t="str">
        <x:v>MS Seats : 11+ EWS : 7</x:v>
      </x:c>
      <x:c r="M1798" s="49" t="str">
        <x:v>https://dse2025.mahacet.org.in/dse25/admin/allotment/cap2/6609_4.pdf</x:v>
      </x:c>
    </x:row>
    <x:row r="1799">
      <x:c r="A1799" s="49" t="str">
        <x:v>2025-26</x:v>
      </x:c>
      <x:c r="B1799" s="63" t="n">
        <x:v>6609</x:v>
      </x:c>
      <x:c r="C1799" s="49" t="str">
        <x:v>Jaihind College Of Engineering,Kuran</x:v>
      </x:c>
      <x:c r="D1799" s="72" t="n">
        <x:v>660937210</x:v>
      </x:c>
      <x:c r="E1799" s="49" t="str">
        <x:v>Electronics and Telecommunication Engg</x:v>
      </x:c>
      <x:c r="F1799" s="73" t="n">
        <x:v>19</x:v>
      </x:c>
      <x:c r="G1799" s="73" t="n">
        <x:v>12</x:v>
      </x:c>
      <x:c r="H1799" s="73" t="n">
        <x:v>7</x:v>
      </x:c>
      <x:c r="I1799" s="73"/>
      <x:c r="J1799" s="73" t="n">
        <x:v>0</x:v>
      </x:c>
      <x:c r="K1799" s="49" t="str">
        <x:v>Un-Aided</x:v>
      </x:c>
      <x:c r="L1799" s="49" t="str">
        <x:v>MS Seats : 12+ EWS : 7</x:v>
      </x:c>
      <x:c r="M1799" s="49" t="str">
        <x:v>https://dse2025.mahacet.org.in/dse25/admin/allotment/cap2/6609_4.pdf</x:v>
      </x:c>
    </x:row>
    <x:row r="1800">
      <x:c r="A1800" s="49" t="str">
        <x:v>2025-26</x:v>
      </x:c>
      <x:c r="B1800" s="63" t="n">
        <x:v>6609</x:v>
      </x:c>
      <x:c r="C1800" s="49" t="str">
        <x:v>Jaihind College Of Engineering,Kuran</x:v>
      </x:c>
      <x:c r="D1800" s="72" t="n">
        <x:v>660961210</x:v>
      </x:c>
      <x:c r="E1800" s="49" t="str">
        <x:v>Mechanical Engineering</x:v>
      </x:c>
      <x:c r="F1800" s="73" t="n">
        <x:v>30</x:v>
      </x:c>
      <x:c r="G1800" s="73" t="n">
        <x:v>23</x:v>
      </x:c>
      <x:c r="H1800" s="73" t="n">
        <x:v>7</x:v>
      </x:c>
      <x:c r="I1800" s="73"/>
      <x:c r="J1800" s="73" t="n">
        <x:v>0</x:v>
      </x:c>
      <x:c r="K1800" s="49" t="str">
        <x:v>Un-Aided</x:v>
      </x:c>
      <x:c r="L1800" s="49" t="str">
        <x:v>MS Seats : 23+ EWS : 7</x:v>
      </x:c>
      <x:c r="M1800" s="49" t="str">
        <x:v>https://dse2025.mahacet.org.in/dse25/admin/allotment/cap2/6609_4.pdf</x:v>
      </x:c>
    </x:row>
    <x:row r="1801">
      <x:c r="A1801" s="49" t="str">
        <x:v>2025-26</x:v>
      </x:c>
      <x:c r="B1801" s="63" t="n">
        <x:v>6622</x:v>
      </x:c>
      <x:c r="C1801" s="49" t="str">
        <x:v>ISBM College Of Engineering Pune</x:v>
      </x:c>
      <x:c r="D1801" s="72" t="n">
        <x:v>662224510</x:v>
      </x:c>
      <x:c r="E1801" s="49" t="str">
        <x:v>Computer Engineering</x:v>
      </x:c>
      <x:c r="F1801" s="73" t="n">
        <x:v>52</x:v>
      </x:c>
      <x:c r="G1801" s="73" t="n">
        <x:v>25</x:v>
      </x:c>
      <x:c r="H1801" s="73"/>
      <x:c r="I1801" s="73" t="n">
        <x:v>27</x:v>
      </x:c>
      <x:c r="J1801" s="73" t="n">
        <x:v>0</x:v>
      </x:c>
      <x:c r="K1801" s="49" t="str">
        <x:v>Un-Aided Linguistic Minority - Hindi</x:v>
      </x:c>
      <x:c r="L1801" s="49" t="str">
        <x:v>MS Seats : 25 + Minority Seats : 27</x:v>
      </x:c>
      <x:c r="M1801" s="49" t="str">
        <x:v>https://dse2025.mahacet.org.in/dse25/admin/allotment/cap2/6622_4.pdf</x:v>
      </x:c>
    </x:row>
    <x:row r="1802">
      <x:c r="A1802" s="49" t="str">
        <x:v>2025-26</x:v>
      </x:c>
      <x:c r="B1802" s="63" t="n">
        <x:v>6622</x:v>
      </x:c>
      <x:c r="C1802" s="49" t="str">
        <x:v>ISBM College Of Engineering Pune</x:v>
      </x:c>
      <x:c r="D1802" s="72" t="n">
        <x:v>662237210</x:v>
      </x:c>
      <x:c r="E1802" s="49" t="str">
        <x:v>Electronics and Telecommunication Engg</x:v>
      </x:c>
      <x:c r="F1802" s="73" t="n">
        <x:v>16</x:v>
      </x:c>
      <x:c r="G1802" s="73" t="n">
        <x:v>7</x:v>
      </x:c>
      <x:c r="H1802" s="73"/>
      <x:c r="I1802" s="73" t="n">
        <x:v>9</x:v>
      </x:c>
      <x:c r="J1802" s="73" t="n">
        <x:v>0</x:v>
      </x:c>
      <x:c r="K1802" s="49" t="str">
        <x:v>Un-Aided Linguistic Minority - Hindi</x:v>
      </x:c>
      <x:c r="L1802" s="49" t="str">
        <x:v>MS Seats : 7 + Minority Seats : 9</x:v>
      </x:c>
      <x:c r="M1802" s="49" t="str">
        <x:v>https://dse2025.mahacet.org.in/dse25/admin/allotment/cap2/6622_4.pdf</x:v>
      </x:c>
    </x:row>
    <x:row r="1803">
      <x:c r="A1803" s="49" t="str">
        <x:v>2025-26</x:v>
      </x:c>
      <x:c r="B1803" s="63" t="n">
        <x:v>6622</x:v>
      </x:c>
      <x:c r="C1803" s="49" t="str">
        <x:v>ISBM College Of Engineering Pune</x:v>
      </x:c>
      <x:c r="D1803" s="72" t="n">
        <x:v>662237810</x:v>
      </x:c>
      <x:c r="E1803" s="49" t="str">
        <x:v>Electronics Engineering ( VLSI Design and Technology)</x:v>
      </x:c>
      <x:c r="F1803" s="73" t="n">
        <x:v>34</x:v>
      </x:c>
      <x:c r="G1803" s="73" t="n">
        <x:v>16</x:v>
      </x:c>
      <x:c r="H1803" s="73"/>
      <x:c r="I1803" s="73" t="n">
        <x:v>18</x:v>
      </x:c>
      <x:c r="J1803" s="73" t="n">
        <x:v>0</x:v>
      </x:c>
      <x:c r="K1803" s="49" t="str">
        <x:v>Un-Aided Linguistic Minority - Hindi</x:v>
      </x:c>
      <x:c r="L1803" s="49" t="str">
        <x:v>MS Seats : 16 + Minority Seats : 18</x:v>
      </x:c>
      <x:c r="M1803" s="49" t="str">
        <x:v>https://dse2025.mahacet.org.in/dse25/admin/allotment/cap2/6622_4.pdf</x:v>
      </x:c>
    </x:row>
    <x:row r="1804">
      <x:c r="A1804" s="49" t="str">
        <x:v>2025-26</x:v>
      </x:c>
      <x:c r="B1804" s="63" t="n">
        <x:v>6622</x:v>
      </x:c>
      <x:c r="C1804" s="49" t="str">
        <x:v>ISBM College Of Engineering Pune</x:v>
      </x:c>
      <x:c r="D1804" s="72" t="n">
        <x:v>662256610</x:v>
      </x:c>
      <x:c r="E1804" s="49" t="str">
        <x:v>Computer Science</x:v>
      </x:c>
      <x:c r="F1804" s="73" t="n">
        <x:v>14</x:v>
      </x:c>
      <x:c r="G1804" s="73" t="n">
        <x:v>6</x:v>
      </x:c>
      <x:c r="H1804" s="73"/>
      <x:c r="I1804" s="73" t="n">
        <x:v>8</x:v>
      </x:c>
      <x:c r="J1804" s="73" t="n">
        <x:v>0</x:v>
      </x:c>
      <x:c r="K1804" s="49" t="str">
        <x:v>Un-Aided Linguistic Minority - Hindi</x:v>
      </x:c>
      <x:c r="L1804" s="49" t="str">
        <x:v>MS Seats : 6 + Minority Seats : 8</x:v>
      </x:c>
      <x:c r="M1804" s="49" t="str">
        <x:v>https://dse2025.mahacet.org.in/dse25/admin/allotment/cap2/6622_4.pdf</x:v>
      </x:c>
    </x:row>
    <x:row r="1805">
      <x:c r="A1805" s="49" t="str">
        <x:v>2025-26</x:v>
      </x:c>
      <x:c r="B1805" s="63" t="n">
        <x:v>6622</x:v>
      </x:c>
      <x:c r="C1805" s="49" t="str">
        <x:v>ISBM College Of Engineering Pune</x:v>
      </x:c>
      <x:c r="D1805" s="72" t="n">
        <x:v>662261210</x:v>
      </x:c>
      <x:c r="E1805" s="49" t="str">
        <x:v>Mechanical Engineering</x:v>
      </x:c>
      <x:c r="F1805" s="73" t="n">
        <x:v>42</x:v>
      </x:c>
      <x:c r="G1805" s="73" t="n">
        <x:v>20</x:v>
      </x:c>
      <x:c r="H1805" s="73"/>
      <x:c r="I1805" s="73" t="n">
        <x:v>22</x:v>
      </x:c>
      <x:c r="J1805" s="73" t="n">
        <x:v>0</x:v>
      </x:c>
      <x:c r="K1805" s="49" t="str">
        <x:v>Un-Aided Linguistic Minority - Hindi</x:v>
      </x:c>
      <x:c r="L1805" s="49" t="str">
        <x:v>MS Seats : 20 + Minority Seats : 22</x:v>
      </x:c>
      <x:c r="M1805" s="49" t="str">
        <x:v>https://dse2025.mahacet.org.in/dse25/admin/allotment/cap2/6622_4.pdf</x:v>
      </x:c>
    </x:row>
    <x:row r="1806">
      <x:c r="A1806" s="49" t="str">
        <x:v>2025-26</x:v>
      </x:c>
      <x:c r="B1806" s="63" t="n">
        <x:v>6622</x:v>
      </x:c>
      <x:c r="C1806" s="49" t="str">
        <x:v>ISBM College Of Engineering Pune</x:v>
      </x:c>
      <x:c r="D1806" s="72" t="n">
        <x:v>662292110</x:v>
      </x:c>
      <x:c r="E1806" s="49" t="str">
        <x:v>Artificial Intelligence and Machine Learning</x:v>
      </x:c>
      <x:c r="F1806" s="73" t="n">
        <x:v>27</x:v>
      </x:c>
      <x:c r="G1806" s="73" t="n">
        <x:v>13</x:v>
      </x:c>
      <x:c r="H1806" s="73"/>
      <x:c r="I1806" s="73" t="n">
        <x:v>14</x:v>
      </x:c>
      <x:c r="J1806" s="73" t="n">
        <x:v>0</x:v>
      </x:c>
      <x:c r="K1806" s="49" t="str">
        <x:v>Un-Aided Linguistic Minority - Hindi</x:v>
      </x:c>
      <x:c r="L1806" s="49" t="str">
        <x:v>MS Seats : 13 + Minority Seats : 14</x:v>
      </x:c>
      <x:c r="M1806" s="49" t="str">
        <x:v>https://dse2025.mahacet.org.in/dse25/admin/allotment/cap2/6622_4.pdf</x:v>
      </x:c>
    </x:row>
    <x:row r="1807">
      <x:c r="A1807" s="49" t="str">
        <x:v>2025-26</x:v>
      </x:c>
      <x:c r="B1807" s="63" t="n">
        <x:v>6622</x:v>
      </x:c>
      <x:c r="C1807" s="49" t="str">
        <x:v>ISBM College Of Engineering Pune</x:v>
      </x:c>
      <x:c r="D1807" s="72" t="n">
        <x:v>662299510</x:v>
      </x:c>
      <x:c r="E1807" s="49" t="str">
        <x:v>Artificial Intelligence and Data Science</x:v>
      </x:c>
      <x:c r="F1807" s="73" t="n">
        <x:v>35</x:v>
      </x:c>
      <x:c r="G1807" s="73" t="n">
        <x:v>18</x:v>
      </x:c>
      <x:c r="H1807" s="73"/>
      <x:c r="I1807" s="73" t="n">
        <x:v>17</x:v>
      </x:c>
      <x:c r="J1807" s="73" t="n">
        <x:v>0</x:v>
      </x:c>
      <x:c r="K1807" s="49" t="str">
        <x:v>Un-Aided Linguistic Minority - Hindi</x:v>
      </x:c>
      <x:c r="L1807" s="49" t="str">
        <x:v>MS Seats : 18 + Minority Seats : 17</x:v>
      </x:c>
      <x:c r="M1807" s="49" t="str">
        <x:v>https://dse2025.mahacet.org.in/dse25/admin/allotment/cap2/6622_4.pdf</x:v>
      </x:c>
    </x:row>
    <x:row r="1808">
      <x:c r="A1808" s="49" t="str">
        <x:v>2025-26</x:v>
      </x:c>
      <x:c r="B1808" s="63" t="n">
        <x:v>6625</x:v>
      </x:c>
      <x:c r="C1808" s="49" t="str">
        <x:v>Universal College of Engineering &amp; Research, Sasewadi</x:v>
      </x:c>
      <x:c r="D1808" s="72" t="n">
        <x:v>662519110</x:v>
      </x:c>
      <x:c r="E1808" s="49" t="str">
        <x:v>Civil Engineering</x:v>
      </x:c>
      <x:c r="F1808" s="73" t="n">
        <x:v>26</x:v>
      </x:c>
      <x:c r="G1808" s="73" t="n">
        <x:v>24</x:v>
      </x:c>
      <x:c r="H1808" s="73" t="n">
        <x:v>2</x:v>
      </x:c>
      <x:c r="I1808" s="73"/>
      <x:c r="J1808" s="73" t="n">
        <x:v>0</x:v>
      </x:c>
      <x:c r="K1808" s="49" t="str">
        <x:v>Un-Aided</x:v>
      </x:c>
      <x:c r="L1808" s="49" t="str">
        <x:v>MS Seats : 24+ EWS : 2</x:v>
      </x:c>
      <x:c r="M1808" s="49" t="str">
        <x:v>https://dse2025.mahacet.org.in/dse25/admin/allotment/cap2/6625_4.pdf</x:v>
      </x:c>
    </x:row>
    <x:row r="1809">
      <x:c r="A1809" s="49" t="str">
        <x:v>2025-26</x:v>
      </x:c>
      <x:c r="B1809" s="63" t="n">
        <x:v>6625</x:v>
      </x:c>
      <x:c r="C1809" s="49" t="str">
        <x:v>Universal College of Engineering &amp; Research, Sasewadi</x:v>
      </x:c>
      <x:c r="D1809" s="72" t="n">
        <x:v>662524510</x:v>
      </x:c>
      <x:c r="E1809" s="49" t="str">
        <x:v>Computer Engineering</x:v>
      </x:c>
      <x:c r="F1809" s="73" t="n">
        <x:v>15</x:v>
      </x:c>
      <x:c r="G1809" s="73" t="n">
        <x:v>13</x:v>
      </x:c>
      <x:c r="H1809" s="73" t="n">
        <x:v>2</x:v>
      </x:c>
      <x:c r="I1809" s="73"/>
      <x:c r="J1809" s="73" t="n">
        <x:v>0</x:v>
      </x:c>
      <x:c r="K1809" s="49" t="str">
        <x:v>Un-Aided</x:v>
      </x:c>
      <x:c r="L1809" s="49" t="str">
        <x:v>MS Seats : 13+ EWS : 2</x:v>
      </x:c>
      <x:c r="M1809" s="49" t="str">
        <x:v>https://dse2025.mahacet.org.in/dse25/admin/allotment/cap2/6625_4.pdf</x:v>
      </x:c>
    </x:row>
    <x:row r="1810">
      <x:c r="A1810" s="49" t="str">
        <x:v>2025-26</x:v>
      </x:c>
      <x:c r="B1810" s="63" t="n">
        <x:v>6625</x:v>
      </x:c>
      <x:c r="C1810" s="49" t="str">
        <x:v>Universal College of Engineering &amp; Research, Sasewadi</x:v>
      </x:c>
      <x:c r="D1810" s="72" t="n">
        <x:v>662529310</x:v>
      </x:c>
      <x:c r="E1810" s="49" t="str">
        <x:v>Electrical Engineering</x:v>
      </x:c>
      <x:c r="F1810" s="73" t="n">
        <x:v>20</x:v>
      </x:c>
      <x:c r="G1810" s="73" t="n">
        <x:v>18</x:v>
      </x:c>
      <x:c r="H1810" s="73" t="n">
        <x:v>2</x:v>
      </x:c>
      <x:c r="I1810" s="73"/>
      <x:c r="J1810" s="73" t="n">
        <x:v>0</x:v>
      </x:c>
      <x:c r="K1810" s="49" t="str">
        <x:v>Un-Aided</x:v>
      </x:c>
      <x:c r="L1810" s="49" t="str">
        <x:v>MS Seats : 18+ EWS : 2</x:v>
      </x:c>
      <x:c r="M1810" s="49" t="str">
        <x:v>https://dse2025.mahacet.org.in/dse25/admin/allotment/cap2/6625_4.pdf</x:v>
      </x:c>
    </x:row>
    <x:row r="1811">
      <x:c r="A1811" s="49" t="str">
        <x:v>2025-26</x:v>
      </x:c>
      <x:c r="B1811" s="63" t="n">
        <x:v>6625</x:v>
      </x:c>
      <x:c r="C1811" s="49" t="str">
        <x:v>Universal College of Engineering &amp; Research, Sasewadi</x:v>
      </x:c>
      <x:c r="D1811" s="72" t="n">
        <x:v>662561210</x:v>
      </x:c>
      <x:c r="E1811" s="49" t="str">
        <x:v>Mechanical Engineering</x:v>
      </x:c>
      <x:c r="F1811" s="73" t="n">
        <x:v>34</x:v>
      </x:c>
      <x:c r="G1811" s="73" t="n">
        <x:v>31</x:v>
      </x:c>
      <x:c r="H1811" s="73" t="n">
        <x:v>3</x:v>
      </x:c>
      <x:c r="I1811" s="73"/>
      <x:c r="J1811" s="73" t="n">
        <x:v>0</x:v>
      </x:c>
      <x:c r="K1811" s="49" t="str">
        <x:v>Un-Aided</x:v>
      </x:c>
      <x:c r="L1811" s="49" t="str">
        <x:v>MS Seats : 31+ EWS : 3</x:v>
      </x:c>
      <x:c r="M1811" s="49" t="str">
        <x:v>https://dse2025.mahacet.org.in/dse25/admin/allotment/cap2/6625_4.pdf</x:v>
      </x:c>
    </x:row>
    <x:row r="1812">
      <x:c r="A1812" s="49" t="str">
        <x:v>2025-26</x:v>
      </x:c>
      <x:c r="B1812" s="63" t="n">
        <x:v>6628</x:v>
      </x:c>
      <x:c r="C1812" s="49" t="str">
        <x:v>Dattakala Group Of Institutions, Swami - Chincholi Tal. Daund Dist. Pune</x:v>
      </x:c>
      <x:c r="D1812" s="72" t="n">
        <x:v>662819110</x:v>
      </x:c>
      <x:c r="E1812" s="49" t="str">
        <x:v>Civil Engineering</x:v>
      </x:c>
      <x:c r="F1812" s="73" t="n">
        <x:v>31</x:v>
      </x:c>
      <x:c r="G1812" s="73" t="n">
        <x:v>29</x:v>
      </x:c>
      <x:c r="H1812" s="73" t="n">
        <x:v>2</x:v>
      </x:c>
      <x:c r="I1812" s="73"/>
      <x:c r="J1812" s="73" t="n">
        <x:v>0</x:v>
      </x:c>
      <x:c r="K1812" s="49" t="str">
        <x:v>Un-Aided</x:v>
      </x:c>
      <x:c r="L1812" s="49" t="str">
        <x:v>MS Seats : 29+ EWS : 2</x:v>
      </x:c>
      <x:c r="M1812" s="49" t="str">
        <x:v>https://dse2025.mahacet.org.in/dse25/admin/allotment/cap2/6628_4.pdf</x:v>
      </x:c>
    </x:row>
    <x:row r="1813">
      <x:c r="A1813" s="49" t="str">
        <x:v>2025-26</x:v>
      </x:c>
      <x:c r="B1813" s="63" t="n">
        <x:v>6628</x:v>
      </x:c>
      <x:c r="C1813" s="49" t="str">
        <x:v>Dattakala Group Of Institutions, Swami - Chincholi Tal. Daund Dist. Pune</x:v>
      </x:c>
      <x:c r="D1813" s="72" t="n">
        <x:v>662824510</x:v>
      </x:c>
      <x:c r="E1813" s="49" t="str">
        <x:v>Computer Engineering</x:v>
      </x:c>
      <x:c r="F1813" s="73" t="n">
        <x:v>57</x:v>
      </x:c>
      <x:c r="G1813" s="73" t="n">
        <x:v>43</x:v>
      </x:c>
      <x:c r="H1813" s="73" t="n">
        <x:v>14</x:v>
      </x:c>
      <x:c r="I1813" s="73"/>
      <x:c r="J1813" s="73" t="n">
        <x:v>0</x:v>
      </x:c>
      <x:c r="K1813" s="49" t="str">
        <x:v>Un-Aided</x:v>
      </x:c>
      <x:c r="L1813" s="49" t="str">
        <x:v>MS Seats : 43+ EWS : 14</x:v>
      </x:c>
      <x:c r="M1813" s="49" t="str">
        <x:v>https://dse2025.mahacet.org.in/dse25/admin/allotment/cap2/6628_4.pdf</x:v>
      </x:c>
    </x:row>
    <x:row r="1814">
      <x:c r="A1814" s="49" t="str">
        <x:v>2025-26</x:v>
      </x:c>
      <x:c r="B1814" s="63" t="n">
        <x:v>6628</x:v>
      </x:c>
      <x:c r="C1814" s="49" t="str">
        <x:v>Dattakala Group Of Institutions, Swami - Chincholi Tal. Daund Dist. Pune</x:v>
      </x:c>
      <x:c r="D1814" s="72" t="n">
        <x:v>662824610</x:v>
      </x:c>
      <x:c r="E1814" s="49" t="str">
        <x:v>Information Technology</x:v>
      </x:c>
      <x:c r="F1814" s="73" t="n">
        <x:v>51</x:v>
      </x:c>
      <x:c r="G1814" s="73" t="n">
        <x:v>45</x:v>
      </x:c>
      <x:c r="H1814" s="73" t="n">
        <x:v>6</x:v>
      </x:c>
      <x:c r="I1814" s="73"/>
      <x:c r="J1814" s="73" t="n">
        <x:v>0</x:v>
      </x:c>
      <x:c r="K1814" s="49" t="str">
        <x:v>Un-Aided</x:v>
      </x:c>
      <x:c r="L1814" s="49" t="str">
        <x:v>MS Seats : 45+ EWS : 6</x:v>
      </x:c>
      <x:c r="M1814" s="49" t="str">
        <x:v>https://dse2025.mahacet.org.in/dse25/admin/allotment/cap2/6628_4.pdf</x:v>
      </x:c>
    </x:row>
    <x:row r="1815">
      <x:c r="A1815" s="49" t="str">
        <x:v>2025-26</x:v>
      </x:c>
      <x:c r="B1815" s="63" t="n">
        <x:v>6628</x:v>
      </x:c>
      <x:c r="C1815" s="49" t="str">
        <x:v>Dattakala Group Of Institutions, Swami - Chincholi Tal. Daund Dist. Pune</x:v>
      </x:c>
      <x:c r="D1815" s="72" t="n">
        <x:v>662829310</x:v>
      </x:c>
      <x:c r="E1815" s="49" t="str">
        <x:v>Electrical Engineering</x:v>
      </x:c>
      <x:c r="F1815" s="73" t="n">
        <x:v>53</x:v>
      </x:c>
      <x:c r="G1815" s="73" t="n">
        <x:v>46</x:v>
      </x:c>
      <x:c r="H1815" s="73" t="n">
        <x:v>7</x:v>
      </x:c>
      <x:c r="I1815" s="73"/>
      <x:c r="J1815" s="73" t="n">
        <x:v>0</x:v>
      </x:c>
      <x:c r="K1815" s="49" t="str">
        <x:v>Un-Aided</x:v>
      </x:c>
      <x:c r="L1815" s="49" t="str">
        <x:v>MS Seats : 46+ EWS : 7</x:v>
      </x:c>
      <x:c r="M1815" s="49" t="str">
        <x:v>https://dse2025.mahacet.org.in/dse25/admin/allotment/cap2/6628_4.pdf</x:v>
      </x:c>
    </x:row>
    <x:row r="1816">
      <x:c r="A1816" s="49" t="str">
        <x:v>2025-26</x:v>
      </x:c>
      <x:c r="B1816" s="63" t="n">
        <x:v>6628</x:v>
      </x:c>
      <x:c r="C1816" s="49" t="str">
        <x:v>Dattakala Group Of Institutions, Swami - Chincholi Tal. Daund Dist. Pune</x:v>
      </x:c>
      <x:c r="D1816" s="72" t="n">
        <x:v>662861210</x:v>
      </x:c>
      <x:c r="E1816" s="49" t="str">
        <x:v>Mechanical Engineering</x:v>
      </x:c>
      <x:c r="F1816" s="73" t="n">
        <x:v>26</x:v>
      </x:c>
      <x:c r="G1816" s="73" t="n">
        <x:v>23</x:v>
      </x:c>
      <x:c r="H1816" s="73" t="n">
        <x:v>3</x:v>
      </x:c>
      <x:c r="I1816" s="73"/>
      <x:c r="J1816" s="73" t="n">
        <x:v>0</x:v>
      </x:c>
      <x:c r="K1816" s="49" t="str">
        <x:v>Un-Aided</x:v>
      </x:c>
      <x:c r="L1816" s="49" t="str">
        <x:v>MS Seats : 23+ EWS : 3</x:v>
      </x:c>
      <x:c r="M1816" s="49" t="str">
        <x:v>https://dse2025.mahacet.org.in/dse25/admin/allotment/cap2/6628_4.pdf</x:v>
      </x:c>
    </x:row>
    <x:row r="1817">
      <x:c r="A1817" s="49" t="str">
        <x:v>2025-26</x:v>
      </x:c>
      <x:c r="B1817" s="63" t="n">
        <x:v>6628</x:v>
      </x:c>
      <x:c r="C1817" s="49" t="str">
        <x:v>Dattakala Group Of Institutions, Swami - Chincholi Tal. Daund Dist. Pune</x:v>
      </x:c>
      <x:c r="D1817" s="72" t="n">
        <x:v>662884410</x:v>
      </x:c>
      <x:c r="E1817" s="49" t="str">
        <x:v>Electronics and Computer Engineering</x:v>
      </x:c>
      <x:c r="F1817" s="73" t="n">
        <x:v>46</x:v>
      </x:c>
      <x:c r="G1817" s="73" t="n">
        <x:v>39</x:v>
      </x:c>
      <x:c r="H1817" s="73" t="n">
        <x:v>7</x:v>
      </x:c>
      <x:c r="I1817" s="73"/>
      <x:c r="J1817" s="73" t="n">
        <x:v>0</x:v>
      </x:c>
      <x:c r="K1817" s="49" t="str">
        <x:v>Un-Aided</x:v>
      </x:c>
      <x:c r="L1817" s="49" t="str">
        <x:v>MS Seats : 39+ EWS : 7</x:v>
      </x:c>
      <x:c r="M1817" s="49" t="str">
        <x:v>https://dse2025.mahacet.org.in/dse25/admin/allotment/cap2/6628_4.pdf</x:v>
      </x:c>
    </x:row>
    <x:row r="1818">
      <x:c r="A1818" s="49" t="str">
        <x:v>2025-26</x:v>
      </x:c>
      <x:c r="B1818" s="63" t="n">
        <x:v>6632</x:v>
      </x:c>
      <x:c r="C1818" s="49" t="str">
        <x:v>Navsahyadri Education Society's Group of Institutions</x:v>
      </x:c>
      <x:c r="D1818" s="72" t="n">
        <x:v>663219110</x:v>
      </x:c>
      <x:c r="E1818" s="49" t="str">
        <x:v>Civil Engineering</x:v>
      </x:c>
      <x:c r="F1818" s="73" t="n">
        <x:v>14</x:v>
      </x:c>
      <x:c r="G1818" s="73" t="n">
        <x:v>11</x:v>
      </x:c>
      <x:c r="H1818" s="73" t="n">
        <x:v>3</x:v>
      </x:c>
      <x:c r="I1818" s="73"/>
      <x:c r="J1818" s="73" t="n">
        <x:v>0</x:v>
      </x:c>
      <x:c r="K1818" s="49" t="str">
        <x:v>Un-Aided</x:v>
      </x:c>
      <x:c r="L1818" s="49" t="str">
        <x:v>MS Seats : 11+ EWS : 3</x:v>
      </x:c>
      <x:c r="M1818" s="49" t="str">
        <x:v>https://dse2025.mahacet.org.in/dse25/admin/allotment/cap2/6632_4.pdf</x:v>
      </x:c>
    </x:row>
    <x:row r="1819">
      <x:c r="A1819" s="49" t="str">
        <x:v>2025-26</x:v>
      </x:c>
      <x:c r="B1819" s="63" t="n">
        <x:v>6632</x:v>
      </x:c>
      <x:c r="C1819" s="49" t="str">
        <x:v>Navsahyadri Education Society's Group of Institutions</x:v>
      </x:c>
      <x:c r="D1819" s="72" t="n">
        <x:v>663224510</x:v>
      </x:c>
      <x:c r="E1819" s="49" t="str">
        <x:v>Computer Engineering</x:v>
      </x:c>
      <x:c r="F1819" s="73" t="n">
        <x:v>26</x:v>
      </x:c>
      <x:c r="G1819" s="73" t="n">
        <x:v>21</x:v>
      </x:c>
      <x:c r="H1819" s="73" t="n">
        <x:v>5</x:v>
      </x:c>
      <x:c r="I1819" s="73"/>
      <x:c r="J1819" s="73" t="n">
        <x:v>0</x:v>
      </x:c>
      <x:c r="K1819" s="49" t="str">
        <x:v>Un-Aided</x:v>
      </x:c>
      <x:c r="L1819" s="49" t="str">
        <x:v>MS Seats : 21+ EWS : 5</x:v>
      </x:c>
      <x:c r="M1819" s="49" t="str">
        <x:v>https://dse2025.mahacet.org.in/dse25/admin/allotment/cap2/6632_4.pdf</x:v>
      </x:c>
    </x:row>
    <x:row r="1820">
      <x:c r="A1820" s="49" t="str">
        <x:v>2025-26</x:v>
      </x:c>
      <x:c r="B1820" s="63" t="n">
        <x:v>6632</x:v>
      </x:c>
      <x:c r="C1820" s="49" t="str">
        <x:v>Navsahyadri Education Society's Group of Institutions</x:v>
      </x:c>
      <x:c r="D1820" s="72" t="n">
        <x:v>663229310</x:v>
      </x:c>
      <x:c r="E1820" s="49" t="str">
        <x:v>Electrical Engineering</x:v>
      </x:c>
      <x:c r="F1820" s="73" t="n">
        <x:v>35</x:v>
      </x:c>
      <x:c r="G1820" s="73" t="n">
        <x:v>28</x:v>
      </x:c>
      <x:c r="H1820" s="73" t="n">
        <x:v>7</x:v>
      </x:c>
      <x:c r="I1820" s="73"/>
      <x:c r="J1820" s="73" t="n">
        <x:v>0</x:v>
      </x:c>
      <x:c r="K1820" s="49" t="str">
        <x:v>Un-Aided</x:v>
      </x:c>
      <x:c r="L1820" s="49" t="str">
        <x:v>MS Seats : 28+ EWS : 7</x:v>
      </x:c>
      <x:c r="M1820" s="49" t="str">
        <x:v>https://dse2025.mahacet.org.in/dse25/admin/allotment/cap2/6632_4.pdf</x:v>
      </x:c>
    </x:row>
    <x:row r="1821">
      <x:c r="A1821" s="49" t="str">
        <x:v>2025-26</x:v>
      </x:c>
      <x:c r="B1821" s="63" t="n">
        <x:v>6632</x:v>
      </x:c>
      <x:c r="C1821" s="49" t="str">
        <x:v>Navsahyadri Education Society's Group of Institutions</x:v>
      </x:c>
      <x:c r="D1821" s="72" t="n">
        <x:v>663237210</x:v>
      </x:c>
      <x:c r="E1821" s="49" t="str">
        <x:v>Electronics and Telecommunication Engg</x:v>
      </x:c>
      <x:c r="F1821" s="73" t="n">
        <x:v>13</x:v>
      </x:c>
      <x:c r="G1821" s="73" t="n">
        <x:v>11</x:v>
      </x:c>
      <x:c r="H1821" s="73" t="n">
        <x:v>2</x:v>
      </x:c>
      <x:c r="I1821" s="73"/>
      <x:c r="J1821" s="73" t="n">
        <x:v>0</x:v>
      </x:c>
      <x:c r="K1821" s="49" t="str">
        <x:v>Un-Aided</x:v>
      </x:c>
      <x:c r="L1821" s="49" t="str">
        <x:v>MS Seats : 11+ EWS : 2</x:v>
      </x:c>
      <x:c r="M1821" s="49" t="str">
        <x:v>https://dse2025.mahacet.org.in/dse25/admin/allotment/cap2/6632_4.pdf</x:v>
      </x:c>
    </x:row>
    <x:row r="1822">
      <x:c r="A1822" s="49" t="str">
        <x:v>2025-26</x:v>
      </x:c>
      <x:c r="B1822" s="63" t="n">
        <x:v>6632</x:v>
      </x:c>
      <x:c r="C1822" s="49" t="str">
        <x:v>Navsahyadri Education Society's Group of Institutions</x:v>
      </x:c>
      <x:c r="D1822" s="72" t="n">
        <x:v>663261210</x:v>
      </x:c>
      <x:c r="E1822" s="49" t="str">
        <x:v>Mechanical Engineering</x:v>
      </x:c>
      <x:c r="F1822" s="73" t="n">
        <x:v>14</x:v>
      </x:c>
      <x:c r="G1822" s="73" t="n">
        <x:v>12</x:v>
      </x:c>
      <x:c r="H1822" s="73" t="n">
        <x:v>2</x:v>
      </x:c>
      <x:c r="I1822" s="73"/>
      <x:c r="J1822" s="73" t="n">
        <x:v>0</x:v>
      </x:c>
      <x:c r="K1822" s="49" t="str">
        <x:v>Un-Aided</x:v>
      </x:c>
      <x:c r="L1822" s="49" t="str">
        <x:v>MS Seats : 12+ EWS : 2</x:v>
      </x:c>
      <x:c r="M1822" s="49" t="str">
        <x:v>https://dse2025.mahacet.org.in/dse25/admin/allotment/cap2/6632_4.pdf</x:v>
      </x:c>
    </x:row>
    <x:row r="1823">
      <x:c r="A1823" s="49" t="str">
        <x:v>2025-26</x:v>
      </x:c>
      <x:c r="B1823" s="63" t="n">
        <x:v>6632</x:v>
      </x:c>
      <x:c r="C1823" s="49" t="str">
        <x:v>Navsahyadri Education Society's Group of Institutions</x:v>
      </x:c>
      <x:c r="D1823" s="72" t="n">
        <x:v>663292110</x:v>
      </x:c>
      <x:c r="E1823" s="49" t="str">
        <x:v>Artificial Intelligence and Machine Learning</x:v>
      </x:c>
      <x:c r="F1823" s="73" t="n">
        <x:v>18</x:v>
      </x:c>
      <x:c r="G1823" s="73" t="n">
        <x:v>14</x:v>
      </x:c>
      <x:c r="H1823" s="73" t="n">
        <x:v>4</x:v>
      </x:c>
      <x:c r="I1823" s="73"/>
      <x:c r="J1823" s="73" t="n">
        <x:v>0</x:v>
      </x:c>
      <x:c r="K1823" s="49" t="str">
        <x:v>Un-Aided</x:v>
      </x:c>
      <x:c r="L1823" s="49" t="str">
        <x:v>MS Seats : 14+ EWS : 4</x:v>
      </x:c>
      <x:c r="M1823" s="49" t="str">
        <x:v>https://dse2025.mahacet.org.in/dse25/admin/allotment/cap2/6632_4.pdf</x:v>
      </x:c>
    </x:row>
    <x:row r="1824">
      <x:c r="A1824" s="49" t="str">
        <x:v>2025-26</x:v>
      </x:c>
      <x:c r="B1824" s="63" t="n">
        <x:v>6634</x:v>
      </x:c>
      <x:c r="C1824" s="49" t="str">
        <x:v>KJEI's Trinity Academy of Engineering, Yewalewadi, Pune</x:v>
      </x:c>
      <x:c r="D1824" s="72" t="n">
        <x:v>663419110</x:v>
      </x:c>
      <x:c r="E1824" s="49" t="str">
        <x:v>Civil Engineering</x:v>
      </x:c>
      <x:c r="F1824" s="73" t="n">
        <x:v>14</x:v>
      </x:c>
      <x:c r="G1824" s="73" t="n">
        <x:v>12</x:v>
      </x:c>
      <x:c r="H1824" s="73" t="n">
        <x:v>2</x:v>
      </x:c>
      <x:c r="I1824" s="73"/>
      <x:c r="J1824" s="73" t="n">
        <x:v>0</x:v>
      </x:c>
      <x:c r="K1824" s="49" t="str">
        <x:v>Un-Aided</x:v>
      </x:c>
      <x:c r="L1824" s="49" t="str">
        <x:v>MS Seats : 12+ EWS : 2</x:v>
      </x:c>
      <x:c r="M1824" s="49" t="str">
        <x:v>https://dse2025.mahacet.org.in/dse25/admin/allotment/cap2/6634_4.pdf</x:v>
      </x:c>
    </x:row>
    <x:row r="1825">
      <x:c r="A1825" s="49" t="str">
        <x:v>2025-26</x:v>
      </x:c>
      <x:c r="B1825" s="63" t="n">
        <x:v>6634</x:v>
      </x:c>
      <x:c r="C1825" s="49" t="str">
        <x:v>KJEI's Trinity Academy of Engineering, Yewalewadi, Pune</x:v>
      </x:c>
      <x:c r="D1825" s="72" t="n">
        <x:v>663424510</x:v>
      </x:c>
      <x:c r="E1825" s="49" t="str">
        <x:v>Computer Engineering</x:v>
      </x:c>
      <x:c r="F1825" s="73" t="n">
        <x:v>14</x:v>
      </x:c>
      <x:c r="G1825" s="73" t="n">
        <x:v>11</x:v>
      </x:c>
      <x:c r="H1825" s="73" t="n">
        <x:v>3</x:v>
      </x:c>
      <x:c r="I1825" s="73"/>
      <x:c r="J1825" s="73" t="n">
        <x:v>0</x:v>
      </x:c>
      <x:c r="K1825" s="49" t="str">
        <x:v>Un-Aided</x:v>
      </x:c>
      <x:c r="L1825" s="49" t="str">
        <x:v>MS Seats : 11+ EWS : 3</x:v>
      </x:c>
      <x:c r="M1825" s="49" t="str">
        <x:v>https://dse2025.mahacet.org.in/dse25/admin/allotment/cap2/6634_4.pdf</x:v>
      </x:c>
    </x:row>
    <x:row r="1826">
      <x:c r="A1826" s="49" t="str">
        <x:v>2025-26</x:v>
      </x:c>
      <x:c r="B1826" s="63" t="n">
        <x:v>6634</x:v>
      </x:c>
      <x:c r="C1826" s="49" t="str">
        <x:v>KJEI's Trinity Academy of Engineering, Yewalewadi, Pune</x:v>
      </x:c>
      <x:c r="D1826" s="72" t="n">
        <x:v>663424610</x:v>
      </x:c>
      <x:c r="E1826" s="49" t="str">
        <x:v>Information Technology</x:v>
      </x:c>
      <x:c r="F1826" s="73" t="n">
        <x:v>17</x:v>
      </x:c>
      <x:c r="G1826" s="73" t="n">
        <x:v>14</x:v>
      </x:c>
      <x:c r="H1826" s="73" t="n">
        <x:v>3</x:v>
      </x:c>
      <x:c r="I1826" s="73"/>
      <x:c r="J1826" s="73" t="n">
        <x:v>0</x:v>
      </x:c>
      <x:c r="K1826" s="49" t="str">
        <x:v>Un-Aided</x:v>
      </x:c>
      <x:c r="L1826" s="49" t="str">
        <x:v>MS Seats : 14+ EWS : 3</x:v>
      </x:c>
      <x:c r="M1826" s="49" t="str">
        <x:v>https://dse2025.mahacet.org.in/dse25/admin/allotment/cap2/6634_4.pdf</x:v>
      </x:c>
    </x:row>
    <x:row r="1827">
      <x:c r="A1827" s="49" t="str">
        <x:v>2025-26</x:v>
      </x:c>
      <x:c r="B1827" s="63" t="n">
        <x:v>6634</x:v>
      </x:c>
      <x:c r="C1827" s="49" t="str">
        <x:v>KJEI's Trinity Academy of Engineering, Yewalewadi, Pune</x:v>
      </x:c>
      <x:c r="D1827" s="72" t="n">
        <x:v>663437210</x:v>
      </x:c>
      <x:c r="E1827" s="49" t="str">
        <x:v>Electronics and Telecommunication Engg</x:v>
      </x:c>
      <x:c r="F1827" s="73" t="n">
        <x:v>28</x:v>
      </x:c>
      <x:c r="G1827" s="73" t="n">
        <x:v>23</x:v>
      </x:c>
      <x:c r="H1827" s="73" t="n">
        <x:v>5</x:v>
      </x:c>
      <x:c r="I1827" s="73"/>
      <x:c r="J1827" s="73" t="n">
        <x:v>0</x:v>
      </x:c>
      <x:c r="K1827" s="49" t="str">
        <x:v>Un-Aided</x:v>
      </x:c>
      <x:c r="L1827" s="49" t="str">
        <x:v>MS Seats : 23+ EWS : 5</x:v>
      </x:c>
      <x:c r="M1827" s="49" t="str">
        <x:v>https://dse2025.mahacet.org.in/dse25/admin/allotment/cap2/6634_4.pdf</x:v>
      </x:c>
    </x:row>
    <x:row r="1828">
      <x:c r="A1828" s="49" t="str">
        <x:v>2025-26</x:v>
      </x:c>
      <x:c r="B1828" s="63" t="n">
        <x:v>6634</x:v>
      </x:c>
      <x:c r="C1828" s="49" t="str">
        <x:v>KJEI's Trinity Academy of Engineering, Yewalewadi, Pune</x:v>
      </x:c>
      <x:c r="D1828" s="72" t="n">
        <x:v>663461210</x:v>
      </x:c>
      <x:c r="E1828" s="49" t="str">
        <x:v>Mechanical Engineering</x:v>
      </x:c>
      <x:c r="F1828" s="73" t="n">
        <x:v>15</x:v>
      </x:c>
      <x:c r="G1828" s="73" t="n">
        <x:v>12</x:v>
      </x:c>
      <x:c r="H1828" s="73" t="n">
        <x:v>3</x:v>
      </x:c>
      <x:c r="I1828" s="73"/>
      <x:c r="J1828" s="73" t="n">
        <x:v>0</x:v>
      </x:c>
      <x:c r="K1828" s="49" t="str">
        <x:v>Un-Aided</x:v>
      </x:c>
      <x:c r="L1828" s="49" t="str">
        <x:v>MS Seats : 12+ EWS : 3</x:v>
      </x:c>
      <x:c r="M1828" s="49" t="str">
        <x:v>https://dse2025.mahacet.org.in/dse25/admin/allotment/cap2/6634_4.pdf</x:v>
      </x:c>
    </x:row>
    <x:row r="1829">
      <x:c r="A1829" s="49" t="str">
        <x:v>2025-26</x:v>
      </x:c>
      <x:c r="B1829" s="63" t="n">
        <x:v>6635</x:v>
      </x:c>
      <x:c r="C1829" s="49" t="str">
        <x:v>Samarth College of Engineering and Management</x:v>
      </x:c>
      <x:c r="D1829" s="72" t="n">
        <x:v>663519110</x:v>
      </x:c>
      <x:c r="E1829" s="49" t="str">
        <x:v>Civil Engineering</x:v>
      </x:c>
      <x:c r="F1829" s="73" t="n">
        <x:v>9</x:v>
      </x:c>
      <x:c r="G1829" s="73" t="n">
        <x:v>6</x:v>
      </x:c>
      <x:c r="H1829" s="73" t="n">
        <x:v>3</x:v>
      </x:c>
      <x:c r="I1829" s="73"/>
      <x:c r="J1829" s="73" t="n">
        <x:v>0</x:v>
      </x:c>
      <x:c r="K1829" s="49" t="str">
        <x:v>Un-Aided</x:v>
      </x:c>
      <x:c r="L1829" s="49" t="str">
        <x:v>MS Seats : 6+ EWS : 3</x:v>
      </x:c>
      <x:c r="M1829" s="49" t="str">
        <x:v>https://dse2025.mahacet.org.in/dse25/admin/allotment/cap2/6635_4.pdf</x:v>
      </x:c>
    </x:row>
    <x:row r="1830">
      <x:c r="A1830" s="49" t="str">
        <x:v>2025-26</x:v>
      </x:c>
      <x:c r="B1830" s="63" t="n">
        <x:v>6635</x:v>
      </x:c>
      <x:c r="C1830" s="49" t="str">
        <x:v>Samarth College of Engineering and Management</x:v>
      </x:c>
      <x:c r="D1830" s="72" t="n">
        <x:v>663524510</x:v>
      </x:c>
      <x:c r="E1830" s="49" t="str">
        <x:v>Computer Engineering</x:v>
      </x:c>
      <x:c r="F1830" s="73" t="n">
        <x:v>53</x:v>
      </x:c>
      <x:c r="G1830" s="73" t="n">
        <x:v>45</x:v>
      </x:c>
      <x:c r="H1830" s="73" t="n">
        <x:v>8</x:v>
      </x:c>
      <x:c r="I1830" s="73"/>
      <x:c r="J1830" s="73" t="n">
        <x:v>0</x:v>
      </x:c>
      <x:c r="K1830" s="49" t="str">
        <x:v>Un-Aided</x:v>
      </x:c>
      <x:c r="L1830" s="49" t="str">
        <x:v>MS Seats : 45+ EWS : 8</x:v>
      </x:c>
      <x:c r="M1830" s="49" t="str">
        <x:v>https://dse2025.mahacet.org.in/dse25/admin/allotment/cap2/6635_4.pdf</x:v>
      </x:c>
    </x:row>
    <x:row r="1831">
      <x:c r="A1831" s="49" t="str">
        <x:v>2025-26</x:v>
      </x:c>
      <x:c r="B1831" s="63" t="n">
        <x:v>6635</x:v>
      </x:c>
      <x:c r="C1831" s="49" t="str">
        <x:v>Samarth College of Engineering and Management</x:v>
      </x:c>
      <x:c r="D1831" s="72" t="n">
        <x:v>663529310</x:v>
      </x:c>
      <x:c r="E1831" s="49" t="str">
        <x:v>Electrical Engineering</x:v>
      </x:c>
      <x:c r="F1831" s="73" t="n">
        <x:v>11</x:v>
      </x:c>
      <x:c r="G1831" s="73" t="n">
        <x:v>8</x:v>
      </x:c>
      <x:c r="H1831" s="73" t="n">
        <x:v>3</x:v>
      </x:c>
      <x:c r="I1831" s="73"/>
      <x:c r="J1831" s="73" t="n">
        <x:v>0</x:v>
      </x:c>
      <x:c r="K1831" s="49" t="str">
        <x:v>Un-Aided</x:v>
      </x:c>
      <x:c r="L1831" s="49" t="str">
        <x:v>MS Seats : 8+ EWS : 3</x:v>
      </x:c>
      <x:c r="M1831" s="49" t="str">
        <x:v>https://dse2025.mahacet.org.in/dse25/admin/allotment/cap2/6635_4.pdf</x:v>
      </x:c>
    </x:row>
    <x:row r="1832">
      <x:c r="A1832" s="49" t="str">
        <x:v>2025-26</x:v>
      </x:c>
      <x:c r="B1832" s="63" t="n">
        <x:v>6635</x:v>
      </x:c>
      <x:c r="C1832" s="49" t="str">
        <x:v>Samarth College of Engineering and Management</x:v>
      </x:c>
      <x:c r="D1832" s="72" t="n">
        <x:v>663537210</x:v>
      </x:c>
      <x:c r="E1832" s="49" t="str">
        <x:v>Electronics and Telecommunication Engg</x:v>
      </x:c>
      <x:c r="F1832" s="73" t="n">
        <x:v>30</x:v>
      </x:c>
      <x:c r="G1832" s="73" t="n">
        <x:v>25</x:v>
      </x:c>
      <x:c r="H1832" s="73" t="n">
        <x:v>5</x:v>
      </x:c>
      <x:c r="I1832" s="73"/>
      <x:c r="J1832" s="73" t="n">
        <x:v>0</x:v>
      </x:c>
      <x:c r="K1832" s="49" t="str">
        <x:v>Un-Aided</x:v>
      </x:c>
      <x:c r="L1832" s="49" t="str">
        <x:v>MS Seats : 25+ EWS : 5</x:v>
      </x:c>
      <x:c r="M1832" s="49" t="str">
        <x:v>https://dse2025.mahacet.org.in/dse25/admin/allotment/cap2/6635_4.pdf</x:v>
      </x:c>
    </x:row>
    <x:row r="1833">
      <x:c r="A1833" s="49" t="str">
        <x:v>2025-26</x:v>
      </x:c>
      <x:c r="B1833" s="63" t="n">
        <x:v>6635</x:v>
      </x:c>
      <x:c r="C1833" s="49" t="str">
        <x:v>Samarth College of Engineering and Management</x:v>
      </x:c>
      <x:c r="D1833" s="72" t="n">
        <x:v>663561210</x:v>
      </x:c>
      <x:c r="E1833" s="49" t="str">
        <x:v>Mechanical Engineering</x:v>
      </x:c>
      <x:c r="F1833" s="73" t="n">
        <x:v>30</x:v>
      </x:c>
      <x:c r="G1833" s="73" t="n">
        <x:v>23</x:v>
      </x:c>
      <x:c r="H1833" s="73" t="n">
        <x:v>7</x:v>
      </x:c>
      <x:c r="I1833" s="73"/>
      <x:c r="J1833" s="73" t="n">
        <x:v>0</x:v>
      </x:c>
      <x:c r="K1833" s="49" t="str">
        <x:v>Un-Aided</x:v>
      </x:c>
      <x:c r="L1833" s="49" t="str">
        <x:v>MS Seats : 23+ EWS : 7</x:v>
      </x:c>
      <x:c r="M1833" s="49" t="str">
        <x:v>https://dse2025.mahacet.org.in/dse25/admin/allotment/cap2/6635_4.pdf</x:v>
      </x:c>
    </x:row>
    <x:row r="1834">
      <x:c r="A1834" s="49" t="str">
        <x:v>2025-26</x:v>
      </x:c>
      <x:c r="B1834" s="63" t="n">
        <x:v>6635</x:v>
      </x:c>
      <x:c r="C1834" s="49" t="str">
        <x:v>Samarth College of Engineering and Management</x:v>
      </x:c>
      <x:c r="D1834" s="72" t="n">
        <x:v>663591210</x:v>
      </x:c>
      <x:c r="E1834" s="49" t="str">
        <x:v>Computer Science and Engineering(Data Science)</x:v>
      </x:c>
      <x:c r="F1834" s="73" t="n">
        <x:v>12</x:v>
      </x:c>
      <x:c r="G1834" s="73" t="n">
        <x:v>9</x:v>
      </x:c>
      <x:c r="H1834" s="73" t="n">
        <x:v>3</x:v>
      </x:c>
      <x:c r="I1834" s="73"/>
      <x:c r="J1834" s="73" t="n">
        <x:v>0</x:v>
      </x:c>
      <x:c r="K1834" s="49" t="str">
        <x:v>Un-Aided</x:v>
      </x:c>
      <x:c r="L1834" s="49" t="str">
        <x:v>MS Seats : 9+ EWS : 3</x:v>
      </x:c>
      <x:c r="M1834" s="49" t="str">
        <x:v>https://dse2025.mahacet.org.in/dse25/admin/allotment/cap2/6635_4.pdf</x:v>
      </x:c>
    </x:row>
    <x:row r="1835">
      <x:c r="A1835" s="49" t="str">
        <x:v>2025-26</x:v>
      </x:c>
      <x:c r="B1835" s="63" t="n">
        <x:v>6635</x:v>
      </x:c>
      <x:c r="C1835" s="49" t="str">
        <x:v>Samarth College of Engineering and Management</x:v>
      </x:c>
      <x:c r="D1835" s="72" t="n">
        <x:v>663592110</x:v>
      </x:c>
      <x:c r="E1835" s="49" t="str">
        <x:v>Artificial Intelligence and Machine Learning</x:v>
      </x:c>
      <x:c r="F1835" s="73" t="n">
        <x:v>24</x:v>
      </x:c>
      <x:c r="G1835" s="73" t="n">
        <x:v>18</x:v>
      </x:c>
      <x:c r="H1835" s="73" t="n">
        <x:v>6</x:v>
      </x:c>
      <x:c r="I1835" s="73"/>
      <x:c r="J1835" s="73" t="n">
        <x:v>0</x:v>
      </x:c>
      <x:c r="K1835" s="49" t="str">
        <x:v>Un-Aided</x:v>
      </x:c>
      <x:c r="L1835" s="49" t="str">
        <x:v>MS Seats : 18+ EWS : 6</x:v>
      </x:c>
      <x:c r="M1835" s="49" t="str">
        <x:v>https://dse2025.mahacet.org.in/dse25/admin/allotment/cap2/6635_4.pdf</x:v>
      </x:c>
    </x:row>
    <x:row r="1836">
      <x:c r="A1836" s="49" t="str">
        <x:v>2025-26</x:v>
      </x:c>
      <x:c r="B1836" s="63" t="n">
        <x:v>6640</x:v>
      </x:c>
      <x:c r="C1836" s="49" t="str">
        <x:v>N. B. Navale Sinhgad College of Engineering, Kegaon, solapur</x:v>
      </x:c>
      <x:c r="D1836" s="72" t="n">
        <x:v>664019110</x:v>
      </x:c>
      <x:c r="E1836" s="49" t="str">
        <x:v>Civil Engineering</x:v>
      </x:c>
      <x:c r="F1836" s="73" t="n">
        <x:v>29</x:v>
      </x:c>
      <x:c r="G1836" s="73" t="n">
        <x:v>26</x:v>
      </x:c>
      <x:c r="H1836" s="73" t="n">
        <x:v>3</x:v>
      </x:c>
      <x:c r="I1836" s="73"/>
      <x:c r="J1836" s="73" t="n">
        <x:v>0</x:v>
      </x:c>
      <x:c r="K1836" s="49" t="str">
        <x:v>Un-Aided</x:v>
      </x:c>
      <x:c r="L1836" s="49" t="str">
        <x:v>MS Seats : 26+ EWS : 3</x:v>
      </x:c>
      <x:c r="M1836" s="49" t="str">
        <x:v>https://dse2025.mahacet.org.in/dse25/admin/allotment/cap2/6640_4.pdf</x:v>
      </x:c>
    </x:row>
    <x:row r="1837">
      <x:c r="A1837" s="49" t="str">
        <x:v>2025-26</x:v>
      </x:c>
      <x:c r="B1837" s="63" t="n">
        <x:v>6640</x:v>
      </x:c>
      <x:c r="C1837" s="49" t="str">
        <x:v>N. B. Navale Sinhgad College of Engineering, Kegaon, solapur</x:v>
      </x:c>
      <x:c r="D1837" s="72" t="n">
        <x:v>664024210</x:v>
      </x:c>
      <x:c r="E1837" s="49" t="str">
        <x:v>Computer Science and Engineering</x:v>
      </x:c>
      <x:c r="F1837" s="73" t="n">
        <x:v>9</x:v>
      </x:c>
      <x:c r="G1837" s="73" t="n">
        <x:v>8</x:v>
      </x:c>
      <x:c r="H1837" s="73" t="n">
        <x:v>1</x:v>
      </x:c>
      <x:c r="I1837" s="73"/>
      <x:c r="J1837" s="73" t="n">
        <x:v>0</x:v>
      </x:c>
      <x:c r="K1837" s="49" t="str">
        <x:v>Un-Aided</x:v>
      </x:c>
      <x:c r="L1837" s="49" t="str">
        <x:v>MS Seats : 8+ EWS : 1</x:v>
      </x:c>
      <x:c r="M1837" s="49" t="str">
        <x:v>https://dse2025.mahacet.org.in/dse25/admin/allotment/cap2/6640_4.pdf</x:v>
      </x:c>
    </x:row>
    <x:row r="1838">
      <x:c r="A1838" s="49" t="str">
        <x:v>2025-26</x:v>
      </x:c>
      <x:c r="B1838" s="63" t="n">
        <x:v>6640</x:v>
      </x:c>
      <x:c r="C1838" s="49" t="str">
        <x:v>N. B. Navale Sinhgad College of Engineering, Kegaon, solapur</x:v>
      </x:c>
      <x:c r="D1838" s="72" t="n">
        <x:v>664029310</x:v>
      </x:c>
      <x:c r="E1838" s="49" t="str">
        <x:v>Electrical Engineering</x:v>
      </x:c>
      <x:c r="F1838" s="73" t="n">
        <x:v>16</x:v>
      </x:c>
      <x:c r="G1838" s="73" t="n">
        <x:v>15</x:v>
      </x:c>
      <x:c r="H1838" s="73" t="n">
        <x:v>1</x:v>
      </x:c>
      <x:c r="I1838" s="73"/>
      <x:c r="J1838" s="73" t="n">
        <x:v>0</x:v>
      </x:c>
      <x:c r="K1838" s="49" t="str">
        <x:v>Un-Aided</x:v>
      </x:c>
      <x:c r="L1838" s="49" t="str">
        <x:v>MS Seats : 15+ EWS : 1</x:v>
      </x:c>
      <x:c r="M1838" s="49" t="str">
        <x:v>https://dse2025.mahacet.org.in/dse25/admin/allotment/cap2/6640_4.pdf</x:v>
      </x:c>
    </x:row>
    <x:row r="1839">
      <x:c r="A1839" s="49" t="str">
        <x:v>2025-26</x:v>
      </x:c>
      <x:c r="B1839" s="63" t="n">
        <x:v>6640</x:v>
      </x:c>
      <x:c r="C1839" s="49" t="str">
        <x:v>N. B. Navale Sinhgad College of Engineering, Kegaon, solapur</x:v>
      </x:c>
      <x:c r="D1839" s="72" t="n">
        <x:v>664037210</x:v>
      </x:c>
      <x:c r="E1839" s="49" t="str">
        <x:v>Electronics and Telecommunication Engg</x:v>
      </x:c>
      <x:c r="F1839" s="73" t="n">
        <x:v>13</x:v>
      </x:c>
      <x:c r="G1839" s="73" t="n">
        <x:v>11</x:v>
      </x:c>
      <x:c r="H1839" s="73" t="n">
        <x:v>2</x:v>
      </x:c>
      <x:c r="I1839" s="73"/>
      <x:c r="J1839" s="73" t="n">
        <x:v>0</x:v>
      </x:c>
      <x:c r="K1839" s="49" t="str">
        <x:v>Un-Aided</x:v>
      </x:c>
      <x:c r="L1839" s="49" t="str">
        <x:v>MS Seats : 11+ EWS : 2</x:v>
      </x:c>
      <x:c r="M1839" s="49" t="str">
        <x:v>https://dse2025.mahacet.org.in/dse25/admin/allotment/cap2/6640_4.pdf</x:v>
      </x:c>
    </x:row>
    <x:row r="1840">
      <x:c r="A1840" s="49" t="str">
        <x:v>2025-26</x:v>
      </x:c>
      <x:c r="B1840" s="63" t="n">
        <x:v>6640</x:v>
      </x:c>
      <x:c r="C1840" s="49" t="str">
        <x:v>N. B. Navale Sinhgad College of Engineering, Kegaon, solapur</x:v>
      </x:c>
      <x:c r="D1840" s="72" t="n">
        <x:v>664061210</x:v>
      </x:c>
      <x:c r="E1840" s="49" t="str">
        <x:v>Mechanical Engineering</x:v>
      </x:c>
      <x:c r="F1840" s="73" t="n">
        <x:v>51</x:v>
      </x:c>
      <x:c r="G1840" s="73" t="n">
        <x:v>43</x:v>
      </x:c>
      <x:c r="H1840" s="73" t="n">
        <x:v>8</x:v>
      </x:c>
      <x:c r="I1840" s="73"/>
      <x:c r="J1840" s="73" t="n">
        <x:v>0</x:v>
      </x:c>
      <x:c r="K1840" s="49" t="str">
        <x:v>Un-Aided</x:v>
      </x:c>
      <x:c r="L1840" s="49" t="str">
        <x:v>MS Seats : 43+ EWS : 8</x:v>
      </x:c>
      <x:c r="M1840" s="49" t="str">
        <x:v>https://dse2025.mahacet.org.in/dse25/admin/allotment/cap2/6640_4.pdf</x:v>
      </x:c>
    </x:row>
    <x:row r="1841">
      <x:c r="A1841" s="49" t="str">
        <x:v>2025-26</x:v>
      </x:c>
      <x:c r="B1841" s="63" t="n">
        <x:v>6643</x:v>
      </x:c>
      <x:c r="C1841" s="49" t="str">
        <x:v>S K N Sinhgad College of Engineering, Korti Tal. Pandharpur Dist Solapur</x:v>
      </x:c>
      <x:c r="D1841" s="72" t="n">
        <x:v>664319110</x:v>
      </x:c>
      <x:c r="E1841" s="49" t="str">
        <x:v>Civil Engineering</x:v>
      </x:c>
      <x:c r="F1841" s="73" t="n">
        <x:v>13</x:v>
      </x:c>
      <x:c r="G1841" s="73" t="n">
        <x:v>8</x:v>
      </x:c>
      <x:c r="H1841" s="73" t="n">
        <x:v>5</x:v>
      </x:c>
      <x:c r="I1841" s="73"/>
      <x:c r="J1841" s="73" t="n">
        <x:v>0</x:v>
      </x:c>
      <x:c r="K1841" s="49" t="str">
        <x:v>Un-Aided</x:v>
      </x:c>
      <x:c r="L1841" s="49" t="str">
        <x:v>MS Seats : 8+ EWS : 5</x:v>
      </x:c>
      <x:c r="M1841" s="49" t="str">
        <x:v>https://dse2025.mahacet.org.in/dse25/admin/allotment/cap2/6643_4.pdf</x:v>
      </x:c>
    </x:row>
    <x:row r="1842">
      <x:c r="A1842" s="49" t="str">
        <x:v>2025-26</x:v>
      </x:c>
      <x:c r="B1842" s="63" t="n">
        <x:v>6643</x:v>
      </x:c>
      <x:c r="C1842" s="49" t="str">
        <x:v>S K N Sinhgad College of Engineering, Korti Tal. Pandharpur Dist Solapur</x:v>
      </x:c>
      <x:c r="D1842" s="72" t="n">
        <x:v>664324210</x:v>
      </x:c>
      <x:c r="E1842" s="49" t="str">
        <x:v>Computer Science and Engineering</x:v>
      </x:c>
      <x:c r="F1842" s="73" t="n">
        <x:v>8</x:v>
      </x:c>
      <x:c r="G1842" s="73" t="n">
        <x:v>7</x:v>
      </x:c>
      <x:c r="H1842" s="73" t="n">
        <x:v>1</x:v>
      </x:c>
      <x:c r="I1842" s="73"/>
      <x:c r="J1842" s="73" t="n">
        <x:v>0</x:v>
      </x:c>
      <x:c r="K1842" s="49" t="str">
        <x:v>Un-Aided</x:v>
      </x:c>
      <x:c r="L1842" s="49" t="str">
        <x:v>MS Seats : 7+ EWS : 1</x:v>
      </x:c>
      <x:c r="M1842" s="49" t="str">
        <x:v>https://dse2025.mahacet.org.in/dse25/admin/allotment/cap2/6643_4.pdf</x:v>
      </x:c>
    </x:row>
    <x:row r="1843">
      <x:c r="A1843" s="49" t="str">
        <x:v>2025-26</x:v>
      </x:c>
      <x:c r="B1843" s="63" t="n">
        <x:v>6643</x:v>
      </x:c>
      <x:c r="C1843" s="49" t="str">
        <x:v>S K N Sinhgad College of Engineering, Korti Tal. Pandharpur Dist Solapur</x:v>
      </x:c>
      <x:c r="D1843" s="72" t="n">
        <x:v>664329310</x:v>
      </x:c>
      <x:c r="E1843" s="49" t="str">
        <x:v>Electrical Engineering</x:v>
      </x:c>
      <x:c r="F1843" s="73" t="n">
        <x:v>16</x:v>
      </x:c>
      <x:c r="G1843" s="73" t="n">
        <x:v>13</x:v>
      </x:c>
      <x:c r="H1843" s="73" t="n">
        <x:v>3</x:v>
      </x:c>
      <x:c r="I1843" s="73"/>
      <x:c r="J1843" s="73" t="n">
        <x:v>0</x:v>
      </x:c>
      <x:c r="K1843" s="49" t="str">
        <x:v>Un-Aided</x:v>
      </x:c>
      <x:c r="L1843" s="49" t="str">
        <x:v>MS Seats : 13+ EWS : 3</x:v>
      </x:c>
      <x:c r="M1843" s="49" t="str">
        <x:v>https://dse2025.mahacet.org.in/dse25/admin/allotment/cap2/6643_4.pdf</x:v>
      </x:c>
    </x:row>
    <x:row r="1844">
      <x:c r="A1844" s="49" t="str">
        <x:v>2025-26</x:v>
      </x:c>
      <x:c r="B1844" s="63" t="n">
        <x:v>6643</x:v>
      </x:c>
      <x:c r="C1844" s="49" t="str">
        <x:v>S K N Sinhgad College of Engineering, Korti Tal. Pandharpur Dist Solapur</x:v>
      </x:c>
      <x:c r="D1844" s="72" t="n">
        <x:v>664337210</x:v>
      </x:c>
      <x:c r="E1844" s="49" t="str">
        <x:v>Electronics and Telecommunication Engg</x:v>
      </x:c>
      <x:c r="F1844" s="73" t="n">
        <x:v>12</x:v>
      </x:c>
      <x:c r="G1844" s="73" t="n">
        <x:v>11</x:v>
      </x:c>
      <x:c r="H1844" s="73" t="n">
        <x:v>1</x:v>
      </x:c>
      <x:c r="I1844" s="73"/>
      <x:c r="J1844" s="73" t="n">
        <x:v>0</x:v>
      </x:c>
      <x:c r="K1844" s="49" t="str">
        <x:v>Un-Aided</x:v>
      </x:c>
      <x:c r="L1844" s="49" t="str">
        <x:v>MS Seats : 11+ EWS : 1</x:v>
      </x:c>
      <x:c r="M1844" s="49" t="str">
        <x:v>https://dse2025.mahacet.org.in/dse25/admin/allotment/cap2/6643_4.pdf</x:v>
      </x:c>
    </x:row>
    <x:row r="1845">
      <x:c r="A1845" s="49" t="str">
        <x:v>2025-26</x:v>
      </x:c>
      <x:c r="B1845" s="63" t="n">
        <x:v>6643</x:v>
      </x:c>
      <x:c r="C1845" s="49" t="str">
        <x:v>S K N Sinhgad College of Engineering, Korti Tal. Pandharpur Dist Solapur</x:v>
      </x:c>
      <x:c r="D1845" s="72" t="n">
        <x:v>664361210</x:v>
      </x:c>
      <x:c r="E1845" s="49" t="str">
        <x:v>Mechanical Engineering</x:v>
      </x:c>
      <x:c r="F1845" s="73" t="n">
        <x:v>29</x:v>
      </x:c>
      <x:c r="G1845" s="73" t="n">
        <x:v>20</x:v>
      </x:c>
      <x:c r="H1845" s="73" t="n">
        <x:v>9</x:v>
      </x:c>
      <x:c r="I1845" s="73"/>
      <x:c r="J1845" s="73" t="n">
        <x:v>0</x:v>
      </x:c>
      <x:c r="K1845" s="49" t="str">
        <x:v>Un-Aided</x:v>
      </x:c>
      <x:c r="L1845" s="49" t="str">
        <x:v>MS Seats : 20+ EWS : 9</x:v>
      </x:c>
      <x:c r="M1845" s="49" t="str">
        <x:v>https://dse2025.mahacet.org.in/dse25/admin/allotment/cap2/6643_4.pdf</x:v>
      </x:c>
    </x:row>
    <x:row r="1846">
      <x:c r="A1846" s="49" t="str">
        <x:v>2025-26</x:v>
      </x:c>
      <x:c r="B1846" s="63" t="n">
        <x:v>6644</x:v>
      </x:c>
      <x:c r="C1846" s="49" t="str">
        <x:v>Shri. Ambabai Talim Sanstha's Sanjay Bhokare Group of Institutes, Miraj</x:v>
      </x:c>
      <x:c r="D1846" s="72" t="n">
        <x:v>664419110</x:v>
      </x:c>
      <x:c r="E1846" s="49" t="str">
        <x:v>Civil Engineering</x:v>
      </x:c>
      <x:c r="F1846" s="73" t="n">
        <x:v>27</x:v>
      </x:c>
      <x:c r="G1846" s="73" t="n">
        <x:v>24</x:v>
      </x:c>
      <x:c r="H1846" s="73" t="n">
        <x:v>3</x:v>
      </x:c>
      <x:c r="I1846" s="73"/>
      <x:c r="J1846" s="73" t="n">
        <x:v>0</x:v>
      </x:c>
      <x:c r="K1846" s="49" t="str">
        <x:v>Un-Aided</x:v>
      </x:c>
      <x:c r="L1846" s="49" t="str">
        <x:v>MS Seats : 24+ EWS : 3</x:v>
      </x:c>
      <x:c r="M1846" s="49" t="str">
        <x:v>https://dse2025.mahacet.org.in/dse25/admin/allotment/cap2/6644_4.pdf</x:v>
      </x:c>
    </x:row>
    <x:row r="1847">
      <x:c r="A1847" s="49" t="str">
        <x:v>2025-26</x:v>
      </x:c>
      <x:c r="B1847" s="63" t="n">
        <x:v>6644</x:v>
      </x:c>
      <x:c r="C1847" s="49" t="str">
        <x:v>Shri. Ambabai Talim Sanstha's Sanjay Bhokare Group of Institutes, Miraj</x:v>
      </x:c>
      <x:c r="D1847" s="72" t="n">
        <x:v>664424510</x:v>
      </x:c>
      <x:c r="E1847" s="49" t="str">
        <x:v>Computer Engineering</x:v>
      </x:c>
      <x:c r="F1847" s="73" t="n">
        <x:v>19</x:v>
      </x:c>
      <x:c r="G1847" s="73" t="n">
        <x:v>17</x:v>
      </x:c>
      <x:c r="H1847" s="73" t="n">
        <x:v>2</x:v>
      </x:c>
      <x:c r="I1847" s="73"/>
      <x:c r="J1847" s="73" t="n">
        <x:v>0</x:v>
      </x:c>
      <x:c r="K1847" s="49" t="str">
        <x:v>Un-Aided</x:v>
      </x:c>
      <x:c r="L1847" s="49" t="str">
        <x:v>MS Seats : 17+ EWS : 2</x:v>
      </x:c>
      <x:c r="M1847" s="49" t="str">
        <x:v>https://dse2025.mahacet.org.in/dse25/admin/allotment/cap2/6644_4.pdf</x:v>
      </x:c>
    </x:row>
    <x:row r="1848">
      <x:c r="A1848" s="49" t="str">
        <x:v>2025-26</x:v>
      </x:c>
      <x:c r="B1848" s="63" t="n">
        <x:v>6644</x:v>
      </x:c>
      <x:c r="C1848" s="49" t="str">
        <x:v>Shri. Ambabai Talim Sanstha's Sanjay Bhokare Group of Institutes, Miraj</x:v>
      </x:c>
      <x:c r="D1848" s="72" t="n">
        <x:v>664429310</x:v>
      </x:c>
      <x:c r="E1848" s="49" t="str">
        <x:v>Electrical Engineering</x:v>
      </x:c>
      <x:c r="F1848" s="73" t="n">
        <x:v>25</x:v>
      </x:c>
      <x:c r="G1848" s="73" t="n">
        <x:v>23</x:v>
      </x:c>
      <x:c r="H1848" s="73" t="n">
        <x:v>2</x:v>
      </x:c>
      <x:c r="I1848" s="73"/>
      <x:c r="J1848" s="73" t="n">
        <x:v>0</x:v>
      </x:c>
      <x:c r="K1848" s="49" t="str">
        <x:v>Un-Aided</x:v>
      </x:c>
      <x:c r="L1848" s="49" t="str">
        <x:v>MS Seats : 23+ EWS : 2</x:v>
      </x:c>
      <x:c r="M1848" s="49" t="str">
        <x:v>https://dse2025.mahacet.org.in/dse25/admin/allotment/cap2/6644_4.pdf</x:v>
      </x:c>
    </x:row>
    <x:row r="1849">
      <x:c r="A1849" s="49" t="str">
        <x:v>2025-26</x:v>
      </x:c>
      <x:c r="B1849" s="63" t="n">
        <x:v>6644</x:v>
      </x:c>
      <x:c r="C1849" s="49" t="str">
        <x:v>Shri. Ambabai Talim Sanstha's Sanjay Bhokare Group of Institutes, Miraj</x:v>
      </x:c>
      <x:c r="D1849" s="72" t="n">
        <x:v>664437210</x:v>
      </x:c>
      <x:c r="E1849" s="49" t="str">
        <x:v>Electronics and Telecommunication Engg</x:v>
      </x:c>
      <x:c r="F1849" s="73" t="n">
        <x:v>22</x:v>
      </x:c>
      <x:c r="G1849" s="73" t="n">
        <x:v>20</x:v>
      </x:c>
      <x:c r="H1849" s="73" t="n">
        <x:v>2</x:v>
      </x:c>
      <x:c r="I1849" s="73"/>
      <x:c r="J1849" s="73" t="n">
        <x:v>0</x:v>
      </x:c>
      <x:c r="K1849" s="49" t="str">
        <x:v>Un-Aided</x:v>
      </x:c>
      <x:c r="L1849" s="49" t="str">
        <x:v>MS Seats : 20+ EWS : 2</x:v>
      </x:c>
      <x:c r="M1849" s="49" t="str">
        <x:v>https://dse2025.mahacet.org.in/dse25/admin/allotment/cap2/6644_4.pdf</x:v>
      </x:c>
    </x:row>
    <x:row r="1850">
      <x:c r="A1850" s="49" t="str">
        <x:v>2025-26</x:v>
      </x:c>
      <x:c r="B1850" s="63" t="n">
        <x:v>6644</x:v>
      </x:c>
      <x:c r="C1850" s="49" t="str">
        <x:v>Shri. Ambabai Talim Sanstha's Sanjay Bhokare Group of Institutes, Miraj</x:v>
      </x:c>
      <x:c r="D1850" s="72" t="n">
        <x:v>664461210</x:v>
      </x:c>
      <x:c r="E1850" s="49" t="str">
        <x:v>Mechanical Engineering</x:v>
      </x:c>
      <x:c r="F1850" s="73" t="n">
        <x:v>29</x:v>
      </x:c>
      <x:c r="G1850" s="73" t="n">
        <x:v>27</x:v>
      </x:c>
      <x:c r="H1850" s="73" t="n">
        <x:v>2</x:v>
      </x:c>
      <x:c r="I1850" s="73"/>
      <x:c r="J1850" s="73" t="n">
        <x:v>0</x:v>
      </x:c>
      <x:c r="K1850" s="49" t="str">
        <x:v>Un-Aided</x:v>
      </x:c>
      <x:c r="L1850" s="49" t="str">
        <x:v>MS Seats : 27+ EWS : 2</x:v>
      </x:c>
      <x:c r="M1850" s="49" t="str">
        <x:v>https://dse2025.mahacet.org.in/dse25/admin/allotment/cap2/6644_4.pdf</x:v>
      </x:c>
    </x:row>
    <x:row r="1851">
      <x:c r="A1851" s="49" t="str">
        <x:v>2025-26</x:v>
      </x:c>
      <x:c r="B1851" s="63" t="n">
        <x:v>6644</x:v>
      </x:c>
      <x:c r="C1851" s="49" t="str">
        <x:v>Shri. Ambabai Talim Sanstha's Sanjay Bhokare Group of Institutes, Miraj</x:v>
      </x:c>
      <x:c r="D1851" s="72" t="n">
        <x:v>664490010</x:v>
      </x:c>
      <x:c r="E1851" s="49" t="str">
        <x:v>Electronics and Computer Science</x:v>
      </x:c>
      <x:c r="F1851" s="73" t="n">
        <x:v>48</x:v>
      </x:c>
      <x:c r="G1851" s="73" t="n">
        <x:v>42</x:v>
      </x:c>
      <x:c r="H1851" s="73" t="n">
        <x:v>6</x:v>
      </x:c>
      <x:c r="I1851" s="73"/>
      <x:c r="J1851" s="73" t="n">
        <x:v>0</x:v>
      </x:c>
      <x:c r="K1851" s="49" t="str">
        <x:v>Un-Aided</x:v>
      </x:c>
      <x:c r="L1851" s="49" t="str">
        <x:v>MS Seats : 42+ EWS : 6</x:v>
      </x:c>
      <x:c r="M1851" s="49" t="str">
        <x:v>https://dse2025.mahacet.org.in/dse25/admin/allotment/cap2/6644_4.pdf</x:v>
      </x:c>
    </x:row>
    <x:row r="1852">
      <x:c r="A1852" s="49" t="str">
        <x:v>2025-26</x:v>
      </x:c>
      <x:c r="B1852" s="63" t="n">
        <x:v>6644</x:v>
      </x:c>
      <x:c r="C1852" s="49" t="str">
        <x:v>Shri. Ambabai Talim Sanstha's Sanjay Bhokare Group of Institutes, Miraj</x:v>
      </x:c>
      <x:c r="D1852" s="72" t="n">
        <x:v>664491110</x:v>
      </x:c>
      <x:c r="E1852" s="49" t="str">
        <x:v>Computer Science and Engineering(Artificial Intelligence and Machine Learning)</x:v>
      </x:c>
      <x:c r="F1852" s="73" t="n">
        <x:v>14</x:v>
      </x:c>
      <x:c r="G1852" s="73" t="n">
        <x:v>13</x:v>
      </x:c>
      <x:c r="H1852" s="73" t="n">
        <x:v>1</x:v>
      </x:c>
      <x:c r="I1852" s="73"/>
      <x:c r="J1852" s="73" t="n">
        <x:v>0</x:v>
      </x:c>
      <x:c r="K1852" s="49" t="str">
        <x:v>Un-Aided</x:v>
      </x:c>
      <x:c r="L1852" s="49" t="str">
        <x:v>MS Seats : 13+ EWS : 1</x:v>
      </x:c>
      <x:c r="M1852" s="49" t="str">
        <x:v>https://dse2025.mahacet.org.in/dse25/admin/allotment/cap2/6644_4.pdf</x:v>
      </x:c>
    </x:row>
    <x:row r="1853">
      <x:c r="A1853" s="49" t="str">
        <x:v>2025-26</x:v>
      </x:c>
      <x:c r="B1853" s="63" t="n">
        <x:v>6649</x:v>
      </x:c>
      <x:c r="C1853" s="49" t="str">
        <x:v>TSSM's Bhivarabai Sawant College of Engineering and Research, Narhe, Pune</x:v>
      </x:c>
      <x:c r="D1853" s="72" t="n">
        <x:v>664919110</x:v>
      </x:c>
      <x:c r="E1853" s="49" t="str">
        <x:v>Civil Engineering</x:v>
      </x:c>
      <x:c r="F1853" s="73" t="n">
        <x:v>33</x:v>
      </x:c>
      <x:c r="G1853" s="73" t="n">
        <x:v>28</x:v>
      </x:c>
      <x:c r="H1853" s="73" t="n">
        <x:v>5</x:v>
      </x:c>
      <x:c r="I1853" s="73"/>
      <x:c r="J1853" s="73" t="n">
        <x:v>0</x:v>
      </x:c>
      <x:c r="K1853" s="49" t="str">
        <x:v>Un-Aided</x:v>
      </x:c>
      <x:c r="L1853" s="49" t="str">
        <x:v>MS Seats : 28+ EWS : 5</x:v>
      </x:c>
      <x:c r="M1853" s="49" t="str">
        <x:v>https://dse2025.mahacet.org.in/dse25/admin/allotment/cap2/6649_4.pdf</x:v>
      </x:c>
    </x:row>
    <x:row r="1854">
      <x:c r="A1854" s="49" t="str">
        <x:v>2025-26</x:v>
      </x:c>
      <x:c r="B1854" s="63" t="n">
        <x:v>6649</x:v>
      </x:c>
      <x:c r="C1854" s="49" t="str">
        <x:v>TSSM's Bhivarabai Sawant College of Engineering and Research, Narhe, Pune</x:v>
      </x:c>
      <x:c r="D1854" s="72" t="n">
        <x:v>664924510</x:v>
      </x:c>
      <x:c r="E1854" s="49" t="str">
        <x:v>Computer Engineering</x:v>
      </x:c>
      <x:c r="F1854" s="73" t="n">
        <x:v>26</x:v>
      </x:c>
      <x:c r="G1854" s="73" t="n">
        <x:v>21</x:v>
      </x:c>
      <x:c r="H1854" s="73" t="n">
        <x:v>5</x:v>
      </x:c>
      <x:c r="I1854" s="73"/>
      <x:c r="J1854" s="73" t="n">
        <x:v>0</x:v>
      </x:c>
      <x:c r="K1854" s="49" t="str">
        <x:v>Un-Aided</x:v>
      </x:c>
      <x:c r="L1854" s="49" t="str">
        <x:v>MS Seats : 21+ EWS : 5</x:v>
      </x:c>
      <x:c r="M1854" s="49" t="str">
        <x:v>https://dse2025.mahacet.org.in/dse25/admin/allotment/cap2/6649_4.pdf</x:v>
      </x:c>
    </x:row>
    <x:row r="1855">
      <x:c r="A1855" s="49" t="str">
        <x:v>2025-26</x:v>
      </x:c>
      <x:c r="B1855" s="63" t="n">
        <x:v>6649</x:v>
      </x:c>
      <x:c r="C1855" s="49" t="str">
        <x:v>TSSM's Bhivarabai Sawant College of Engineering and Research, Narhe, Pune</x:v>
      </x:c>
      <x:c r="D1855" s="72" t="n">
        <x:v>664929310</x:v>
      </x:c>
      <x:c r="E1855" s="49" t="str">
        <x:v>Electrical Engineering</x:v>
      </x:c>
      <x:c r="F1855" s="73" t="n">
        <x:v>22</x:v>
      </x:c>
      <x:c r="G1855" s="73" t="n">
        <x:v>18</x:v>
      </x:c>
      <x:c r="H1855" s="73" t="n">
        <x:v>4</x:v>
      </x:c>
      <x:c r="I1855" s="73"/>
      <x:c r="J1855" s="73" t="n">
        <x:v>0</x:v>
      </x:c>
      <x:c r="K1855" s="49" t="str">
        <x:v>Un-Aided</x:v>
      </x:c>
      <x:c r="L1855" s="49" t="str">
        <x:v>MS Seats : 18+ EWS : 4</x:v>
      </x:c>
      <x:c r="M1855" s="49" t="str">
        <x:v>https://dse2025.mahacet.org.in/dse25/admin/allotment/cap2/6649_4.pdf</x:v>
      </x:c>
    </x:row>
    <x:row r="1856">
      <x:c r="A1856" s="49" t="str">
        <x:v>2025-26</x:v>
      </x:c>
      <x:c r="B1856" s="63" t="n">
        <x:v>6649</x:v>
      </x:c>
      <x:c r="C1856" s="49" t="str">
        <x:v>TSSM's Bhivarabai Sawant College of Engineering and Research, Narhe, Pune</x:v>
      </x:c>
      <x:c r="D1856" s="72" t="n">
        <x:v>664937210</x:v>
      </x:c>
      <x:c r="E1856" s="49" t="str">
        <x:v>Electronics and Telecommunication Engg</x:v>
      </x:c>
      <x:c r="F1856" s="73" t="n">
        <x:v>10</x:v>
      </x:c>
      <x:c r="G1856" s="73" t="n">
        <x:v>9</x:v>
      </x:c>
      <x:c r="H1856" s="73" t="n">
        <x:v>1</x:v>
      </x:c>
      <x:c r="I1856" s="73"/>
      <x:c r="J1856" s="73" t="n">
        <x:v>0</x:v>
      </x:c>
      <x:c r="K1856" s="49" t="str">
        <x:v>Un-Aided</x:v>
      </x:c>
      <x:c r="L1856" s="49" t="str">
        <x:v>MS Seats : 9+ EWS : 1</x:v>
      </x:c>
      <x:c r="M1856" s="49" t="str">
        <x:v>https://dse2025.mahacet.org.in/dse25/admin/allotment/cap2/6649_4.pdf</x:v>
      </x:c>
    </x:row>
    <x:row r="1857">
      <x:c r="A1857" s="49" t="str">
        <x:v>2025-26</x:v>
      </x:c>
      <x:c r="B1857" s="63" t="n">
        <x:v>6649</x:v>
      </x:c>
      <x:c r="C1857" s="49" t="str">
        <x:v>TSSM's Bhivarabai Sawant College of Engineering and Research, Narhe, Pune</x:v>
      </x:c>
      <x:c r="D1857" s="72" t="n">
        <x:v>664961210</x:v>
      </x:c>
      <x:c r="E1857" s="49" t="str">
        <x:v>Mechanical Engineering</x:v>
      </x:c>
      <x:c r="F1857" s="73" t="n">
        <x:v>19</x:v>
      </x:c>
      <x:c r="G1857" s="73" t="n">
        <x:v>12</x:v>
      </x:c>
      <x:c r="H1857" s="73" t="n">
        <x:v>7</x:v>
      </x:c>
      <x:c r="I1857" s="73"/>
      <x:c r="J1857" s="73" t="n">
        <x:v>0</x:v>
      </x:c>
      <x:c r="K1857" s="49" t="str">
        <x:v>Un-Aided</x:v>
      </x:c>
      <x:c r="L1857" s="49" t="str">
        <x:v>MS Seats : 12+ EWS : 7</x:v>
      </x:c>
      <x:c r="M1857" s="49" t="str">
        <x:v>https://dse2025.mahacet.org.in/dse25/admin/allotment/cap2/6649_4.pdf</x:v>
      </x:c>
    </x:row>
    <x:row r="1858">
      <x:c r="A1858" s="49" t="str">
        <x:v>2025-26</x:v>
      </x:c>
      <x:c r="B1858" s="63" t="n">
        <x:v>6714</x:v>
      </x:c>
      <x:c r="C1858" s="49" t="str">
        <x:v>APPASAHEB ALIAS SA.RE.PATIL INSTITUTE OF TECHNOLOGY, Dattanagar Tal-Shirol, Dist Kolhapur</x:v>
      </x:c>
      <x:c r="D1858" s="72" t="n">
        <x:v>671424210</x:v>
      </x:c>
      <x:c r="E1858" s="49" t="str">
        <x:v>Computer Science and Engineering</x:v>
      </x:c>
      <x:c r="F1858" s="73" t="n">
        <x:v>47</x:v>
      </x:c>
      <x:c r="G1858" s="73" t="n">
        <x:v>45</x:v>
      </x:c>
      <x:c r="H1858" s="73" t="n">
        <x:v>2</x:v>
      </x:c>
      <x:c r="I1858" s="73"/>
      <x:c r="J1858" s="73" t="n">
        <x:v>0</x:v>
      </x:c>
      <x:c r="K1858" s="49" t="str">
        <x:v>Un-Aided</x:v>
      </x:c>
      <x:c r="L1858" s="49" t="str">
        <x:v>MS Seats : 45+ EWS : 2</x:v>
      </x:c>
      <x:c r="M1858" s="49" t="str">
        <x:v>https://dse2025.mahacet.org.in/dse25/admin/allotment/cap2/6714_4.pdf</x:v>
      </x:c>
    </x:row>
    <x:row r="1859">
      <x:c r="A1859" s="49" t="str">
        <x:v>2025-26</x:v>
      </x:c>
      <x:c r="B1859" s="63" t="n">
        <x:v>6714</x:v>
      </x:c>
      <x:c r="C1859" s="49" t="str">
        <x:v>APPASAHEB ALIAS SA.RE.PATIL INSTITUTE OF TECHNOLOGY, Dattanagar Tal-Shirol, Dist Kolhapur</x:v>
      </x:c>
      <x:c r="D1859" s="72" t="n">
        <x:v>671429310</x:v>
      </x:c>
      <x:c r="E1859" s="49" t="str">
        <x:v>Electrical Engineering</x:v>
      </x:c>
      <x:c r="F1859" s="73" t="n">
        <x:v>70</x:v>
      </x:c>
      <x:c r="G1859" s="73" t="n">
        <x:v>64</x:v>
      </x:c>
      <x:c r="H1859" s="73" t="n">
        <x:v>6</x:v>
      </x:c>
      <x:c r="I1859" s="73"/>
      <x:c r="J1859" s="73" t="n">
        <x:v>0</x:v>
      </x:c>
      <x:c r="K1859" s="49" t="str">
        <x:v>Un-Aided</x:v>
      </x:c>
      <x:c r="L1859" s="49" t="str">
        <x:v>MS Seats : 64+ EWS : 6</x:v>
      </x:c>
      <x:c r="M1859" s="49" t="str">
        <x:v>https://dse2025.mahacet.org.in/dse25/admin/allotment/cap2/6714_4.pdf</x:v>
      </x:c>
    </x:row>
    <x:row r="1860">
      <x:c r="A1860" s="49" t="str">
        <x:v>2025-26</x:v>
      </x:c>
      <x:c r="B1860" s="63" t="n">
        <x:v>6714</x:v>
      </x:c>
      <x:c r="C1860" s="49" t="str">
        <x:v>APPASAHEB ALIAS SA.RE.PATIL INSTITUTE OF TECHNOLOGY, Dattanagar Tal-Shirol, Dist Kolhapur</x:v>
      </x:c>
      <x:c r="D1860" s="72" t="n">
        <x:v>671437210</x:v>
      </x:c>
      <x:c r="E1860" s="49" t="str">
        <x:v>Electronics and Telecommunication Engg</x:v>
      </x:c>
      <x:c r="F1860" s="73" t="n">
        <x:v>73</x:v>
      </x:c>
      <x:c r="G1860" s="73" t="n">
        <x:v>66</x:v>
      </x:c>
      <x:c r="H1860" s="73" t="n">
        <x:v>7</x:v>
      </x:c>
      <x:c r="I1860" s="73"/>
      <x:c r="J1860" s="73" t="n">
        <x:v>0</x:v>
      </x:c>
      <x:c r="K1860" s="49" t="str">
        <x:v>Un-Aided</x:v>
      </x:c>
      <x:c r="L1860" s="49" t="str">
        <x:v>MS Seats : 66+ EWS : 7</x:v>
      </x:c>
      <x:c r="M1860" s="49" t="str">
        <x:v>https://dse2025.mahacet.org.in/dse25/admin/allotment/cap2/6714_4.pdf</x:v>
      </x:c>
    </x:row>
    <x:row r="1861">
      <x:c r="A1861" s="49" t="str">
        <x:v>2025-26</x:v>
      </x:c>
      <x:c r="B1861" s="63" t="n">
        <x:v>6714</x:v>
      </x:c>
      <x:c r="C1861" s="49" t="str">
        <x:v>APPASAHEB ALIAS SA.RE.PATIL INSTITUTE OF TECHNOLOGY, Dattanagar Tal-Shirol, Dist Kolhapur</x:v>
      </x:c>
      <x:c r="D1861" s="72" t="n">
        <x:v>671461210</x:v>
      </x:c>
      <x:c r="E1861" s="49" t="str">
        <x:v>Mechanical Engineering</x:v>
      </x:c>
      <x:c r="F1861" s="73" t="n">
        <x:v>73</x:v>
      </x:c>
      <x:c r="G1861" s="73" t="n">
        <x:v>66</x:v>
      </x:c>
      <x:c r="H1861" s="73" t="n">
        <x:v>7</x:v>
      </x:c>
      <x:c r="I1861" s="73"/>
      <x:c r="J1861" s="73" t="n">
        <x:v>0</x:v>
      </x:c>
      <x:c r="K1861" s="49" t="str">
        <x:v>Un-Aided</x:v>
      </x:c>
      <x:c r="L1861" s="49" t="str">
        <x:v>MS Seats : 66+ EWS : 7</x:v>
      </x:c>
      <x:c r="M1861" s="49" t="str">
        <x:v>https://dse2025.mahacet.org.in/dse25/admin/allotment/cap2/6714_4.pdf</x:v>
      </x:c>
    </x:row>
    <x:row r="1862">
      <x:c r="A1862" s="49" t="str">
        <x:v>2025-26</x:v>
      </x:c>
      <x:c r="B1862" s="63" t="n">
        <x:v>6732</x:v>
      </x:c>
      <x:c r="C1862" s="49" t="str">
        <x:v>Ajeenkya DY Patil School of Engineering, Lohegaon, Pune</x:v>
      </x:c>
      <x:c r="D1862" s="72" t="n">
        <x:v>673219110</x:v>
      </x:c>
      <x:c r="E1862" s="49" t="str">
        <x:v>Civil Engineering</x:v>
      </x:c>
      <x:c r="F1862" s="73" t="n">
        <x:v>42</x:v>
      </x:c>
      <x:c r="G1862" s="73" t="n">
        <x:v>29</x:v>
      </x:c>
      <x:c r="H1862" s="73" t="n">
        <x:v>13</x:v>
      </x:c>
      <x:c r="I1862" s="73"/>
      <x:c r="J1862" s="73" t="n">
        <x:v>0</x:v>
      </x:c>
      <x:c r="K1862" s="49" t="str">
        <x:v>Un-Aided</x:v>
      </x:c>
      <x:c r="L1862" s="49" t="str">
        <x:v>MS Seats : 29+ EWS : 13</x:v>
      </x:c>
      <x:c r="M1862" s="49" t="str">
        <x:v>https://dse2025.mahacet.org.in/dse25/admin/allotment/cap2/6732_4.pdf</x:v>
      </x:c>
    </x:row>
    <x:row r="1863">
      <x:c r="A1863" s="49" t="str">
        <x:v>2025-26</x:v>
      </x:c>
      <x:c r="B1863" s="63" t="n">
        <x:v>6732</x:v>
      </x:c>
      <x:c r="C1863" s="49" t="str">
        <x:v>Ajeenkya DY Patil School of Engineering, Lohegaon, Pune</x:v>
      </x:c>
      <x:c r="D1863" s="72" t="n">
        <x:v>673224510</x:v>
      </x:c>
      <x:c r="E1863" s="49" t="str">
        <x:v>Computer Engineering</x:v>
      </x:c>
      <x:c r="F1863" s="73" t="n">
        <x:v>29</x:v>
      </x:c>
      <x:c r="G1863" s="73" t="n">
        <x:v>22</x:v>
      </x:c>
      <x:c r="H1863" s="73" t="n">
        <x:v>7</x:v>
      </x:c>
      <x:c r="I1863" s="73"/>
      <x:c r="J1863" s="73" t="n">
        <x:v>0</x:v>
      </x:c>
      <x:c r="K1863" s="49" t="str">
        <x:v>Un-Aided</x:v>
      </x:c>
      <x:c r="L1863" s="49" t="str">
        <x:v>MS Seats : 22+ EWS : 7</x:v>
      </x:c>
      <x:c r="M1863" s="49" t="str">
        <x:v>https://dse2025.mahacet.org.in/dse25/admin/allotment/cap2/6732_4.pdf</x:v>
      </x:c>
    </x:row>
    <x:row r="1864">
      <x:c r="A1864" s="49" t="str">
        <x:v>2025-26</x:v>
      </x:c>
      <x:c r="B1864" s="63" t="n">
        <x:v>6732</x:v>
      </x:c>
      <x:c r="C1864" s="49" t="str">
        <x:v>Ajeenkya DY Patil School of Engineering, Lohegaon, Pune</x:v>
      </x:c>
      <x:c r="D1864" s="72" t="n">
        <x:v>673237210</x:v>
      </x:c>
      <x:c r="E1864" s="49" t="str">
        <x:v>Electronics and Telecommunication Engg</x:v>
      </x:c>
      <x:c r="F1864" s="73" t="n">
        <x:v>32</x:v>
      </x:c>
      <x:c r="G1864" s="73" t="n">
        <x:v>23</x:v>
      </x:c>
      <x:c r="H1864" s="73" t="n">
        <x:v>9</x:v>
      </x:c>
      <x:c r="I1864" s="73"/>
      <x:c r="J1864" s="73" t="n">
        <x:v>0</x:v>
      </x:c>
      <x:c r="K1864" s="49" t="str">
        <x:v>Un-Aided</x:v>
      </x:c>
      <x:c r="L1864" s="49" t="str">
        <x:v>MS Seats : 23+ EWS : 9</x:v>
      </x:c>
      <x:c r="M1864" s="49" t="str">
        <x:v>https://dse2025.mahacet.org.in/dse25/admin/allotment/cap2/6732_4.pdf</x:v>
      </x:c>
    </x:row>
    <x:row r="1865">
      <x:c r="A1865" s="49" t="str">
        <x:v>2025-26</x:v>
      </x:c>
      <x:c r="B1865" s="63" t="n">
        <x:v>6732</x:v>
      </x:c>
      <x:c r="C1865" s="49" t="str">
        <x:v>Ajeenkya DY Patil School of Engineering, Lohegaon, Pune</x:v>
      </x:c>
      <x:c r="D1865" s="72" t="n">
        <x:v>673261210</x:v>
      </x:c>
      <x:c r="E1865" s="49" t="str">
        <x:v>Mechanical Engineering</x:v>
      </x:c>
      <x:c r="F1865" s="73" t="n">
        <x:v>51</x:v>
      </x:c>
      <x:c r="G1865" s="73" t="n">
        <x:v>38</x:v>
      </x:c>
      <x:c r="H1865" s="73" t="n">
        <x:v>13</x:v>
      </x:c>
      <x:c r="I1865" s="73"/>
      <x:c r="J1865" s="73" t="n">
        <x:v>0</x:v>
      </x:c>
      <x:c r="K1865" s="49" t="str">
        <x:v>Un-Aided</x:v>
      </x:c>
      <x:c r="L1865" s="49" t="str">
        <x:v>MS Seats : 38+ EWS : 13</x:v>
      </x:c>
      <x:c r="M1865" s="49" t="str">
        <x:v>https://dse2025.mahacet.org.in/dse25/admin/allotment/cap2/6732_4.pdf</x:v>
      </x:c>
    </x:row>
    <x:row r="1866">
      <x:c r="A1866" s="49" t="str">
        <x:v>2025-26</x:v>
      </x:c>
      <x:c r="B1866" s="63" t="n">
        <x:v>6732</x:v>
      </x:c>
      <x:c r="C1866" s="49" t="str">
        <x:v>Ajeenkya DY Patil School of Engineering, Lohegaon, Pune</x:v>
      </x:c>
      <x:c r="D1866" s="72" t="n">
        <x:v>673299510</x:v>
      </x:c>
      <x:c r="E1866" s="49" t="str">
        <x:v>Artificial Intelligence and Data Science</x:v>
      </x:c>
      <x:c r="F1866" s="73" t="n">
        <x:v>26</x:v>
      </x:c>
      <x:c r="G1866" s="73" t="n">
        <x:v>22</x:v>
      </x:c>
      <x:c r="H1866" s="73" t="n">
        <x:v>4</x:v>
      </x:c>
      <x:c r="I1866" s="73"/>
      <x:c r="J1866" s="73" t="n">
        <x:v>0</x:v>
      </x:c>
      <x:c r="K1866" s="49" t="str">
        <x:v>Un-Aided</x:v>
      </x:c>
      <x:c r="L1866" s="49" t="str">
        <x:v>MS Seats : 22+ EWS : 4</x:v>
      </x:c>
      <x:c r="M1866" s="49" t="str">
        <x:v>https://dse2025.mahacet.org.in/dse25/admin/allotment/cap2/6732_4.pdf</x:v>
      </x:c>
    </x:row>
    <x:row r="1867">
      <x:c r="A1867" s="49" t="str">
        <x:v>2025-26</x:v>
      </x:c>
      <x:c r="B1867" s="63" t="n">
        <x:v>6754</x:v>
      </x:c>
      <x:c r="C1867" s="49" t="str">
        <x:v>International Institute of Information Technology (I²IT), Pune.</x:v>
      </x:c>
      <x:c r="D1867" s="72" t="n">
        <x:v>675424510</x:v>
      </x:c>
      <x:c r="E1867" s="49" t="str">
        <x:v>Computer Engineering</x:v>
      </x:c>
      <x:c r="F1867" s="73" t="n">
        <x:v>26</x:v>
      </x:c>
      <x:c r="G1867" s="73" t="n">
        <x:v>23</x:v>
      </x:c>
      <x:c r="H1867" s="73" t="n">
        <x:v>3</x:v>
      </x:c>
      <x:c r="I1867" s="73"/>
      <x:c r="J1867" s="73" t="n">
        <x:v>0</x:v>
      </x:c>
      <x:c r="K1867" s="49" t="str">
        <x:v>Un-Aided</x:v>
      </x:c>
      <x:c r="L1867" s="49" t="str">
        <x:v>MS Seats : 23+ EWS : 3</x:v>
      </x:c>
      <x:c r="M1867" s="49" t="str">
        <x:v>https://dse2025.mahacet.org.in/dse25/admin/allotment/cap2/6754_4.pdf</x:v>
      </x:c>
    </x:row>
    <x:row r="1868">
      <x:c r="A1868" s="49" t="str">
        <x:v>2025-26</x:v>
      </x:c>
      <x:c r="B1868" s="63" t="n">
        <x:v>6754</x:v>
      </x:c>
      <x:c r="C1868" s="49" t="str">
        <x:v>International Institute of Information Technology (I²IT), Pune.</x:v>
      </x:c>
      <x:c r="D1868" s="72" t="n">
        <x:v>675424610</x:v>
      </x:c>
      <x:c r="E1868" s="49" t="str">
        <x:v>Information Technology</x:v>
      </x:c>
      <x:c r="F1868" s="73" t="n">
        <x:v>18</x:v>
      </x:c>
      <x:c r="G1868" s="73" t="n">
        <x:v>14</x:v>
      </x:c>
      <x:c r="H1868" s="73" t="n">
        <x:v>4</x:v>
      </x:c>
      <x:c r="I1868" s="73"/>
      <x:c r="J1868" s="73" t="n">
        <x:v>0</x:v>
      </x:c>
      <x:c r="K1868" s="49" t="str">
        <x:v>Un-Aided</x:v>
      </x:c>
      <x:c r="L1868" s="49" t="str">
        <x:v>MS Seats : 14+ EWS : 4</x:v>
      </x:c>
      <x:c r="M1868" s="49" t="str">
        <x:v>https://dse2025.mahacet.org.in/dse25/admin/allotment/cap2/6754_4.pdf</x:v>
      </x:c>
    </x:row>
    <x:row r="1869">
      <x:c r="A1869" s="49" t="str">
        <x:v>2025-26</x:v>
      </x:c>
      <x:c r="B1869" s="63" t="n">
        <x:v>6754</x:v>
      </x:c>
      <x:c r="C1869" s="49" t="str">
        <x:v>International Institute of Information Technology (I²IT), Pune.</x:v>
      </x:c>
      <x:c r="D1869" s="72" t="n">
        <x:v>675437210</x:v>
      </x:c>
      <x:c r="E1869" s="49" t="str">
        <x:v>Electronics and Telecommunication Engg</x:v>
      </x:c>
      <x:c r="F1869" s="73" t="n">
        <x:v>12</x:v>
      </x:c>
      <x:c r="G1869" s="73" t="n">
        <x:v>9</x:v>
      </x:c>
      <x:c r="H1869" s="73" t="n">
        <x:v>3</x:v>
      </x:c>
      <x:c r="I1869" s="73"/>
      <x:c r="J1869" s="73" t="n">
        <x:v>0</x:v>
      </x:c>
      <x:c r="K1869" s="49" t="str">
        <x:v>Un-Aided</x:v>
      </x:c>
      <x:c r="L1869" s="49" t="str">
        <x:v>MS Seats : 9+ EWS : 3</x:v>
      </x:c>
      <x:c r="M1869" s="49" t="str">
        <x:v>https://dse2025.mahacet.org.in/dse25/admin/allotment/cap2/6754_4.pdf</x:v>
      </x:c>
    </x:row>
    <x:row r="1870">
      <x:c r="A1870" s="49" t="str">
        <x:v>2025-26</x:v>
      </x:c>
      <x:c r="B1870" s="63" t="n">
        <x:v>6755</x:v>
      </x:c>
      <x:c r="C1870" s="49" t="str">
        <x:v>JSPM Narhe Technical Campus, Pune.</x:v>
      </x:c>
      <x:c r="D1870" s="72" t="n">
        <x:v>675519110</x:v>
      </x:c>
      <x:c r="E1870" s="49" t="str">
        <x:v>Civil Engineering</x:v>
      </x:c>
      <x:c r="F1870" s="73" t="n">
        <x:v>49</x:v>
      </x:c>
      <x:c r="G1870" s="73" t="n">
        <x:v>42</x:v>
      </x:c>
      <x:c r="H1870" s="73" t="n">
        <x:v>7</x:v>
      </x:c>
      <x:c r="I1870" s="73"/>
      <x:c r="J1870" s="73" t="n">
        <x:v>0</x:v>
      </x:c>
      <x:c r="K1870" s="49" t="str">
        <x:v>Un-Aided</x:v>
      </x:c>
      <x:c r="L1870" s="49" t="str">
        <x:v>MS Seats : 42+ EWS : 7</x:v>
      </x:c>
      <x:c r="M1870" s="49" t="str">
        <x:v>https://dse2025.mahacet.org.in/dse25/admin/allotment/cap2/6755_4.pdf</x:v>
      </x:c>
    </x:row>
    <x:row r="1871">
      <x:c r="A1871" s="49" t="str">
        <x:v>2025-26</x:v>
      </x:c>
      <x:c r="B1871" s="63" t="n">
        <x:v>6755</x:v>
      </x:c>
      <x:c r="C1871" s="49" t="str">
        <x:v>JSPM Narhe Technical Campus, Pune.</x:v>
      </x:c>
      <x:c r="D1871" s="72" t="n">
        <x:v>675524510</x:v>
      </x:c>
      <x:c r="E1871" s="49" t="str">
        <x:v>Computer Engineering</x:v>
      </x:c>
      <x:c r="F1871" s="73" t="n">
        <x:v>16</x:v>
      </x:c>
      <x:c r="G1871" s="73" t="n">
        <x:v>13</x:v>
      </x:c>
      <x:c r="H1871" s="73" t="n">
        <x:v>3</x:v>
      </x:c>
      <x:c r="I1871" s="73"/>
      <x:c r="J1871" s="73" t="n">
        <x:v>0</x:v>
      </x:c>
      <x:c r="K1871" s="49" t="str">
        <x:v>Un-Aided</x:v>
      </x:c>
      <x:c r="L1871" s="49" t="str">
        <x:v>MS Seats : 13+ EWS : 3</x:v>
      </x:c>
      <x:c r="M1871" s="49" t="str">
        <x:v>https://dse2025.mahacet.org.in/dse25/admin/allotment/cap2/6755_4.pdf</x:v>
      </x:c>
    </x:row>
    <x:row r="1872">
      <x:c r="A1872" s="49" t="str">
        <x:v>2025-26</x:v>
      </x:c>
      <x:c r="B1872" s="63" t="n">
        <x:v>6755</x:v>
      </x:c>
      <x:c r="C1872" s="49" t="str">
        <x:v>JSPM Narhe Technical Campus, Pune.</x:v>
      </x:c>
      <x:c r="D1872" s="72" t="n">
        <x:v>675526310</x:v>
      </x:c>
      <x:c r="E1872" s="49" t="str">
        <x:v>Artificial Intelligence (AI) and Data Science</x:v>
      </x:c>
      <x:c r="F1872" s="73" t="n">
        <x:v>10</x:v>
      </x:c>
      <x:c r="G1872" s="73" t="n">
        <x:v>7</x:v>
      </x:c>
      <x:c r="H1872" s="73" t="n">
        <x:v>3</x:v>
      </x:c>
      <x:c r="I1872" s="73"/>
      <x:c r="J1872" s="73" t="n">
        <x:v>0</x:v>
      </x:c>
      <x:c r="K1872" s="49" t="str">
        <x:v>Un-Aided</x:v>
      </x:c>
      <x:c r="L1872" s="49" t="str">
        <x:v>MS Seats : 7+ EWS : 3</x:v>
      </x:c>
      <x:c r="M1872" s="49" t="str">
        <x:v>https://dse2025.mahacet.org.in/dse25/admin/allotment/cap2/6755_4.pdf</x:v>
      </x:c>
    </x:row>
    <x:row r="1873">
      <x:c r="A1873" s="49" t="str">
        <x:v>2025-26</x:v>
      </x:c>
      <x:c r="B1873" s="63" t="n">
        <x:v>6755</x:v>
      </x:c>
      <x:c r="C1873" s="49" t="str">
        <x:v>JSPM Narhe Technical Campus, Pune.</x:v>
      </x:c>
      <x:c r="D1873" s="72" t="n">
        <x:v>675537210</x:v>
      </x:c>
      <x:c r="E1873" s="49" t="str">
        <x:v>Electronics and Telecommunication Engg</x:v>
      </x:c>
      <x:c r="F1873" s="73" t="n">
        <x:v>9</x:v>
      </x:c>
      <x:c r="G1873" s="73" t="n">
        <x:v>8</x:v>
      </x:c>
      <x:c r="H1873" s="73" t="n">
        <x:v>1</x:v>
      </x:c>
      <x:c r="I1873" s="73"/>
      <x:c r="J1873" s="73" t="n">
        <x:v>0</x:v>
      </x:c>
      <x:c r="K1873" s="49" t="str">
        <x:v>Un-Aided</x:v>
      </x:c>
      <x:c r="L1873" s="49" t="str">
        <x:v>MS Seats : 8+ EWS : 1</x:v>
      </x:c>
      <x:c r="M1873" s="49" t="str">
        <x:v>https://dse2025.mahacet.org.in/dse25/admin/allotment/cap2/6755_4.pdf</x:v>
      </x:c>
    </x:row>
    <x:row r="1874">
      <x:c r="A1874" s="49" t="str">
        <x:v>2025-26</x:v>
      </x:c>
      <x:c r="B1874" s="63" t="n">
        <x:v>6755</x:v>
      </x:c>
      <x:c r="C1874" s="49" t="str">
        <x:v>JSPM Narhe Technical Campus, Pune.</x:v>
      </x:c>
      <x:c r="D1874" s="72" t="n">
        <x:v>675561210</x:v>
      </x:c>
      <x:c r="E1874" s="49" t="str">
        <x:v>Mechanical Engineering</x:v>
      </x:c>
      <x:c r="F1874" s="73" t="n">
        <x:v>38</x:v>
      </x:c>
      <x:c r="G1874" s="73" t="n">
        <x:v>30</x:v>
      </x:c>
      <x:c r="H1874" s="73" t="n">
        <x:v>8</x:v>
      </x:c>
      <x:c r="I1874" s="73"/>
      <x:c r="J1874" s="73" t="n">
        <x:v>0</x:v>
      </x:c>
      <x:c r="K1874" s="49" t="str">
        <x:v>Un-Aided</x:v>
      </x:c>
      <x:c r="L1874" s="49" t="str">
        <x:v>MS Seats : 30+ EWS : 8</x:v>
      </x:c>
      <x:c r="M1874" s="49" t="str">
        <x:v>https://dse2025.mahacet.org.in/dse25/admin/allotment/cap2/6755_4.pdf</x:v>
      </x:c>
    </x:row>
    <x:row r="1875">
      <x:c r="A1875" s="49" t="str">
        <x:v>2025-26</x:v>
      </x:c>
      <x:c r="B1875" s="63" t="n">
        <x:v>6756</x:v>
      </x:c>
      <x:c r="C1875" s="49" t="str">
        <x:v>Fabtech Technical Campus College of Engineering and Research, Sangola</x:v>
      </x:c>
      <x:c r="D1875" s="72" t="n">
        <x:v>675619110</x:v>
      </x:c>
      <x:c r="E1875" s="49" t="str">
        <x:v>Civil Engineering</x:v>
      </x:c>
      <x:c r="F1875" s="73" t="n">
        <x:v>28</x:v>
      </x:c>
      <x:c r="G1875" s="73" t="n">
        <x:v>21</x:v>
      </x:c>
      <x:c r="H1875" s="73" t="n">
        <x:v>7</x:v>
      </x:c>
      <x:c r="I1875" s="73"/>
      <x:c r="J1875" s="73" t="n">
        <x:v>0</x:v>
      </x:c>
      <x:c r="K1875" s="49" t="str">
        <x:v>Un-Aided</x:v>
      </x:c>
      <x:c r="L1875" s="49" t="str">
        <x:v>MS Seats : 21+ EWS : 7</x:v>
      </x:c>
      <x:c r="M1875" s="49" t="str">
        <x:v>https://dse2025.mahacet.org.in/dse25/admin/allotment/cap2/6756_4.pdf</x:v>
      </x:c>
    </x:row>
    <x:row r="1876">
      <x:c r="A1876" s="49" t="str">
        <x:v>2025-26</x:v>
      </x:c>
      <x:c r="B1876" s="63" t="n">
        <x:v>6756</x:v>
      </x:c>
      <x:c r="C1876" s="49" t="str">
        <x:v>Fabtech Technical Campus College of Engineering and Research, Sangola</x:v>
      </x:c>
      <x:c r="D1876" s="72" t="n">
        <x:v>675624210</x:v>
      </x:c>
      <x:c r="E1876" s="49" t="str">
        <x:v>Computer Science and Engineering</x:v>
      </x:c>
      <x:c r="F1876" s="73" t="n">
        <x:v>36</x:v>
      </x:c>
      <x:c r="G1876" s="73" t="n">
        <x:v>27</x:v>
      </x:c>
      <x:c r="H1876" s="73" t="n">
        <x:v>9</x:v>
      </x:c>
      <x:c r="I1876" s="73"/>
      <x:c r="J1876" s="73" t="n">
        <x:v>0</x:v>
      </x:c>
      <x:c r="K1876" s="49" t="str">
        <x:v>Un-Aided</x:v>
      </x:c>
      <x:c r="L1876" s="49" t="str">
        <x:v>MS Seats : 27+ EWS : 9</x:v>
      </x:c>
      <x:c r="M1876" s="49" t="str">
        <x:v>https://dse2025.mahacet.org.in/dse25/admin/allotment/cap2/6756_4.pdf</x:v>
      </x:c>
    </x:row>
    <x:row r="1877">
      <x:c r="A1877" s="49" t="str">
        <x:v>2025-26</x:v>
      </x:c>
      <x:c r="B1877" s="63" t="n">
        <x:v>6756</x:v>
      </x:c>
      <x:c r="C1877" s="49" t="str">
        <x:v>Fabtech Technical Campus College of Engineering and Research, Sangola</x:v>
      </x:c>
      <x:c r="D1877" s="72" t="n">
        <x:v>675629310</x:v>
      </x:c>
      <x:c r="E1877" s="49" t="str">
        <x:v>Electrical Engineering</x:v>
      </x:c>
      <x:c r="F1877" s="73" t="n">
        <x:v>13</x:v>
      </x:c>
      <x:c r="G1877" s="73" t="n">
        <x:v>10</x:v>
      </x:c>
      <x:c r="H1877" s="73" t="n">
        <x:v>3</x:v>
      </x:c>
      <x:c r="I1877" s="73"/>
      <x:c r="J1877" s="73" t="n">
        <x:v>0</x:v>
      </x:c>
      <x:c r="K1877" s="49" t="str">
        <x:v>Un-Aided</x:v>
      </x:c>
      <x:c r="L1877" s="49" t="str">
        <x:v>MS Seats : 10+ EWS : 3</x:v>
      </x:c>
      <x:c r="M1877" s="49" t="str">
        <x:v>https://dse2025.mahacet.org.in/dse25/admin/allotment/cap2/6756_4.pdf</x:v>
      </x:c>
    </x:row>
    <x:row r="1878">
      <x:c r="A1878" s="49" t="str">
        <x:v>2025-26</x:v>
      </x:c>
      <x:c r="B1878" s="63" t="n">
        <x:v>6756</x:v>
      </x:c>
      <x:c r="C1878" s="49" t="str">
        <x:v>Fabtech Technical Campus College of Engineering and Research, Sangola</x:v>
      </x:c>
      <x:c r="D1878" s="72" t="n">
        <x:v>675637210</x:v>
      </x:c>
      <x:c r="E1878" s="49" t="str">
        <x:v>Electronics and Telecommunication Engg</x:v>
      </x:c>
      <x:c r="F1878" s="73" t="n">
        <x:v>22</x:v>
      </x:c>
      <x:c r="G1878" s="73" t="n">
        <x:v>17</x:v>
      </x:c>
      <x:c r="H1878" s="73" t="n">
        <x:v>5</x:v>
      </x:c>
      <x:c r="I1878" s="73"/>
      <x:c r="J1878" s="73" t="n">
        <x:v>0</x:v>
      </x:c>
      <x:c r="K1878" s="49" t="str">
        <x:v>Un-Aided</x:v>
      </x:c>
      <x:c r="L1878" s="49" t="str">
        <x:v>MS Seats : 17+ EWS : 5</x:v>
      </x:c>
      <x:c r="M1878" s="49" t="str">
        <x:v>https://dse2025.mahacet.org.in/dse25/admin/allotment/cap2/6756_4.pdf</x:v>
      </x:c>
    </x:row>
    <x:row r="1879">
      <x:c r="A1879" s="49" t="str">
        <x:v>2025-26</x:v>
      </x:c>
      <x:c r="B1879" s="63" t="n">
        <x:v>6756</x:v>
      </x:c>
      <x:c r="C1879" s="49" t="str">
        <x:v>Fabtech Technical Campus College of Engineering and Research, Sangola</x:v>
      </x:c>
      <x:c r="D1879" s="72" t="n">
        <x:v>675661210</x:v>
      </x:c>
      <x:c r="E1879" s="49" t="str">
        <x:v>Mechanical Engineering</x:v>
      </x:c>
      <x:c r="F1879" s="73" t="n">
        <x:v>24</x:v>
      </x:c>
      <x:c r="G1879" s="73" t="n">
        <x:v>19</x:v>
      </x:c>
      <x:c r="H1879" s="73" t="n">
        <x:v>5</x:v>
      </x:c>
      <x:c r="I1879" s="73"/>
      <x:c r="J1879" s="73" t="n">
        <x:v>0</x:v>
      </x:c>
      <x:c r="K1879" s="49" t="str">
        <x:v>Un-Aided</x:v>
      </x:c>
      <x:c r="L1879" s="49" t="str">
        <x:v>MS Seats : 19+ EWS : 5</x:v>
      </x:c>
      <x:c r="M1879" s="49" t="str">
        <x:v>https://dse2025.mahacet.org.in/dse25/admin/allotment/cap2/6756_4.pdf</x:v>
      </x:c>
    </x:row>
    <x:row r="1880">
      <x:c r="A1880" s="49" t="str">
        <x:v>2025-26</x:v>
      </x:c>
      <x:c r="B1880" s="63" t="n">
        <x:v>6756</x:v>
      </x:c>
      <x:c r="C1880" s="49" t="str">
        <x:v>Fabtech Technical Campus College of Engineering and Research, Sangola</x:v>
      </x:c>
      <x:c r="D1880" s="72" t="n">
        <x:v>675699510</x:v>
      </x:c>
      <x:c r="E1880" s="49" t="str">
        <x:v>Artificial Intelligence and Data Science</x:v>
      </x:c>
      <x:c r="F1880" s="73" t="n">
        <x:v>5</x:v>
      </x:c>
      <x:c r="G1880" s="73" t="n">
        <x:v>4</x:v>
      </x:c>
      <x:c r="H1880" s="73" t="n">
        <x:v>1</x:v>
      </x:c>
      <x:c r="I1880" s="73"/>
      <x:c r="J1880" s="73" t="n">
        <x:v>0</x:v>
      </x:c>
      <x:c r="K1880" s="49" t="str">
        <x:v>Un-Aided</x:v>
      </x:c>
      <x:c r="L1880" s="49" t="str">
        <x:v>MS Seats : 4+ EWS : 1</x:v>
      </x:c>
      <x:c r="M1880" s="49" t="str">
        <x:v>https://dse2025.mahacet.org.in/dse25/admin/allotment/cap2/6756_4.pdf</x:v>
      </x:c>
    </x:row>
    <x:row r="1881">
      <x:c r="A1881" s="49" t="str">
        <x:v>2025-26</x:v>
      </x:c>
      <x:c r="B1881" s="63" t="n">
        <x:v>6757</x:v>
      </x:c>
      <x:c r="C1881" s="49" t="str">
        <x:v>Yashoda Technical Campus, Wadhe, Satara.</x:v>
      </x:c>
      <x:c r="D1881" s="72" t="n">
        <x:v>675719110</x:v>
      </x:c>
      <x:c r="E1881" s="49" t="str">
        <x:v>Civil Engineering</x:v>
      </x:c>
      <x:c r="F1881" s="73" t="n">
        <x:v>18</x:v>
      </x:c>
      <x:c r="G1881" s="73" t="n">
        <x:v>15</x:v>
      </x:c>
      <x:c r="H1881" s="73" t="n">
        <x:v>3</x:v>
      </x:c>
      <x:c r="I1881" s="73"/>
      <x:c r="J1881" s="73" t="n">
        <x:v>0</x:v>
      </x:c>
      <x:c r="K1881" s="49" t="str">
        <x:v>Un-Aided</x:v>
      </x:c>
      <x:c r="L1881" s="49" t="str">
        <x:v>MS Seats : 15+ EWS : 3</x:v>
      </x:c>
      <x:c r="M1881" s="49" t="str">
        <x:v>https://dse2025.mahacet.org.in/dse25/admin/allotment/cap2/6757_4.pdf</x:v>
      </x:c>
    </x:row>
    <x:row r="1882">
      <x:c r="A1882" s="49" t="str">
        <x:v>2025-26</x:v>
      </x:c>
      <x:c r="B1882" s="63" t="n">
        <x:v>6757</x:v>
      </x:c>
      <x:c r="C1882" s="49" t="str">
        <x:v>Yashoda Technical Campus, Wadhe, Satara.</x:v>
      </x:c>
      <x:c r="D1882" s="72" t="n">
        <x:v>675724210</x:v>
      </x:c>
      <x:c r="E1882" s="49" t="str">
        <x:v>Computer Science and Engineering</x:v>
      </x:c>
      <x:c r="F1882" s="73" t="n">
        <x:v>21</x:v>
      </x:c>
      <x:c r="G1882" s="73" t="n">
        <x:v>17</x:v>
      </x:c>
      <x:c r="H1882" s="73" t="n">
        <x:v>4</x:v>
      </x:c>
      <x:c r="I1882" s="73"/>
      <x:c r="J1882" s="73" t="n">
        <x:v>0</x:v>
      </x:c>
      <x:c r="K1882" s="49" t="str">
        <x:v>Un-Aided</x:v>
      </x:c>
      <x:c r="L1882" s="49" t="str">
        <x:v>MS Seats : 17+ EWS : 4</x:v>
      </x:c>
      <x:c r="M1882" s="49" t="str">
        <x:v>https://dse2025.mahacet.org.in/dse25/admin/allotment/cap2/6757_4.pdf</x:v>
      </x:c>
    </x:row>
    <x:row r="1883">
      <x:c r="A1883" s="49" t="str">
        <x:v>2025-26</x:v>
      </x:c>
      <x:c r="B1883" s="63" t="n">
        <x:v>6757</x:v>
      </x:c>
      <x:c r="C1883" s="49" t="str">
        <x:v>Yashoda Technical Campus, Wadhe, Satara.</x:v>
      </x:c>
      <x:c r="D1883" s="72" t="n">
        <x:v>675726010</x:v>
      </x:c>
      <x:c r="E1883" s="49" t="str">
        <x:v>Computer Science and Engineering (Cyber Security)</x:v>
      </x:c>
      <x:c r="F1883" s="73" t="n">
        <x:v>18</x:v>
      </x:c>
      <x:c r="G1883" s="73" t="n">
        <x:v>13</x:v>
      </x:c>
      <x:c r="H1883" s="73" t="n">
        <x:v>5</x:v>
      </x:c>
      <x:c r="I1883" s="73"/>
      <x:c r="J1883" s="73" t="n">
        <x:v>0</x:v>
      </x:c>
      <x:c r="K1883" s="49" t="str">
        <x:v>Un-Aided</x:v>
      </x:c>
      <x:c r="L1883" s="49" t="str">
        <x:v>MS Seats : 13+ EWS : 5</x:v>
      </x:c>
      <x:c r="M1883" s="49" t="str">
        <x:v>https://dse2025.mahacet.org.in/dse25/admin/allotment/cap2/6757_4.pdf</x:v>
      </x:c>
    </x:row>
    <x:row r="1884">
      <x:c r="A1884" s="49" t="str">
        <x:v>2025-26</x:v>
      </x:c>
      <x:c r="B1884" s="63" t="n">
        <x:v>6757</x:v>
      </x:c>
      <x:c r="C1884" s="49" t="str">
        <x:v>Yashoda Technical Campus, Wadhe, Satara.</x:v>
      </x:c>
      <x:c r="D1884" s="72" t="n">
        <x:v>675726310</x:v>
      </x:c>
      <x:c r="E1884" s="49" t="str">
        <x:v>Artificial Intelligence (AI) and Data Science</x:v>
      </x:c>
      <x:c r="F1884" s="73" t="n">
        <x:v>23</x:v>
      </x:c>
      <x:c r="G1884" s="73" t="n">
        <x:v>19</x:v>
      </x:c>
      <x:c r="H1884" s="73" t="n">
        <x:v>4</x:v>
      </x:c>
      <x:c r="I1884" s="73"/>
      <x:c r="J1884" s="73" t="n">
        <x:v>0</x:v>
      </x:c>
      <x:c r="K1884" s="49" t="str">
        <x:v>Un-Aided</x:v>
      </x:c>
      <x:c r="L1884" s="49" t="str">
        <x:v>MS Seats : 19+ EWS : 4</x:v>
      </x:c>
      <x:c r="M1884" s="49" t="str">
        <x:v>https://dse2025.mahacet.org.in/dse25/admin/allotment/cap2/6757_4.pdf</x:v>
      </x:c>
    </x:row>
    <x:row r="1885">
      <x:c r="A1885" s="49" t="str">
        <x:v>2025-26</x:v>
      </x:c>
      <x:c r="B1885" s="63" t="n">
        <x:v>6757</x:v>
      </x:c>
      <x:c r="C1885" s="49" t="str">
        <x:v>Yashoda Technical Campus, Wadhe, Satara.</x:v>
      </x:c>
      <x:c r="D1885" s="72" t="n">
        <x:v>675726610</x:v>
      </x:c>
      <x:c r="E1885" s="49" t="str">
        <x:v>Robotics and Artificial Intelligence</x:v>
      </x:c>
      <x:c r="F1885" s="73" t="n">
        <x:v>25</x:v>
      </x:c>
      <x:c r="G1885" s="73" t="n">
        <x:v>18</x:v>
      </x:c>
      <x:c r="H1885" s="73" t="n">
        <x:v>7</x:v>
      </x:c>
      <x:c r="I1885" s="73"/>
      <x:c r="J1885" s="73" t="n">
        <x:v>0</x:v>
      </x:c>
      <x:c r="K1885" s="49" t="str">
        <x:v>Un-Aided</x:v>
      </x:c>
      <x:c r="L1885" s="49" t="str">
        <x:v>MS Seats : 18+ EWS : 7</x:v>
      </x:c>
      <x:c r="M1885" s="49" t="str">
        <x:v>https://dse2025.mahacet.org.in/dse25/admin/allotment/cap2/6757_4.pdf</x:v>
      </x:c>
    </x:row>
    <x:row r="1886">
      <x:c r="A1886" s="49" t="str">
        <x:v>2025-26</x:v>
      </x:c>
      <x:c r="B1886" s="63" t="n">
        <x:v>6757</x:v>
      </x:c>
      <x:c r="C1886" s="49" t="str">
        <x:v>Yashoda Technical Campus, Wadhe, Satara.</x:v>
      </x:c>
      <x:c r="D1886" s="72" t="n">
        <x:v>675729310</x:v>
      </x:c>
      <x:c r="E1886" s="49" t="str">
        <x:v>Electrical Engineering</x:v>
      </x:c>
      <x:c r="F1886" s="73" t="n">
        <x:v>16</x:v>
      </x:c>
      <x:c r="G1886" s="73" t="n">
        <x:v>13</x:v>
      </x:c>
      <x:c r="H1886" s="73" t="n">
        <x:v>3</x:v>
      </x:c>
      <x:c r="I1886" s="73"/>
      <x:c r="J1886" s="73" t="n">
        <x:v>0</x:v>
      </x:c>
      <x:c r="K1886" s="49" t="str">
        <x:v>Un-Aided</x:v>
      </x:c>
      <x:c r="L1886" s="49" t="str">
        <x:v>MS Seats : 13+ EWS : 3</x:v>
      </x:c>
      <x:c r="M1886" s="49" t="str">
        <x:v>https://dse2025.mahacet.org.in/dse25/admin/allotment/cap2/6757_4.pdf</x:v>
      </x:c>
    </x:row>
    <x:row r="1887">
      <x:c r="A1887" s="49" t="str">
        <x:v>2025-26</x:v>
      </x:c>
      <x:c r="B1887" s="63" t="n">
        <x:v>6757</x:v>
      </x:c>
      <x:c r="C1887" s="49" t="str">
        <x:v>Yashoda Technical Campus, Wadhe, Satara.</x:v>
      </x:c>
      <x:c r="D1887" s="72" t="n">
        <x:v>675737210</x:v>
      </x:c>
      <x:c r="E1887" s="49" t="str">
        <x:v>Electronics and Telecommunication Engg</x:v>
      </x:c>
      <x:c r="F1887" s="73" t="n">
        <x:v>43</x:v>
      </x:c>
      <x:c r="G1887" s="73" t="n">
        <x:v>30</x:v>
      </x:c>
      <x:c r="H1887" s="73" t="n">
        <x:v>13</x:v>
      </x:c>
      <x:c r="I1887" s="73"/>
      <x:c r="J1887" s="73" t="n">
        <x:v>0</x:v>
      </x:c>
      <x:c r="K1887" s="49" t="str">
        <x:v>Un-Aided</x:v>
      </x:c>
      <x:c r="L1887" s="49" t="str">
        <x:v>MS Seats : 30+ EWS : 13</x:v>
      </x:c>
      <x:c r="M1887" s="49" t="str">
        <x:v>https://dse2025.mahacet.org.in/dse25/admin/allotment/cap2/6757_4.pdf</x:v>
      </x:c>
    </x:row>
    <x:row r="1888">
      <x:c r="A1888" s="49" t="str">
        <x:v>2025-26</x:v>
      </x:c>
      <x:c r="B1888" s="63" t="n">
        <x:v>6757</x:v>
      </x:c>
      <x:c r="C1888" s="49" t="str">
        <x:v>Yashoda Technical Campus, Wadhe, Satara.</x:v>
      </x:c>
      <x:c r="D1888" s="72" t="n">
        <x:v>675761210</x:v>
      </x:c>
      <x:c r="E1888" s="49" t="str">
        <x:v>Mechanical Engineering</x:v>
      </x:c>
      <x:c r="F1888" s="73" t="n">
        <x:v>19</x:v>
      </x:c>
      <x:c r="G1888" s="73" t="n">
        <x:v>17</x:v>
      </x:c>
      <x:c r="H1888" s="73" t="n">
        <x:v>2</x:v>
      </x:c>
      <x:c r="I1888" s="73"/>
      <x:c r="J1888" s="73" t="n">
        <x:v>0</x:v>
      </x:c>
      <x:c r="K1888" s="49" t="str">
        <x:v>Un-Aided</x:v>
      </x:c>
      <x:c r="L1888" s="49" t="str">
        <x:v>MS Seats : 17+ EWS : 2</x:v>
      </x:c>
      <x:c r="M1888" s="49" t="str">
        <x:v>https://dse2025.mahacet.org.in/dse25/admin/allotment/cap2/6757_4.pdf</x:v>
      </x:c>
    </x:row>
    <x:row r="1889">
      <x:c r="A1889" s="49" t="str">
        <x:v>2025-26</x:v>
      </x:c>
      <x:c r="B1889" s="63" t="n">
        <x:v>6757</x:v>
      </x:c>
      <x:c r="C1889" s="49" t="str">
        <x:v>Yashoda Technical Campus, Wadhe, Satara.</x:v>
      </x:c>
      <x:c r="D1889" s="72" t="n">
        <x:v>675762410</x:v>
      </x:c>
      <x:c r="E1889" s="49" t="str">
        <x:v>Mechatronics Engineering</x:v>
      </x:c>
      <x:c r="F1889" s="73" t="n">
        <x:v>67</x:v>
      </x:c>
      <x:c r="G1889" s="73" t="n">
        <x:v>60</x:v>
      </x:c>
      <x:c r="H1889" s="73" t="n">
        <x:v>7</x:v>
      </x:c>
      <x:c r="I1889" s="73"/>
      <x:c r="J1889" s="73" t="n">
        <x:v>0</x:v>
      </x:c>
      <x:c r="K1889" s="49" t="str">
        <x:v>Un-Aided</x:v>
      </x:c>
      <x:c r="L1889" s="49" t="str">
        <x:v>MS Seats : 60+ EWS : 7</x:v>
      </x:c>
      <x:c r="M1889" s="49" t="str">
        <x:v>https://dse2025.mahacet.org.in/dse25/admin/allotment/cap2/6757_4.pdf</x:v>
      </x:c>
    </x:row>
    <x:row r="1890">
      <x:c r="A1890" s="49" t="str">
        <x:v>2025-26</x:v>
      </x:c>
      <x:c r="B1890" s="63" t="n">
        <x:v>6758</x:v>
      </x:c>
      <x:c r="C1890" s="49" t="str">
        <x:v>Sahyadri Valley College of Engineering &amp; Technology, Rajuri, Pune.</x:v>
      </x:c>
      <x:c r="D1890" s="72" t="n">
        <x:v>675819110</x:v>
      </x:c>
      <x:c r="E1890" s="49" t="str">
        <x:v>Civil Engineering</x:v>
      </x:c>
      <x:c r="F1890" s="73" t="n">
        <x:v>28</x:v>
      </x:c>
      <x:c r="G1890" s="73" t="n">
        <x:v>25</x:v>
      </x:c>
      <x:c r="H1890" s="73" t="n">
        <x:v>3</x:v>
      </x:c>
      <x:c r="I1890" s="73"/>
      <x:c r="J1890" s="73" t="n">
        <x:v>0</x:v>
      </x:c>
      <x:c r="K1890" s="49" t="str">
        <x:v>Un-Aided</x:v>
      </x:c>
      <x:c r="L1890" s="49" t="str">
        <x:v>MS Seats : 25+ EWS : 3</x:v>
      </x:c>
      <x:c r="M1890" s="49" t="str">
        <x:v>https://dse2025.mahacet.org.in/dse25/admin/allotment/cap2/6758_4.pdf</x:v>
      </x:c>
    </x:row>
    <x:row r="1891">
      <x:c r="A1891" s="49" t="str">
        <x:v>2025-26</x:v>
      </x:c>
      <x:c r="B1891" s="63" t="n">
        <x:v>6758</x:v>
      </x:c>
      <x:c r="C1891" s="49" t="str">
        <x:v>Sahyadri Valley College of Engineering &amp; Technology, Rajuri, Pune.</x:v>
      </x:c>
      <x:c r="D1891" s="72" t="n">
        <x:v>675824510</x:v>
      </x:c>
      <x:c r="E1891" s="49" t="str">
        <x:v>Computer Engineering</x:v>
      </x:c>
      <x:c r="F1891" s="73" t="n">
        <x:v>36</x:v>
      </x:c>
      <x:c r="G1891" s="73" t="n">
        <x:v>30</x:v>
      </x:c>
      <x:c r="H1891" s="73" t="n">
        <x:v>6</x:v>
      </x:c>
      <x:c r="I1891" s="73"/>
      <x:c r="J1891" s="73" t="n">
        <x:v>0</x:v>
      </x:c>
      <x:c r="K1891" s="49" t="str">
        <x:v>Un-Aided</x:v>
      </x:c>
      <x:c r="L1891" s="49" t="str">
        <x:v>MS Seats : 30+ EWS : 6</x:v>
      </x:c>
      <x:c r="M1891" s="49" t="str">
        <x:v>https://dse2025.mahacet.org.in/dse25/admin/allotment/cap2/6758_4.pdf</x:v>
      </x:c>
    </x:row>
    <x:row r="1892">
      <x:c r="A1892" s="49" t="str">
        <x:v>2025-26</x:v>
      </x:c>
      <x:c r="B1892" s="63" t="n">
        <x:v>6758</x:v>
      </x:c>
      <x:c r="C1892" s="49" t="str">
        <x:v>Sahyadri Valley College of Engineering &amp; Technology, Rajuri, Pune.</x:v>
      </x:c>
      <x:c r="D1892" s="72" t="n">
        <x:v>675837210</x:v>
      </x:c>
      <x:c r="E1892" s="49" t="str">
        <x:v>Electronics and Telecommunication Engg</x:v>
      </x:c>
      <x:c r="F1892" s="73" t="n">
        <x:v>24</x:v>
      </x:c>
      <x:c r="G1892" s="73" t="n">
        <x:v>21</x:v>
      </x:c>
      <x:c r="H1892" s="73" t="n">
        <x:v>3</x:v>
      </x:c>
      <x:c r="I1892" s="73"/>
      <x:c r="J1892" s="73" t="n">
        <x:v>0</x:v>
      </x:c>
      <x:c r="K1892" s="49" t="str">
        <x:v>Un-Aided</x:v>
      </x:c>
      <x:c r="L1892" s="49" t="str">
        <x:v>MS Seats : 21+ EWS : 3</x:v>
      </x:c>
      <x:c r="M1892" s="49" t="str">
        <x:v>https://dse2025.mahacet.org.in/dse25/admin/allotment/cap2/6758_4.pdf</x:v>
      </x:c>
    </x:row>
    <x:row r="1893">
      <x:c r="A1893" s="49" t="str">
        <x:v>2025-26</x:v>
      </x:c>
      <x:c r="B1893" s="63" t="n">
        <x:v>6758</x:v>
      </x:c>
      <x:c r="C1893" s="49" t="str">
        <x:v>Sahyadri Valley College of Engineering &amp; Technology, Rajuri, Pune.</x:v>
      </x:c>
      <x:c r="D1893" s="72" t="n">
        <x:v>675861210</x:v>
      </x:c>
      <x:c r="E1893" s="49" t="str">
        <x:v>Mechanical Engineering</x:v>
      </x:c>
      <x:c r="F1893" s="73" t="n">
        <x:v>33</x:v>
      </x:c>
      <x:c r="G1893" s="73" t="n">
        <x:v>30</x:v>
      </x:c>
      <x:c r="H1893" s="73" t="n">
        <x:v>3</x:v>
      </x:c>
      <x:c r="I1893" s="73"/>
      <x:c r="J1893" s="73" t="n">
        <x:v>0</x:v>
      </x:c>
      <x:c r="K1893" s="49" t="str">
        <x:v>Un-Aided</x:v>
      </x:c>
      <x:c r="L1893" s="49" t="str">
        <x:v>MS Seats : 30+ EWS : 3</x:v>
      </x:c>
      <x:c r="M1893" s="49" t="str">
        <x:v>https://dse2025.mahacet.org.in/dse25/admin/allotment/cap2/6758_4.pdf</x:v>
      </x:c>
    </x:row>
    <x:row r="1894">
      <x:c r="A1894" s="49" t="str">
        <x:v>2025-26</x:v>
      </x:c>
      <x:c r="B1894" s="63" t="n">
        <x:v>6758</x:v>
      </x:c>
      <x:c r="C1894" s="49" t="str">
        <x:v>Sahyadri Valley College of Engineering &amp; Technology, Rajuri, Pune.</x:v>
      </x:c>
      <x:c r="D1894" s="72" t="n">
        <x:v>675892110</x:v>
      </x:c>
      <x:c r="E1894" s="49" t="str">
        <x:v>Artificial Intelligence and Machine Learning</x:v>
      </x:c>
      <x:c r="F1894" s="73" t="n">
        <x:v>23</x:v>
      </x:c>
      <x:c r="G1894" s="73" t="n">
        <x:v>20</x:v>
      </x:c>
      <x:c r="H1894" s="73" t="n">
        <x:v>3</x:v>
      </x:c>
      <x:c r="I1894" s="73"/>
      <x:c r="J1894" s="73" t="n">
        <x:v>0</x:v>
      </x:c>
      <x:c r="K1894" s="49" t="str">
        <x:v>Un-Aided</x:v>
      </x:c>
      <x:c r="L1894" s="49" t="str">
        <x:v>MS Seats : 20+ EWS : 3</x:v>
      </x:c>
      <x:c r="M1894" s="49" t="str">
        <x:v>https://dse2025.mahacet.org.in/dse25/admin/allotment/cap2/6758_4.pdf</x:v>
      </x:c>
    </x:row>
    <x:row r="1895">
      <x:c r="A1895" s="49" t="str">
        <x:v>2025-26</x:v>
      </x:c>
      <x:c r="B1895" s="63" t="n">
        <x:v>6758</x:v>
      </x:c>
      <x:c r="C1895" s="49" t="str">
        <x:v>Sahyadri Valley College of Engineering &amp; Technology, Rajuri, Pune.</x:v>
      </x:c>
      <x:c r="D1895" s="72" t="n">
        <x:v>675899510</x:v>
      </x:c>
      <x:c r="E1895" s="49" t="str">
        <x:v>Artificial Intelligence and Data Science</x:v>
      </x:c>
      <x:c r="F1895" s="73" t="n">
        <x:v>43</x:v>
      </x:c>
      <x:c r="G1895" s="73" t="n">
        <x:v>37</x:v>
      </x:c>
      <x:c r="H1895" s="73" t="n">
        <x:v>6</x:v>
      </x:c>
      <x:c r="I1895" s="73"/>
      <x:c r="J1895" s="73" t="n">
        <x:v>0</x:v>
      </x:c>
      <x:c r="K1895" s="49" t="str">
        <x:v>Un-Aided</x:v>
      </x:c>
      <x:c r="L1895" s="49" t="str">
        <x:v>MS Seats : 37+ EWS : 6</x:v>
      </x:c>
      <x:c r="M1895" s="49" t="str">
        <x:v>https://dse2025.mahacet.org.in/dse25/admin/allotment/cap2/6758_4.pdf</x:v>
      </x:c>
    </x:row>
    <x:row r="1896">
      <x:c r="A1896" s="49" t="str">
        <x:v>2025-26</x:v>
      </x:c>
      <x:c r="B1896" s="63" t="n">
        <x:v>6759</x:v>
      </x:c>
      <x:c r="C1896" s="49" t="str">
        <x:v>Shree Ramchandra College of Engineering, Lonikand,Pune</x:v>
      </x:c>
      <x:c r="D1896" s="72" t="n">
        <x:v>675919110</x:v>
      </x:c>
      <x:c r="E1896" s="49" t="str">
        <x:v>Civil Engineering</x:v>
      </x:c>
      <x:c r="F1896" s="73" t="n">
        <x:v>15</x:v>
      </x:c>
      <x:c r="G1896" s="73" t="n">
        <x:v>12</x:v>
      </x:c>
      <x:c r="H1896" s="73" t="n">
        <x:v>3</x:v>
      </x:c>
      <x:c r="I1896" s="73"/>
      <x:c r="J1896" s="73" t="n">
        <x:v>0</x:v>
      </x:c>
      <x:c r="K1896" s="49" t="str">
        <x:v>Un-Aided</x:v>
      </x:c>
      <x:c r="L1896" s="49" t="str">
        <x:v>MS Seats : 12+ EWS : 3</x:v>
      </x:c>
      <x:c r="M1896" s="49" t="str">
        <x:v>https://dse2025.mahacet.org.in/dse25/admin/allotment/cap2/6759_4.pdf</x:v>
      </x:c>
    </x:row>
    <x:row r="1897">
      <x:c r="A1897" s="49" t="str">
        <x:v>2025-26</x:v>
      </x:c>
      <x:c r="B1897" s="63" t="n">
        <x:v>6759</x:v>
      </x:c>
      <x:c r="C1897" s="49" t="str">
        <x:v>Shree Ramchandra College of Engineering, Lonikand,Pune</x:v>
      </x:c>
      <x:c r="D1897" s="72" t="n">
        <x:v>675924510</x:v>
      </x:c>
      <x:c r="E1897" s="49" t="str">
        <x:v>Computer Engineering</x:v>
      </x:c>
      <x:c r="F1897" s="73" t="n">
        <x:v>14</x:v>
      </x:c>
      <x:c r="G1897" s="73" t="n">
        <x:v>10</x:v>
      </x:c>
      <x:c r="H1897" s="73" t="n">
        <x:v>4</x:v>
      </x:c>
      <x:c r="I1897" s="73"/>
      <x:c r="J1897" s="73" t="n">
        <x:v>0</x:v>
      </x:c>
      <x:c r="K1897" s="49" t="str">
        <x:v>Un-Aided</x:v>
      </x:c>
      <x:c r="L1897" s="49" t="str">
        <x:v>MS Seats : 10+ EWS : 4</x:v>
      </x:c>
      <x:c r="M1897" s="49" t="str">
        <x:v>https://dse2025.mahacet.org.in/dse25/admin/allotment/cap2/6759_4.pdf</x:v>
      </x:c>
    </x:row>
    <x:row r="1898">
      <x:c r="A1898" s="49" t="str">
        <x:v>2025-26</x:v>
      </x:c>
      <x:c r="B1898" s="63" t="n">
        <x:v>6759</x:v>
      </x:c>
      <x:c r="C1898" s="49" t="str">
        <x:v>Shree Ramchandra College of Engineering, Lonikand,Pune</x:v>
      </x:c>
      <x:c r="D1898" s="72" t="n">
        <x:v>675929310</x:v>
      </x:c>
      <x:c r="E1898" s="49" t="str">
        <x:v>Electrical Engineering</x:v>
      </x:c>
      <x:c r="F1898" s="73" t="n">
        <x:v>18</x:v>
      </x:c>
      <x:c r="G1898" s="73" t="n">
        <x:v>15</x:v>
      </x:c>
      <x:c r="H1898" s="73" t="n">
        <x:v>3</x:v>
      </x:c>
      <x:c r="I1898" s="73"/>
      <x:c r="J1898" s="73" t="n">
        <x:v>0</x:v>
      </x:c>
      <x:c r="K1898" s="49" t="str">
        <x:v>Un-Aided</x:v>
      </x:c>
      <x:c r="L1898" s="49" t="str">
        <x:v>MS Seats : 15+ EWS : 3</x:v>
      </x:c>
      <x:c r="M1898" s="49" t="str">
        <x:v>https://dse2025.mahacet.org.in/dse25/admin/allotment/cap2/6759_4.pdf</x:v>
      </x:c>
    </x:row>
    <x:row r="1899">
      <x:c r="A1899" s="49" t="str">
        <x:v>2025-26</x:v>
      </x:c>
      <x:c r="B1899" s="63" t="n">
        <x:v>6759</x:v>
      </x:c>
      <x:c r="C1899" s="49" t="str">
        <x:v>Shree Ramchandra College of Engineering, Lonikand,Pune</x:v>
      </x:c>
      <x:c r="D1899" s="72" t="n">
        <x:v>675961210</x:v>
      </x:c>
      <x:c r="E1899" s="49" t="str">
        <x:v>Mechanical Engineering</x:v>
      </x:c>
      <x:c r="F1899" s="73" t="n">
        <x:v>16</x:v>
      </x:c>
      <x:c r="G1899" s="73" t="n">
        <x:v>15</x:v>
      </x:c>
      <x:c r="H1899" s="73" t="n">
        <x:v>1</x:v>
      </x:c>
      <x:c r="I1899" s="73"/>
      <x:c r="J1899" s="73" t="n">
        <x:v>0</x:v>
      </x:c>
      <x:c r="K1899" s="49" t="str">
        <x:v>Un-Aided</x:v>
      </x:c>
      <x:c r="L1899" s="49" t="str">
        <x:v>MS Seats : 15+ EWS : 1</x:v>
      </x:c>
      <x:c r="M1899" s="49" t="str">
        <x:v>https://dse2025.mahacet.org.in/dse25/admin/allotment/cap2/6759_4.pdf</x:v>
      </x:c>
    </x:row>
    <x:row r="1900">
      <x:c r="A1900" s="49" t="str">
        <x:v>2025-26</x:v>
      </x:c>
      <x:c r="B1900" s="63" t="n">
        <x:v>6759</x:v>
      </x:c>
      <x:c r="C1900" s="49" t="str">
        <x:v>Shree Ramchandra College of Engineering, Lonikand,Pune</x:v>
      </x:c>
      <x:c r="D1900" s="72" t="n">
        <x:v>675999510</x:v>
      </x:c>
      <x:c r="E1900" s="49" t="str">
        <x:v>Artificial Intelligence and Data Science</x:v>
      </x:c>
      <x:c r="F1900" s="73" t="n">
        <x:v>16</x:v>
      </x:c>
      <x:c r="G1900" s="73" t="n">
        <x:v>11</x:v>
      </x:c>
      <x:c r="H1900" s="73" t="n">
        <x:v>5</x:v>
      </x:c>
      <x:c r="I1900" s="73"/>
      <x:c r="J1900" s="73" t="n">
        <x:v>0</x:v>
      </x:c>
      <x:c r="K1900" s="49" t="str">
        <x:v>Un-Aided</x:v>
      </x:c>
      <x:c r="L1900" s="49" t="str">
        <x:v>MS Seats : 11+ EWS : 5</x:v>
      </x:c>
      <x:c r="M1900" s="49" t="str">
        <x:v>https://dse2025.mahacet.org.in/dse25/admin/allotment/cap2/6759_4.pdf</x:v>
      </x:c>
    </x:row>
    <x:row r="1901">
      <x:c r="A1901" s="49" t="str">
        <x:v>2025-26</x:v>
      </x:c>
      <x:c r="B1901" s="63" t="n">
        <x:v>6762</x:v>
      </x:c>
      <x:c r="C1901" s="49" t="str">
        <x:v>Nanasaheb Mahadik College of Engineering,Walwa, Sangli.</x:v>
      </x:c>
      <x:c r="D1901" s="72" t="n">
        <x:v>676219110</x:v>
      </x:c>
      <x:c r="E1901" s="49" t="str">
        <x:v>Civil Engineering</x:v>
      </x:c>
      <x:c r="F1901" s="73" t="n">
        <x:v>51</x:v>
      </x:c>
      <x:c r="G1901" s="73" t="n">
        <x:v>46</x:v>
      </x:c>
      <x:c r="H1901" s="73" t="n">
        <x:v>5</x:v>
      </x:c>
      <x:c r="I1901" s="73"/>
      <x:c r="J1901" s="73" t="n">
        <x:v>0</x:v>
      </x:c>
      <x:c r="K1901" s="49" t="str">
        <x:v>Un-Aided</x:v>
      </x:c>
      <x:c r="L1901" s="49" t="str">
        <x:v>MS Seats : 46+ EWS : 5</x:v>
      </x:c>
      <x:c r="M1901" s="49" t="str">
        <x:v>https://dse2025.mahacet.org.in/dse25/admin/allotment/cap2/6762_4.pdf</x:v>
      </x:c>
    </x:row>
    <x:row r="1902">
      <x:c r="A1902" s="49" t="str">
        <x:v>2025-26</x:v>
      </x:c>
      <x:c r="B1902" s="63" t="n">
        <x:v>6762</x:v>
      </x:c>
      <x:c r="C1902" s="49" t="str">
        <x:v>Nanasaheb Mahadik College of Engineering,Walwa, Sangli.</x:v>
      </x:c>
      <x:c r="D1902" s="72" t="n">
        <x:v>676224210</x:v>
      </x:c>
      <x:c r="E1902" s="49" t="str">
        <x:v>Computer Science and Engineering</x:v>
      </x:c>
      <x:c r="F1902" s="73" t="n">
        <x:v>11</x:v>
      </x:c>
      <x:c r="G1902" s="73" t="n">
        <x:v>10</x:v>
      </x:c>
      <x:c r="H1902" s="73" t="n">
        <x:v>1</x:v>
      </x:c>
      <x:c r="I1902" s="73"/>
      <x:c r="J1902" s="73" t="n">
        <x:v>0</x:v>
      </x:c>
      <x:c r="K1902" s="49" t="str">
        <x:v>Un-Aided</x:v>
      </x:c>
      <x:c r="L1902" s="49" t="str">
        <x:v>MS Seats : 10+ EWS : 1</x:v>
      </x:c>
      <x:c r="M1902" s="49" t="str">
        <x:v>https://dse2025.mahacet.org.in/dse25/admin/allotment/cap2/6762_4.pdf</x:v>
      </x:c>
    </x:row>
    <x:row r="1903">
      <x:c r="A1903" s="49" t="str">
        <x:v>2025-26</x:v>
      </x:c>
      <x:c r="B1903" s="63" t="n">
        <x:v>6762</x:v>
      </x:c>
      <x:c r="C1903" s="49" t="str">
        <x:v>Nanasaheb Mahadik College of Engineering,Walwa, Sangli.</x:v>
      </x:c>
      <x:c r="D1903" s="72" t="n">
        <x:v>676229310</x:v>
      </x:c>
      <x:c r="E1903" s="49" t="str">
        <x:v>Electrical Engineering</x:v>
      </x:c>
      <x:c r="F1903" s="73" t="n">
        <x:v>51</x:v>
      </x:c>
      <x:c r="G1903" s="73" t="n">
        <x:v>44</x:v>
      </x:c>
      <x:c r="H1903" s="73" t="n">
        <x:v>7</x:v>
      </x:c>
      <x:c r="I1903" s="73"/>
      <x:c r="J1903" s="73" t="n">
        <x:v>0</x:v>
      </x:c>
      <x:c r="K1903" s="49" t="str">
        <x:v>Un-Aided</x:v>
      </x:c>
      <x:c r="L1903" s="49" t="str">
        <x:v>MS Seats : 44+ EWS : 7</x:v>
      </x:c>
      <x:c r="M1903" s="49" t="str">
        <x:v>https://dse2025.mahacet.org.in/dse25/admin/allotment/cap2/6762_4.pdf</x:v>
      </x:c>
    </x:row>
    <x:row r="1904">
      <x:c r="A1904" s="49" t="str">
        <x:v>2025-26</x:v>
      </x:c>
      <x:c r="B1904" s="63" t="n">
        <x:v>6762</x:v>
      </x:c>
      <x:c r="C1904" s="49" t="str">
        <x:v>Nanasaheb Mahadik College of Engineering,Walwa, Sangli.</x:v>
      </x:c>
      <x:c r="D1904" s="72" t="n">
        <x:v>676237210</x:v>
      </x:c>
      <x:c r="E1904" s="49" t="str">
        <x:v>Electronics and Telecommunication Engg</x:v>
      </x:c>
      <x:c r="F1904" s="73" t="n">
        <x:v>48</x:v>
      </x:c>
      <x:c r="G1904" s="73" t="n">
        <x:v>41</x:v>
      </x:c>
      <x:c r="H1904" s="73" t="n">
        <x:v>7</x:v>
      </x:c>
      <x:c r="I1904" s="73"/>
      <x:c r="J1904" s="73" t="n">
        <x:v>0</x:v>
      </x:c>
      <x:c r="K1904" s="49" t="str">
        <x:v>Un-Aided</x:v>
      </x:c>
      <x:c r="L1904" s="49" t="str">
        <x:v>MS Seats : 41+ EWS : 7</x:v>
      </x:c>
      <x:c r="M1904" s="49" t="str">
        <x:v>https://dse2025.mahacet.org.in/dse25/admin/allotment/cap2/6762_4.pdf</x:v>
      </x:c>
    </x:row>
    <x:row r="1905">
      <x:c r="A1905" s="49" t="str">
        <x:v>2025-26</x:v>
      </x:c>
      <x:c r="B1905" s="63" t="n">
        <x:v>6762</x:v>
      </x:c>
      <x:c r="C1905" s="49" t="str">
        <x:v>Nanasaheb Mahadik College of Engineering,Walwa, Sangli.</x:v>
      </x:c>
      <x:c r="D1905" s="72" t="n">
        <x:v>676261210</x:v>
      </x:c>
      <x:c r="E1905" s="49" t="str">
        <x:v>Mechanical Engineering</x:v>
      </x:c>
      <x:c r="F1905" s="73" t="n">
        <x:v>98</x:v>
      </x:c>
      <x:c r="G1905" s="73" t="n">
        <x:v>91</x:v>
      </x:c>
      <x:c r="H1905" s="73" t="n">
        <x:v>7</x:v>
      </x:c>
      <x:c r="I1905" s="73"/>
      <x:c r="J1905" s="73" t="n">
        <x:v>0</x:v>
      </x:c>
      <x:c r="K1905" s="49" t="str">
        <x:v>Un-Aided</x:v>
      </x:c>
      <x:c r="L1905" s="49" t="str">
        <x:v>MS Seats : 91+ EWS : 7</x:v>
      </x:c>
      <x:c r="M1905" s="49" t="str">
        <x:v>https://dse2025.mahacet.org.in/dse25/admin/allotment/cap2/6762_4.pdf</x:v>
      </x:c>
    </x:row>
    <x:row r="1906">
      <x:c r="A1906" s="49" t="str">
        <x:v>2025-26</x:v>
      </x:c>
      <x:c r="B1906" s="63" t="n">
        <x:v>6766</x:v>
      </x:c>
      <x:c r="C1906" s="49" t="str">
        <x:v>Phaltan Education Society's College of Engineering Thakurki Tal- Phaltan Dist-Satara</x:v>
      </x:c>
      <x:c r="D1906" s="72" t="n">
        <x:v>676619110</x:v>
      </x:c>
      <x:c r="E1906" s="49" t="str">
        <x:v>Civil Engineering</x:v>
      </x:c>
      <x:c r="F1906" s="73" t="n">
        <x:v>34</x:v>
      </x:c>
      <x:c r="G1906" s="73" t="n">
        <x:v>31</x:v>
      </x:c>
      <x:c r="H1906" s="73" t="n">
        <x:v>3</x:v>
      </x:c>
      <x:c r="I1906" s="73"/>
      <x:c r="J1906" s="73" t="n">
        <x:v>0</x:v>
      </x:c>
      <x:c r="K1906" s="49" t="str">
        <x:v>Un-Aided</x:v>
      </x:c>
      <x:c r="L1906" s="49" t="str">
        <x:v>MS Seats : 31+ EWS : 3</x:v>
      </x:c>
      <x:c r="M1906" s="49" t="str">
        <x:v>https://dse2025.mahacet.org.in/dse25/admin/allotment/cap2/6766_4.pdf</x:v>
      </x:c>
    </x:row>
    <x:row r="1907">
      <x:c r="A1907" s="49" t="str">
        <x:v>2025-26</x:v>
      </x:c>
      <x:c r="B1907" s="63" t="n">
        <x:v>6766</x:v>
      </x:c>
      <x:c r="C1907" s="49" t="str">
        <x:v>Phaltan Education Society's College of Engineering Thakurki Tal- Phaltan Dist-Satara</x:v>
      </x:c>
      <x:c r="D1907" s="72" t="n">
        <x:v>676624510</x:v>
      </x:c>
      <x:c r="E1907" s="49" t="str">
        <x:v>Computer Engineering</x:v>
      </x:c>
      <x:c r="F1907" s="73" t="n">
        <x:v>44</x:v>
      </x:c>
      <x:c r="G1907" s="73" t="n">
        <x:v>30</x:v>
      </x:c>
      <x:c r="H1907" s="73" t="n">
        <x:v>14</x:v>
      </x:c>
      <x:c r="I1907" s="73"/>
      <x:c r="J1907" s="73" t="n">
        <x:v>0</x:v>
      </x:c>
      <x:c r="K1907" s="49" t="str">
        <x:v>Un-Aided</x:v>
      </x:c>
      <x:c r="L1907" s="49" t="str">
        <x:v>MS Seats : 30+ EWS : 14</x:v>
      </x:c>
      <x:c r="M1907" s="49" t="str">
        <x:v>https://dse2025.mahacet.org.in/dse25/admin/allotment/cap2/6766_4.pdf</x:v>
      </x:c>
    </x:row>
    <x:row r="1908">
      <x:c r="A1908" s="49" t="str">
        <x:v>2025-26</x:v>
      </x:c>
      <x:c r="B1908" s="63" t="n">
        <x:v>6766</x:v>
      </x:c>
      <x:c r="C1908" s="49" t="str">
        <x:v>Phaltan Education Society's College of Engineering Thakurki Tal- Phaltan Dist-Satara</x:v>
      </x:c>
      <x:c r="D1908" s="72" t="n">
        <x:v>676637210</x:v>
      </x:c>
      <x:c r="E1908" s="49" t="str">
        <x:v>Electronics and Telecommunication Engg</x:v>
      </x:c>
      <x:c r="F1908" s="73" t="n">
        <x:v>67</x:v>
      </x:c>
      <x:c r="G1908" s="73" t="n">
        <x:v>60</x:v>
      </x:c>
      <x:c r="H1908" s="73" t="n">
        <x:v>7</x:v>
      </x:c>
      <x:c r="I1908" s="73"/>
      <x:c r="J1908" s="73" t="n">
        <x:v>0</x:v>
      </x:c>
      <x:c r="K1908" s="49" t="str">
        <x:v>Un-Aided</x:v>
      </x:c>
      <x:c r="L1908" s="49" t="str">
        <x:v>MS Seats : 60+ EWS : 7</x:v>
      </x:c>
      <x:c r="M1908" s="49" t="str">
        <x:v>https://dse2025.mahacet.org.in/dse25/admin/allotment/cap2/6766_4.pdf</x:v>
      </x:c>
    </x:row>
    <x:row r="1909">
      <x:c r="A1909" s="49" t="str">
        <x:v>2025-26</x:v>
      </x:c>
      <x:c r="B1909" s="63" t="n">
        <x:v>6766</x:v>
      </x:c>
      <x:c r="C1909" s="49" t="str">
        <x:v>Phaltan Education Society's College of Engineering Thakurki Tal- Phaltan Dist-Satara</x:v>
      </x:c>
      <x:c r="D1909" s="72" t="n">
        <x:v>676661210</x:v>
      </x:c>
      <x:c r="E1909" s="49" t="str">
        <x:v>Mechanical Engineering</x:v>
      </x:c>
      <x:c r="F1909" s="73" t="n">
        <x:v>64</x:v>
      </x:c>
      <x:c r="G1909" s="73" t="n">
        <x:v>57</x:v>
      </x:c>
      <x:c r="H1909" s="73" t="n">
        <x:v>7</x:v>
      </x:c>
      <x:c r="I1909" s="73"/>
      <x:c r="J1909" s="73" t="n">
        <x:v>0</x:v>
      </x:c>
      <x:c r="K1909" s="49" t="str">
        <x:v>Un-Aided</x:v>
      </x:c>
      <x:c r="L1909" s="49" t="str">
        <x:v>MS Seats : 57+ EWS : 7</x:v>
      </x:c>
      <x:c r="M1909" s="49" t="str">
        <x:v>https://dse2025.mahacet.org.in/dse25/admin/allotment/cap2/6766_4.pdf</x:v>
      </x:c>
    </x:row>
    <x:row r="1910">
      <x:c r="A1910" s="49" t="str">
        <x:v>2025-26</x:v>
      </x:c>
      <x:c r="B1910" s="63" t="n">
        <x:v>6766</x:v>
      </x:c>
      <x:c r="C1910" s="49" t="str">
        <x:v>Phaltan Education Society's College of Engineering Thakurki Tal- Phaltan Dist-Satara</x:v>
      </x:c>
      <x:c r="D1910" s="72" t="n">
        <x:v>676699510</x:v>
      </x:c>
      <x:c r="E1910" s="49" t="str">
        <x:v>Artificial Intelligence and Data Science</x:v>
      </x:c>
      <x:c r="F1910" s="73" t="n">
        <x:v>7</x:v>
      </x:c>
      <x:c r="G1910" s="73" t="n">
        <x:v>5</x:v>
      </x:c>
      <x:c r="H1910" s="73" t="n">
        <x:v>2</x:v>
      </x:c>
      <x:c r="I1910" s="73"/>
      <x:c r="J1910" s="73" t="n">
        <x:v>0</x:v>
      </x:c>
      <x:c r="K1910" s="49" t="str">
        <x:v>Un-Aided</x:v>
      </x:c>
      <x:c r="L1910" s="49" t="str">
        <x:v>MS Seats : 5+ EWS : 2</x:v>
      </x:c>
      <x:c r="M1910" s="49" t="str">
        <x:v>https://dse2025.mahacet.org.in/dse25/admin/allotment/cap2/6766_4.pdf</x:v>
      </x:c>
    </x:row>
    <x:row r="1911">
      <x:c r="A1911" s="49" t="str">
        <x:v>2025-26</x:v>
      </x:c>
      <x:c r="B1911" s="63" t="n">
        <x:v>6767</x:v>
      </x:c>
      <x:c r="C1911" s="49" t="str">
        <x:v>Suman Ramesh Tulsiani Technical Campus Faculty of Engineering, Kamshet,Pune.</x:v>
      </x:c>
      <x:c r="D1911" s="72" t="n">
        <x:v>676719110</x:v>
      </x:c>
      <x:c r="E1911" s="49" t="str">
        <x:v>Civil Engineering</x:v>
      </x:c>
      <x:c r="F1911" s="73" t="n">
        <x:v>32</x:v>
      </x:c>
      <x:c r="G1911" s="73" t="n">
        <x:v>29</x:v>
      </x:c>
      <x:c r="H1911" s="73" t="n">
        <x:v>3</x:v>
      </x:c>
      <x:c r="I1911" s="73"/>
      <x:c r="J1911" s="73" t="n">
        <x:v>0</x:v>
      </x:c>
      <x:c r="K1911" s="49" t="str">
        <x:v>Un-Aided</x:v>
      </x:c>
      <x:c r="L1911" s="49" t="str">
        <x:v>MS Seats : 29+ EWS : 3</x:v>
      </x:c>
      <x:c r="M1911" s="49" t="str">
        <x:v>https://dse2025.mahacet.org.in/dse25/admin/allotment/cap2/6767_4.pdf</x:v>
      </x:c>
    </x:row>
    <x:row r="1912">
      <x:c r="A1912" s="49" t="str">
        <x:v>2025-26</x:v>
      </x:c>
      <x:c r="B1912" s="63" t="n">
        <x:v>6767</x:v>
      </x:c>
      <x:c r="C1912" s="49" t="str">
        <x:v>Suman Ramesh Tulsiani Technical Campus Faculty of Engineering, Kamshet,Pune.</x:v>
      </x:c>
      <x:c r="D1912" s="72" t="n">
        <x:v>676724510</x:v>
      </x:c>
      <x:c r="E1912" s="49" t="str">
        <x:v>Computer Engineering</x:v>
      </x:c>
      <x:c r="F1912" s="73" t="n">
        <x:v>131</x:v>
      </x:c>
      <x:c r="G1912" s="73" t="n">
        <x:v>114</x:v>
      </x:c>
      <x:c r="H1912" s="73" t="n">
        <x:v>17</x:v>
      </x:c>
      <x:c r="I1912" s="73"/>
      <x:c r="J1912" s="73" t="n">
        <x:v>0</x:v>
      </x:c>
      <x:c r="K1912" s="49" t="str">
        <x:v>Un-Aided</x:v>
      </x:c>
      <x:c r="L1912" s="49" t="str">
        <x:v>MS Seats : 114+ EWS : 17</x:v>
      </x:c>
      <x:c r="M1912" s="49" t="str">
        <x:v>https://dse2025.mahacet.org.in/dse25/admin/allotment/cap2/6767_4.pdf</x:v>
      </x:c>
    </x:row>
    <x:row r="1913">
      <x:c r="A1913" s="49" t="str">
        <x:v>2025-26</x:v>
      </x:c>
      <x:c r="B1913" s="63" t="n">
        <x:v>6767</x:v>
      </x:c>
      <x:c r="C1913" s="49" t="str">
        <x:v>Suman Ramesh Tulsiani Technical Campus Faculty of Engineering, Kamshet,Pune.</x:v>
      </x:c>
      <x:c r="D1913" s="72" t="n">
        <x:v>676761210</x:v>
      </x:c>
      <x:c r="E1913" s="49" t="str">
        <x:v>Mechanical Engineering</x:v>
      </x:c>
      <x:c r="F1913" s="73" t="n">
        <x:v>25</x:v>
      </x:c>
      <x:c r="G1913" s="73" t="n">
        <x:v>22</x:v>
      </x:c>
      <x:c r="H1913" s="73" t="n">
        <x:v>3</x:v>
      </x:c>
      <x:c r="I1913" s="73"/>
      <x:c r="J1913" s="73" t="n">
        <x:v>0</x:v>
      </x:c>
      <x:c r="K1913" s="49" t="str">
        <x:v>Un-Aided</x:v>
      </x:c>
      <x:c r="L1913" s="49" t="str">
        <x:v>MS Seats : 22+ EWS : 3</x:v>
      </x:c>
      <x:c r="M1913" s="49" t="str">
        <x:v>https://dse2025.mahacet.org.in/dse25/admin/allotment/cap2/6767_4.pdf</x:v>
      </x:c>
    </x:row>
    <x:row r="1914">
      <x:c r="A1914" s="49" t="str">
        <x:v>2025-26</x:v>
      </x:c>
      <x:c r="B1914" s="63" t="n">
        <x:v>6767</x:v>
      </x:c>
      <x:c r="C1914" s="49" t="str">
        <x:v>Suman Ramesh Tulsiani Technical Campus Faculty of Engineering, Kamshet,Pune.</x:v>
      </x:c>
      <x:c r="D1914" s="72" t="n">
        <x:v>676791210</x:v>
      </x:c>
      <x:c r="E1914" s="49" t="str">
        <x:v>Computer Science and Engineering(Data Science)</x:v>
      </x:c>
      <x:c r="F1914" s="73" t="n">
        <x:v>52</x:v>
      </x:c>
      <x:c r="G1914" s="73" t="n">
        <x:v>45</x:v>
      </x:c>
      <x:c r="H1914" s="73" t="n">
        <x:v>7</x:v>
      </x:c>
      <x:c r="I1914" s="73"/>
      <x:c r="J1914" s="73" t="n">
        <x:v>0</x:v>
      </x:c>
      <x:c r="K1914" s="49" t="str">
        <x:v>Un-Aided</x:v>
      </x:c>
      <x:c r="L1914" s="49" t="str">
        <x:v>MS Seats : 45+ EWS : 7</x:v>
      </x:c>
      <x:c r="M1914" s="49" t="str">
        <x:v>https://dse2025.mahacet.org.in/dse25/admin/allotment/cap2/6767_4.pdf</x:v>
      </x:c>
    </x:row>
    <x:row r="1915">
      <x:c r="A1915" s="49" t="str">
        <x:v>2025-26</x:v>
      </x:c>
      <x:c r="B1915" s="63" t="n">
        <x:v>6767</x:v>
      </x:c>
      <x:c r="C1915" s="49" t="str">
        <x:v>Suman Ramesh Tulsiani Technical Campus Faculty of Engineering, Kamshet,Pune.</x:v>
      </x:c>
      <x:c r="D1915" s="72" t="n">
        <x:v>676799510</x:v>
      </x:c>
      <x:c r="E1915" s="49" t="str">
        <x:v>Artificial Intelligence and Data Science</x:v>
      </x:c>
      <x:c r="F1915" s="73" t="n">
        <x:v>41</x:v>
      </x:c>
      <x:c r="G1915" s="73" t="n">
        <x:v>36</x:v>
      </x:c>
      <x:c r="H1915" s="73" t="n">
        <x:v>5</x:v>
      </x:c>
      <x:c r="I1915" s="73"/>
      <x:c r="J1915" s="73" t="n">
        <x:v>0</x:v>
      </x:c>
      <x:c r="K1915" s="49" t="str">
        <x:v>Un-Aided</x:v>
      </x:c>
      <x:c r="L1915" s="49" t="str">
        <x:v>MS Seats : 36+ EWS : 5</x:v>
      </x:c>
      <x:c r="M1915" s="49" t="str">
        <x:v>https://dse2025.mahacet.org.in/dse25/admin/allotment/cap2/6767_4.pdf</x:v>
      </x:c>
    </x:row>
    <x:row r="1916">
      <x:c r="A1916" s="49" t="str">
        <x:v>2025-26</x:v>
      </x:c>
      <x:c r="B1916" s="63" t="n">
        <x:v>6768</x:v>
      </x:c>
      <x:c r="C1916" s="49" t="str">
        <x:v>P.K. Technical Campus, Pune.</x:v>
      </x:c>
      <x:c r="D1916" s="72" t="n">
        <x:v>676824510</x:v>
      </x:c>
      <x:c r="E1916" s="49" t="str">
        <x:v>Computer Engineering</x:v>
      </x:c>
      <x:c r="F1916" s="73" t="n">
        <x:v>26</x:v>
      </x:c>
      <x:c r="G1916" s="73" t="n">
        <x:v>21</x:v>
      </x:c>
      <x:c r="H1916" s="73" t="n">
        <x:v>5</x:v>
      </x:c>
      <x:c r="I1916" s="73"/>
      <x:c r="J1916" s="73" t="n">
        <x:v>0</x:v>
      </x:c>
      <x:c r="K1916" s="49" t="str">
        <x:v>Un-Aided</x:v>
      </x:c>
      <x:c r="L1916" s="49" t="str">
        <x:v>MS Seats : 21+ EWS : 5</x:v>
      </x:c>
      <x:c r="M1916" s="49" t="str">
        <x:v>https://dse2025.mahacet.org.in/dse25/admin/allotment/cap2/6768_4.pdf</x:v>
      </x:c>
    </x:row>
    <x:row r="1917">
      <x:c r="A1917" s="49" t="str">
        <x:v>2025-26</x:v>
      </x:c>
      <x:c r="B1917" s="63" t="n">
        <x:v>6768</x:v>
      </x:c>
      <x:c r="C1917" s="49" t="str">
        <x:v>P.K. Technical Campus, Pune.</x:v>
      </x:c>
      <x:c r="D1917" s="72" t="n">
        <x:v>676861210</x:v>
      </x:c>
      <x:c r="E1917" s="49" t="str">
        <x:v>Mechanical Engineering</x:v>
      </x:c>
      <x:c r="F1917" s="73" t="n">
        <x:v>32</x:v>
      </x:c>
      <x:c r="G1917" s="73" t="n">
        <x:v>25</x:v>
      </x:c>
      <x:c r="H1917" s="73" t="n">
        <x:v>7</x:v>
      </x:c>
      <x:c r="I1917" s="73"/>
      <x:c r="J1917" s="73" t="n">
        <x:v>0</x:v>
      </x:c>
      <x:c r="K1917" s="49" t="str">
        <x:v>Un-Aided</x:v>
      </x:c>
      <x:c r="L1917" s="49" t="str">
        <x:v>MS Seats : 25+ EWS : 7</x:v>
      </x:c>
      <x:c r="M1917" s="49" t="str">
        <x:v>https://dse2025.mahacet.org.in/dse25/admin/allotment/cap2/6768_4.pdf</x:v>
      </x:c>
    </x:row>
    <x:row r="1918">
      <x:c r="A1918" s="49" t="str">
        <x:v>2025-26</x:v>
      </x:c>
      <x:c r="B1918" s="63" t="n">
        <x:v>6769</x:v>
      </x:c>
      <x:c r="C1918" s="49" t="str">
        <x:v>Rasiklal M. Dhariwal Sinhgad Technical Institutes Campus, Warje, Pune.</x:v>
      </x:c>
      <x:c r="D1918" s="72" t="n">
        <x:v>676919110</x:v>
      </x:c>
      <x:c r="E1918" s="49" t="str">
        <x:v>Civil Engineering</x:v>
      </x:c>
      <x:c r="F1918" s="73" t="n">
        <x:v>35</x:v>
      </x:c>
      <x:c r="G1918" s="73" t="n">
        <x:v>25</x:v>
      </x:c>
      <x:c r="H1918" s="73" t="n">
        <x:v>10</x:v>
      </x:c>
      <x:c r="I1918" s="73"/>
      <x:c r="J1918" s="73" t="n">
        <x:v>0</x:v>
      </x:c>
      <x:c r="K1918" s="49" t="str">
        <x:v>Un-Aided</x:v>
      </x:c>
      <x:c r="L1918" s="49" t="str">
        <x:v>MS Seats : 25+ EWS : 10</x:v>
      </x:c>
      <x:c r="M1918" s="49" t="str">
        <x:v>https://dse2025.mahacet.org.in/dse25/admin/allotment/cap2/6769_4.pdf</x:v>
      </x:c>
    </x:row>
    <x:row r="1919">
      <x:c r="A1919" s="49" t="str">
        <x:v>2025-26</x:v>
      </x:c>
      <x:c r="B1919" s="63" t="n">
        <x:v>6769</x:v>
      </x:c>
      <x:c r="C1919" s="49" t="str">
        <x:v>Rasiklal M. Dhariwal Sinhgad Technical Institutes Campus, Warje, Pune.</x:v>
      </x:c>
      <x:c r="D1919" s="72" t="n">
        <x:v>676924510</x:v>
      </x:c>
      <x:c r="E1919" s="49" t="str">
        <x:v>Computer Engineering</x:v>
      </x:c>
      <x:c r="F1919" s="73" t="n">
        <x:v>15</x:v>
      </x:c>
      <x:c r="G1919" s="73" t="n">
        <x:v>13</x:v>
      </x:c>
      <x:c r="H1919" s="73" t="n">
        <x:v>2</x:v>
      </x:c>
      <x:c r="I1919" s="73"/>
      <x:c r="J1919" s="73" t="n">
        <x:v>0</x:v>
      </x:c>
      <x:c r="K1919" s="49" t="str">
        <x:v>Un-Aided</x:v>
      </x:c>
      <x:c r="L1919" s="49" t="str">
        <x:v>MS Seats : 13+ EWS : 2</x:v>
      </x:c>
      <x:c r="M1919" s="49" t="str">
        <x:v>https://dse2025.mahacet.org.in/dse25/admin/allotment/cap2/6769_4.pdf</x:v>
      </x:c>
    </x:row>
    <x:row r="1920">
      <x:c r="A1920" s="49" t="str">
        <x:v>2025-26</x:v>
      </x:c>
      <x:c r="B1920" s="63" t="n">
        <x:v>6769</x:v>
      </x:c>
      <x:c r="C1920" s="49" t="str">
        <x:v>Rasiklal M. Dhariwal Sinhgad Technical Institutes Campus, Warje, Pune.</x:v>
      </x:c>
      <x:c r="D1920" s="72" t="n">
        <x:v>676924610</x:v>
      </x:c>
      <x:c r="E1920" s="49" t="str">
        <x:v>Information Technology</x:v>
      </x:c>
      <x:c r="F1920" s="73" t="n">
        <x:v>9</x:v>
      </x:c>
      <x:c r="G1920" s="73" t="n">
        <x:v>7</x:v>
      </x:c>
      <x:c r="H1920" s="73" t="n">
        <x:v>2</x:v>
      </x:c>
      <x:c r="I1920" s="73"/>
      <x:c r="J1920" s="73" t="n">
        <x:v>0</x:v>
      </x:c>
      <x:c r="K1920" s="49" t="str">
        <x:v>Un-Aided</x:v>
      </x:c>
      <x:c r="L1920" s="49" t="str">
        <x:v>MS Seats : 7+ EWS : 2</x:v>
      </x:c>
      <x:c r="M1920" s="49" t="str">
        <x:v>https://dse2025.mahacet.org.in/dse25/admin/allotment/cap2/6769_4.pdf</x:v>
      </x:c>
    </x:row>
    <x:row r="1921">
      <x:c r="A1921" s="49" t="str">
        <x:v>2025-26</x:v>
      </x:c>
      <x:c r="B1921" s="63" t="n">
        <x:v>6769</x:v>
      </x:c>
      <x:c r="C1921" s="49" t="str">
        <x:v>Rasiklal M. Dhariwal Sinhgad Technical Institutes Campus, Warje, Pune.</x:v>
      </x:c>
      <x:c r="D1921" s="72" t="n">
        <x:v>676937210</x:v>
      </x:c>
      <x:c r="E1921" s="49" t="str">
        <x:v>Electronics and Telecommunication Engg</x:v>
      </x:c>
      <x:c r="F1921" s="73" t="n">
        <x:v>10</x:v>
      </x:c>
      <x:c r="G1921" s="73" t="n">
        <x:v>7</x:v>
      </x:c>
      <x:c r="H1921" s="73" t="n">
        <x:v>3</x:v>
      </x:c>
      <x:c r="I1921" s="73"/>
      <x:c r="J1921" s="73" t="n">
        <x:v>0</x:v>
      </x:c>
      <x:c r="K1921" s="49" t="str">
        <x:v>Un-Aided</x:v>
      </x:c>
      <x:c r="L1921" s="49" t="str">
        <x:v>MS Seats : 7+ EWS : 3</x:v>
      </x:c>
      <x:c r="M1921" s="49" t="str">
        <x:v>https://dse2025.mahacet.org.in/dse25/admin/allotment/cap2/6769_4.pdf</x:v>
      </x:c>
    </x:row>
    <x:row r="1922">
      <x:c r="A1922" s="49" t="str">
        <x:v>2025-26</x:v>
      </x:c>
      <x:c r="B1922" s="63" t="n">
        <x:v>6769</x:v>
      </x:c>
      <x:c r="C1922" s="49" t="str">
        <x:v>Rasiklal M. Dhariwal Sinhgad Technical Institutes Campus, Warje, Pune.</x:v>
      </x:c>
      <x:c r="D1922" s="72" t="n">
        <x:v>676961210</x:v>
      </x:c>
      <x:c r="E1922" s="49" t="str">
        <x:v>Mechanical Engineering</x:v>
      </x:c>
      <x:c r="F1922" s="73" t="n">
        <x:v>58</x:v>
      </x:c>
      <x:c r="G1922" s="73" t="n">
        <x:v>42</x:v>
      </x:c>
      <x:c r="H1922" s="73" t="n">
        <x:v>16</x:v>
      </x:c>
      <x:c r="I1922" s="73"/>
      <x:c r="J1922" s="73" t="n">
        <x:v>0</x:v>
      </x:c>
      <x:c r="K1922" s="49" t="str">
        <x:v>Un-Aided</x:v>
      </x:c>
      <x:c r="L1922" s="49" t="str">
        <x:v>MS Seats : 42+ EWS : 16</x:v>
      </x:c>
      <x:c r="M1922" s="49" t="str">
        <x:v>https://dse2025.mahacet.org.in/dse25/admin/allotment/cap2/6769_4.pdf</x:v>
      </x:c>
    </x:row>
    <x:row r="1923">
      <x:c r="A1923" s="49" t="str">
        <x:v>2025-26</x:v>
      </x:c>
      <x:c r="B1923" s="63" t="n">
        <x:v>6770</x:v>
      </x:c>
      <x:c r="C1923" s="49" t="str">
        <x:v>SKN Sinhgad Institute of Technology &amp; Science, Kusgaon(BK),Pune.</x:v>
      </x:c>
      <x:c r="D1923" s="72" t="n">
        <x:v>677024510</x:v>
      </x:c>
      <x:c r="E1923" s="49" t="str">
        <x:v>Computer Engineering</x:v>
      </x:c>
      <x:c r="F1923" s="73" t="n">
        <x:v>19</x:v>
      </x:c>
      <x:c r="G1923" s="73" t="n">
        <x:v>13</x:v>
      </x:c>
      <x:c r="H1923" s="73" t="n">
        <x:v>6</x:v>
      </x:c>
      <x:c r="I1923" s="73"/>
      <x:c r="J1923" s="73" t="n">
        <x:v>0</x:v>
      </x:c>
      <x:c r="K1923" s="49" t="str">
        <x:v>Un-Aided</x:v>
      </x:c>
      <x:c r="L1923" s="49" t="str">
        <x:v>MS Seats : 13+ EWS : 6</x:v>
      </x:c>
      <x:c r="M1923" s="49" t="str">
        <x:v>https://dse2025.mahacet.org.in/dse25/admin/allotment/cap2/6770_4.pdf</x:v>
      </x:c>
    </x:row>
    <x:row r="1924">
      <x:c r="A1924" s="49" t="str">
        <x:v>2025-26</x:v>
      </x:c>
      <x:c r="B1924" s="63" t="n">
        <x:v>6770</x:v>
      </x:c>
      <x:c r="C1924" s="49" t="str">
        <x:v>SKN Sinhgad Institute of Technology &amp; Science, Kusgaon(BK),Pune.</x:v>
      </x:c>
      <x:c r="D1924" s="72" t="n">
        <x:v>677024610</x:v>
      </x:c>
      <x:c r="E1924" s="49" t="str">
        <x:v>Information Technology</x:v>
      </x:c>
      <x:c r="F1924" s="73" t="n">
        <x:v>9</x:v>
      </x:c>
      <x:c r="G1924" s="73" t="n">
        <x:v>7</x:v>
      </x:c>
      <x:c r="H1924" s="73" t="n">
        <x:v>2</x:v>
      </x:c>
      <x:c r="I1924" s="73"/>
      <x:c r="J1924" s="73" t="n">
        <x:v>0</x:v>
      </x:c>
      <x:c r="K1924" s="49" t="str">
        <x:v>Un-Aided</x:v>
      </x:c>
      <x:c r="L1924" s="49" t="str">
        <x:v>MS Seats : 7+ EWS : 2</x:v>
      </x:c>
      <x:c r="M1924" s="49" t="str">
        <x:v>https://dse2025.mahacet.org.in/dse25/admin/allotment/cap2/6770_4.pdf</x:v>
      </x:c>
    </x:row>
    <x:row r="1925">
      <x:c r="A1925" s="49" t="str">
        <x:v>2025-26</x:v>
      </x:c>
      <x:c r="B1925" s="63" t="n">
        <x:v>6770</x:v>
      </x:c>
      <x:c r="C1925" s="49" t="str">
        <x:v>SKN Sinhgad Institute of Technology &amp; Science, Kusgaon(BK),Pune.</x:v>
      </x:c>
      <x:c r="D1925" s="72" t="n">
        <x:v>677061210</x:v>
      </x:c>
      <x:c r="E1925" s="49" t="str">
        <x:v>Mechanical Engineering</x:v>
      </x:c>
      <x:c r="F1925" s="73" t="n">
        <x:v>21</x:v>
      </x:c>
      <x:c r="G1925" s="73" t="n">
        <x:v>18</x:v>
      </x:c>
      <x:c r="H1925" s="73" t="n">
        <x:v>3</x:v>
      </x:c>
      <x:c r="I1925" s="73"/>
      <x:c r="J1925" s="73" t="n">
        <x:v>0</x:v>
      </x:c>
      <x:c r="K1925" s="49" t="str">
        <x:v>Un-Aided</x:v>
      </x:c>
      <x:c r="L1925" s="49" t="str">
        <x:v>MS Seats : 18+ EWS : 3</x:v>
      </x:c>
      <x:c r="M1925" s="49" t="str">
        <x:v>https://dse2025.mahacet.org.in/dse25/admin/allotment/cap2/6770_4.pdf</x:v>
      </x:c>
    </x:row>
    <x:row r="1926">
      <x:c r="A1926" s="49" t="str">
        <x:v>2025-26</x:v>
      </x:c>
      <x:c r="B1926" s="63" t="n">
        <x:v>6771</x:v>
      </x:c>
      <x:c r="C1926" s="49" t="str">
        <x:v>Flora Institute of Technology, Khopi, Near Khed Shivapur Toll Plaza, Pune</x:v>
      </x:c>
      <x:c r="D1926" s="72" t="n">
        <x:v>677119110</x:v>
      </x:c>
      <x:c r="E1926" s="49" t="str">
        <x:v>Civil Engineering</x:v>
      </x:c>
      <x:c r="F1926" s="73" t="n">
        <x:v>37</x:v>
      </x:c>
      <x:c r="G1926" s="73" t="n">
        <x:v>34</x:v>
      </x:c>
      <x:c r="H1926" s="73" t="n">
        <x:v>3</x:v>
      </x:c>
      <x:c r="I1926" s="73"/>
      <x:c r="J1926" s="73" t="n">
        <x:v>0</x:v>
      </x:c>
      <x:c r="K1926" s="49" t="str">
        <x:v>Un-Aided</x:v>
      </x:c>
      <x:c r="L1926" s="49" t="str">
        <x:v>MS Seats : 34+ EWS : 3</x:v>
      </x:c>
      <x:c r="M1926" s="49" t="str">
        <x:v>https://dse2025.mahacet.org.in/dse25/admin/allotment/cap2/6771_4.pdf</x:v>
      </x:c>
    </x:row>
    <x:row r="1927">
      <x:c r="A1927" s="49" t="str">
        <x:v>2025-26</x:v>
      </x:c>
      <x:c r="B1927" s="63" t="n">
        <x:v>6771</x:v>
      </x:c>
      <x:c r="C1927" s="49" t="str">
        <x:v>Flora Institute of Technology, Khopi, Near Khed Shivapur Toll Plaza, Pune</x:v>
      </x:c>
      <x:c r="D1927" s="72" t="n">
        <x:v>677124510</x:v>
      </x:c>
      <x:c r="E1927" s="49" t="str">
        <x:v>Computer Engineering</x:v>
      </x:c>
      <x:c r="F1927" s="73" t="n">
        <x:v>58</x:v>
      </x:c>
      <x:c r="G1927" s="73" t="n">
        <x:v>51</x:v>
      </x:c>
      <x:c r="H1927" s="73" t="n">
        <x:v>7</x:v>
      </x:c>
      <x:c r="I1927" s="73"/>
      <x:c r="J1927" s="73" t="n">
        <x:v>0</x:v>
      </x:c>
      <x:c r="K1927" s="49" t="str">
        <x:v>Un-Aided</x:v>
      </x:c>
      <x:c r="L1927" s="49" t="str">
        <x:v>MS Seats : 51+ EWS : 7</x:v>
      </x:c>
      <x:c r="M1927" s="49" t="str">
        <x:v>https://dse2025.mahacet.org.in/dse25/admin/allotment/cap2/6771_4.pdf</x:v>
      </x:c>
    </x:row>
    <x:row r="1928">
      <x:c r="A1928" s="49" t="str">
        <x:v>2025-26</x:v>
      </x:c>
      <x:c r="B1928" s="63" t="n">
        <x:v>6771</x:v>
      </x:c>
      <x:c r="C1928" s="49" t="str">
        <x:v>Flora Institute of Technology, Khopi, Near Khed Shivapur Toll Plaza, Pune</x:v>
      </x:c>
      <x:c r="D1928" s="72" t="n">
        <x:v>677161210</x:v>
      </x:c>
      <x:c r="E1928" s="49" t="str">
        <x:v>Mechanical Engineering</x:v>
      </x:c>
      <x:c r="F1928" s="73" t="n">
        <x:v>68</x:v>
      </x:c>
      <x:c r="G1928" s="73" t="n">
        <x:v>61</x:v>
      </x:c>
      <x:c r="H1928" s="73" t="n">
        <x:v>7</x:v>
      </x:c>
      <x:c r="I1928" s="73"/>
      <x:c r="J1928" s="73" t="n">
        <x:v>0</x:v>
      </x:c>
      <x:c r="K1928" s="49" t="str">
        <x:v>Un-Aided</x:v>
      </x:c>
      <x:c r="L1928" s="49" t="str">
        <x:v>MS Seats : 61+ EWS : 7</x:v>
      </x:c>
      <x:c r="M1928" s="49" t="str">
        <x:v>https://dse2025.mahacet.org.in/dse25/admin/allotment/cap2/6771_4.pdf</x:v>
      </x:c>
    </x:row>
    <x:row r="1929">
      <x:c r="A1929" s="49" t="str">
        <x:v>2025-26</x:v>
      </x:c>
      <x:c r="B1929" s="63" t="n">
        <x:v>6772</x:v>
      </x:c>
      <x:c r="C1929" s="49" t="str">
        <x:v>NBN Sinhgad Technical Institutes Campus, Pune</x:v>
      </x:c>
      <x:c r="D1929" s="72" t="n">
        <x:v>677224510</x:v>
      </x:c>
      <x:c r="E1929" s="49" t="str">
        <x:v>Computer Engineering</x:v>
      </x:c>
      <x:c r="F1929" s="73" t="n">
        <x:v>16</x:v>
      </x:c>
      <x:c r="G1929" s="73" t="n">
        <x:v>13</x:v>
      </x:c>
      <x:c r="H1929" s="73" t="n">
        <x:v>3</x:v>
      </x:c>
      <x:c r="I1929" s="73"/>
      <x:c r="J1929" s="73" t="n">
        <x:v>0</x:v>
      </x:c>
      <x:c r="K1929" s="49" t="str">
        <x:v>Un-Aided</x:v>
      </x:c>
      <x:c r="L1929" s="49" t="str">
        <x:v>MS Seats : 13+ EWS : 3</x:v>
      </x:c>
      <x:c r="M1929" s="49" t="str">
        <x:v>https://dse2025.mahacet.org.in/dse25/admin/allotment/cap2/6772_4.pdf</x:v>
      </x:c>
    </x:row>
    <x:row r="1930">
      <x:c r="A1930" s="49" t="str">
        <x:v>2025-26</x:v>
      </x:c>
      <x:c r="B1930" s="63" t="n">
        <x:v>6772</x:v>
      </x:c>
      <x:c r="C1930" s="49" t="str">
        <x:v>NBN Sinhgad Technical Institutes Campus, Pune</x:v>
      </x:c>
      <x:c r="D1930" s="72" t="n">
        <x:v>677224610</x:v>
      </x:c>
      <x:c r="E1930" s="49" t="str">
        <x:v>Information Technology</x:v>
      </x:c>
      <x:c r="F1930" s="73" t="n">
        <x:v>9</x:v>
      </x:c>
      <x:c r="G1930" s="73" t="n">
        <x:v>7</x:v>
      </x:c>
      <x:c r="H1930" s="73" t="n">
        <x:v>2</x:v>
      </x:c>
      <x:c r="I1930" s="73"/>
      <x:c r="J1930" s="73" t="n">
        <x:v>0</x:v>
      </x:c>
      <x:c r="K1930" s="49" t="str">
        <x:v>Un-Aided</x:v>
      </x:c>
      <x:c r="L1930" s="49" t="str">
        <x:v>MS Seats : 7+ EWS : 2</x:v>
      </x:c>
      <x:c r="M1930" s="49" t="str">
        <x:v>https://dse2025.mahacet.org.in/dse25/admin/allotment/cap2/6772_4.pdf</x:v>
      </x:c>
    </x:row>
    <x:row r="1931">
      <x:c r="A1931" s="49" t="str">
        <x:v>2025-26</x:v>
      </x:c>
      <x:c r="B1931" s="63" t="n">
        <x:v>6772</x:v>
      </x:c>
      <x:c r="C1931" s="49" t="str">
        <x:v>NBN Sinhgad Technical Institutes Campus, Pune</x:v>
      </x:c>
      <x:c r="D1931" s="72" t="n">
        <x:v>677229310</x:v>
      </x:c>
      <x:c r="E1931" s="49" t="str">
        <x:v>Electrical Engineering</x:v>
      </x:c>
      <x:c r="F1931" s="73" t="n">
        <x:v>11</x:v>
      </x:c>
      <x:c r="G1931" s="73" t="n">
        <x:v>9</x:v>
      </x:c>
      <x:c r="H1931" s="73" t="n">
        <x:v>2</x:v>
      </x:c>
      <x:c r="I1931" s="73"/>
      <x:c r="J1931" s="73" t="n">
        <x:v>0</x:v>
      </x:c>
      <x:c r="K1931" s="49" t="str">
        <x:v>Un-Aided</x:v>
      </x:c>
      <x:c r="L1931" s="49" t="str">
        <x:v>MS Seats : 9+ EWS : 2</x:v>
      </x:c>
      <x:c r="M1931" s="49" t="str">
        <x:v>https://dse2025.mahacet.org.in/dse25/admin/allotment/cap2/6772_4.pdf</x:v>
      </x:c>
    </x:row>
    <x:row r="1932">
      <x:c r="A1932" s="49" t="str">
        <x:v>2025-26</x:v>
      </x:c>
      <x:c r="B1932" s="63" t="n">
        <x:v>6772</x:v>
      </x:c>
      <x:c r="C1932" s="49" t="str">
        <x:v>NBN Sinhgad Technical Institutes Campus, Pune</x:v>
      </x:c>
      <x:c r="D1932" s="72" t="n">
        <x:v>677237210</x:v>
      </x:c>
      <x:c r="E1932" s="49" t="str">
        <x:v>Electronics and Telecommunication Engg</x:v>
      </x:c>
      <x:c r="F1932" s="73" t="n">
        <x:v>11</x:v>
      </x:c>
      <x:c r="G1932" s="73" t="n">
        <x:v>9</x:v>
      </x:c>
      <x:c r="H1932" s="73" t="n">
        <x:v>2</x:v>
      </x:c>
      <x:c r="I1932" s="73"/>
      <x:c r="J1932" s="73" t="n">
        <x:v>0</x:v>
      </x:c>
      <x:c r="K1932" s="49" t="str">
        <x:v>Un-Aided</x:v>
      </x:c>
      <x:c r="L1932" s="49" t="str">
        <x:v>MS Seats : 9+ EWS : 2</x:v>
      </x:c>
      <x:c r="M1932" s="49" t="str">
        <x:v>https://dse2025.mahacet.org.in/dse25/admin/allotment/cap2/6772_4.pdf</x:v>
      </x:c>
    </x:row>
    <x:row r="1933">
      <x:c r="A1933" s="49" t="str">
        <x:v>2025-26</x:v>
      </x:c>
      <x:c r="B1933" s="63" t="n">
        <x:v>6772</x:v>
      </x:c>
      <x:c r="C1933" s="49" t="str">
        <x:v>NBN Sinhgad Technical Institutes Campus, Pune</x:v>
      </x:c>
      <x:c r="D1933" s="72" t="n">
        <x:v>677261210</x:v>
      </x:c>
      <x:c r="E1933" s="49" t="str">
        <x:v>Mechanical Engineering</x:v>
      </x:c>
      <x:c r="F1933" s="73" t="n">
        <x:v>49</x:v>
      </x:c>
      <x:c r="G1933" s="73" t="n">
        <x:v>33</x:v>
      </x:c>
      <x:c r="H1933" s="73" t="n">
        <x:v>16</x:v>
      </x:c>
      <x:c r="I1933" s="73"/>
      <x:c r="J1933" s="73" t="n">
        <x:v>0</x:v>
      </x:c>
      <x:c r="K1933" s="49" t="str">
        <x:v>Un-Aided</x:v>
      </x:c>
      <x:c r="L1933" s="49" t="str">
        <x:v>MS Seats : 33+ EWS : 16</x:v>
      </x:c>
      <x:c r="M1933" s="49" t="str">
        <x:v>https://dse2025.mahacet.org.in/dse25/admin/allotment/cap2/6772_4.pdf</x:v>
      </x:c>
    </x:row>
    <x:row r="1934">
      <x:c r="A1934" s="49" t="str">
        <x:v>2025-26</x:v>
      </x:c>
      <x:c r="B1934" s="63" t="n">
        <x:v>6780</x:v>
      </x:c>
      <x:c r="C1934" s="49" t="str">
        <x:v>D.Y.Patil Education Society's,D.Y.Patil Technical Campus, Faculty of Engineering &amp; Faculty of Management,Talsande,Kolhapur.</x:v>
      </x:c>
      <x:c r="D1934" s="72" t="n">
        <x:v>678019110</x:v>
      </x:c>
      <x:c r="E1934" s="49" t="str">
        <x:v>Civil Engineering</x:v>
      </x:c>
      <x:c r="F1934" s="73" t="n">
        <x:v>11</x:v>
      </x:c>
      <x:c r="G1934" s="73" t="n">
        <x:v>11</x:v>
      </x:c>
      <x:c r="H1934" s="73" t="n">
        <x:v>0</x:v>
      </x:c>
      <x:c r="I1934" s="73"/>
      <x:c r="J1934" s="73" t="n">
        <x:v>0</x:v>
      </x:c>
      <x:c r="K1934" s="49" t="str">
        <x:v>Un-Aided Autonomous</x:v>
      </x:c>
      <x:c r="L1934" s="49" t="str">
        <x:v>MS Seats : 11+ EWS : 0</x:v>
      </x:c>
      <x:c r="M1934" s="49" t="str">
        <x:v>https://dse2025.mahacet.org.in/dse25/admin/allotment/cap2/6780_4.pdf</x:v>
      </x:c>
    </x:row>
    <x:row r="1935">
      <x:c r="A1935" s="49" t="str">
        <x:v>2025-26</x:v>
      </x:c>
      <x:c r="B1935" s="63" t="n">
        <x:v>6780</x:v>
      </x:c>
      <x:c r="C1935" s="49" t="str">
        <x:v>D.Y.Patil Education Society's,D.Y.Patil Technical Campus, Faculty of Engineering &amp; Faculty of Management,Talsande,Kolhapur.</x:v>
      </x:c>
      <x:c r="D1935" s="72" t="n">
        <x:v>678024210</x:v>
      </x:c>
      <x:c r="E1935" s="49" t="str">
        <x:v>Computer Science and Engineering</x:v>
      </x:c>
      <x:c r="F1935" s="73" t="n">
        <x:v>27</x:v>
      </x:c>
      <x:c r="G1935" s="73" t="n">
        <x:v>23</x:v>
      </x:c>
      <x:c r="H1935" s="73" t="n">
        <x:v>4</x:v>
      </x:c>
      <x:c r="I1935" s="73"/>
      <x:c r="J1935" s="73" t="n">
        <x:v>0</x:v>
      </x:c>
      <x:c r="K1935" s="49" t="str">
        <x:v>Un-Aided Autonomous</x:v>
      </x:c>
      <x:c r="L1935" s="49" t="str">
        <x:v>MS Seats : 23+ EWS : 4</x:v>
      </x:c>
      <x:c r="M1935" s="49" t="str">
        <x:v>https://dse2025.mahacet.org.in/dse25/admin/allotment/cap2/6780_4.pdf</x:v>
      </x:c>
    </x:row>
    <x:row r="1936">
      <x:c r="A1936" s="49" t="str">
        <x:v>2025-26</x:v>
      </x:c>
      <x:c r="B1936" s="63" t="n">
        <x:v>6780</x:v>
      </x:c>
      <x:c r="C1936" s="49" t="str">
        <x:v>D.Y.Patil Education Society's,D.Y.Patil Technical Campus, Faculty of Engineering &amp; Faculty of Management,Talsande,Kolhapur.</x:v>
      </x:c>
      <x:c r="D1936" s="72" t="n">
        <x:v>678029310</x:v>
      </x:c>
      <x:c r="E1936" s="49" t="str">
        <x:v>Electrical Engineering</x:v>
      </x:c>
      <x:c r="F1936" s="73" t="n">
        <x:v>15</x:v>
      </x:c>
      <x:c r="G1936" s="73" t="n">
        <x:v>14</x:v>
      </x:c>
      <x:c r="H1936" s="73" t="n">
        <x:v>1</x:v>
      </x:c>
      <x:c r="I1936" s="73"/>
      <x:c r="J1936" s="73" t="n">
        <x:v>0</x:v>
      </x:c>
      <x:c r="K1936" s="49" t="str">
        <x:v>Un-Aided Autonomous</x:v>
      </x:c>
      <x:c r="L1936" s="49" t="str">
        <x:v>MS Seats : 14+ EWS : 1</x:v>
      </x:c>
      <x:c r="M1936" s="49" t="str">
        <x:v>https://dse2025.mahacet.org.in/dse25/admin/allotment/cap2/6780_4.pdf</x:v>
      </x:c>
    </x:row>
    <x:row r="1937">
      <x:c r="A1937" s="49" t="str">
        <x:v>2025-26</x:v>
      </x:c>
      <x:c r="B1937" s="63" t="n">
        <x:v>6780</x:v>
      </x:c>
      <x:c r="C1937" s="49" t="str">
        <x:v>D.Y.Patil Education Society's,D.Y.Patil Technical Campus, Faculty of Engineering &amp; Faculty of Management,Talsande,Kolhapur.</x:v>
      </x:c>
      <x:c r="D1937" s="72" t="n">
        <x:v>678061210</x:v>
      </x:c>
      <x:c r="E1937" s="49" t="str">
        <x:v>Mechanical Engineering</x:v>
      </x:c>
      <x:c r="F1937" s="73" t="n">
        <x:v>13</x:v>
      </x:c>
      <x:c r="G1937" s="73" t="n">
        <x:v>11</x:v>
      </x:c>
      <x:c r="H1937" s="73" t="n">
        <x:v>2</x:v>
      </x:c>
      <x:c r="I1937" s="73"/>
      <x:c r="J1937" s="73" t="n">
        <x:v>0</x:v>
      </x:c>
      <x:c r="K1937" s="49" t="str">
        <x:v>Un-Aided Autonomous</x:v>
      </x:c>
      <x:c r="L1937" s="49" t="str">
        <x:v>MS Seats : 11+ EWS : 2</x:v>
      </x:c>
      <x:c r="M1937" s="49" t="str">
        <x:v>https://dse2025.mahacet.org.in/dse25/admin/allotment/cap2/6780_4.pdf</x:v>
      </x:c>
    </x:row>
    <x:row r="1938">
      <x:c r="A1938" s="49" t="str">
        <x:v>2025-26</x:v>
      </x:c>
      <x:c r="B1938" s="63" t="n">
        <x:v>6780</x:v>
      </x:c>
      <x:c r="C1938" s="49" t="str">
        <x:v>D.Y.Patil Education Society's,D.Y.Patil Technical Campus, Faculty of Engineering &amp; Faculty of Management,Talsande,Kolhapur.</x:v>
      </x:c>
      <x:c r="D1938" s="72" t="n">
        <x:v>678091210</x:v>
      </x:c>
      <x:c r="E1938" s="49" t="str">
        <x:v>Computer Science and Engineering(Data Science)</x:v>
      </x:c>
      <x:c r="F1938" s="73" t="n">
        <x:v>14</x:v>
      </x:c>
      <x:c r="G1938" s="73" t="n">
        <x:v>12</x:v>
      </x:c>
      <x:c r="H1938" s="73" t="n">
        <x:v>2</x:v>
      </x:c>
      <x:c r="I1938" s="73"/>
      <x:c r="J1938" s="73" t="n">
        <x:v>0</x:v>
      </x:c>
      <x:c r="K1938" s="49" t="str">
        <x:v>Un-Aided Autonomous</x:v>
      </x:c>
      <x:c r="L1938" s="49" t="str">
        <x:v>MS Seats : 12+ EWS : 2</x:v>
      </x:c>
      <x:c r="M1938" s="49" t="str">
        <x:v>https://dse2025.mahacet.org.in/dse25/admin/allotment/cap2/6780_4.pdf</x:v>
      </x:c>
    </x:row>
    <x:row r="1939">
      <x:c r="A1939" s="49" t="str">
        <x:v>2025-26</x:v>
      </x:c>
      <x:c r="B1939" s="63" t="n">
        <x:v>6781</x:v>
      </x:c>
      <x:c r="C1939" s="49" t="str">
        <x:v>Bhagwant Institute of Technology, Barshi</x:v>
      </x:c>
      <x:c r="D1939" s="72" t="n">
        <x:v>678119110</x:v>
      </x:c>
      <x:c r="E1939" s="49" t="str">
        <x:v>Civil Engineering</x:v>
      </x:c>
      <x:c r="F1939" s="73" t="n">
        <x:v>69</x:v>
      </x:c>
      <x:c r="G1939" s="73" t="n">
        <x:v>62</x:v>
      </x:c>
      <x:c r="H1939" s="73" t="n">
        <x:v>7</x:v>
      </x:c>
      <x:c r="I1939" s="73"/>
      <x:c r="J1939" s="73" t="n">
        <x:v>0</x:v>
      </x:c>
      <x:c r="K1939" s="49" t="str">
        <x:v>Un-Aided</x:v>
      </x:c>
      <x:c r="L1939" s="49" t="str">
        <x:v>MS Seats : 62+ EWS : 7</x:v>
      </x:c>
      <x:c r="M1939" s="49" t="str">
        <x:v>https://dse2025.mahacet.org.in/dse25/admin/allotment/cap2/6781_4.pdf</x:v>
      </x:c>
    </x:row>
    <x:row r="1940">
      <x:c r="A1940" s="49" t="str">
        <x:v>2025-26</x:v>
      </x:c>
      <x:c r="B1940" s="63" t="n">
        <x:v>6781</x:v>
      </x:c>
      <x:c r="C1940" s="49" t="str">
        <x:v>Bhagwant Institute of Technology, Barshi</x:v>
      </x:c>
      <x:c r="D1940" s="72" t="n">
        <x:v>678124210</x:v>
      </x:c>
      <x:c r="E1940" s="49" t="str">
        <x:v>Computer Science and Engineering</x:v>
      </x:c>
      <x:c r="F1940" s="73" t="n">
        <x:v>29</x:v>
      </x:c>
      <x:c r="G1940" s="73" t="n">
        <x:v>24</x:v>
      </x:c>
      <x:c r="H1940" s="73" t="n">
        <x:v>5</x:v>
      </x:c>
      <x:c r="I1940" s="73"/>
      <x:c r="J1940" s="73" t="n">
        <x:v>0</x:v>
      </x:c>
      <x:c r="K1940" s="49" t="str">
        <x:v>Un-Aided</x:v>
      </x:c>
      <x:c r="L1940" s="49" t="str">
        <x:v>MS Seats : 24+ EWS : 5</x:v>
      </x:c>
      <x:c r="M1940" s="49" t="str">
        <x:v>https://dse2025.mahacet.org.in/dse25/admin/allotment/cap2/6781_4.pdf</x:v>
      </x:c>
    </x:row>
    <x:row r="1941">
      <x:c r="A1941" s="49" t="str">
        <x:v>2025-26</x:v>
      </x:c>
      <x:c r="B1941" s="63" t="n">
        <x:v>6781</x:v>
      </x:c>
      <x:c r="C1941" s="49" t="str">
        <x:v>Bhagwant Institute of Technology, Barshi</x:v>
      </x:c>
      <x:c r="D1941" s="72" t="n">
        <x:v>678137210</x:v>
      </x:c>
      <x:c r="E1941" s="49" t="str">
        <x:v>Electronics and Telecommunication Engg</x:v>
      </x:c>
      <x:c r="F1941" s="73" t="n">
        <x:v>69</x:v>
      </x:c>
      <x:c r="G1941" s="73" t="n">
        <x:v>62</x:v>
      </x:c>
      <x:c r="H1941" s="73" t="n">
        <x:v>7</x:v>
      </x:c>
      <x:c r="I1941" s="73"/>
      <x:c r="J1941" s="73" t="n">
        <x:v>0</x:v>
      </x:c>
      <x:c r="K1941" s="49" t="str">
        <x:v>Un-Aided</x:v>
      </x:c>
      <x:c r="L1941" s="49" t="str">
        <x:v>MS Seats : 62+ EWS : 7</x:v>
      </x:c>
      <x:c r="M1941" s="49" t="str">
        <x:v>https://dse2025.mahacet.org.in/dse25/admin/allotment/cap2/6781_4.pdf</x:v>
      </x:c>
    </x:row>
    <x:row r="1942">
      <x:c r="A1942" s="49" t="str">
        <x:v>2025-26</x:v>
      </x:c>
      <x:c r="B1942" s="63" t="n">
        <x:v>6781</x:v>
      </x:c>
      <x:c r="C1942" s="49" t="str">
        <x:v>Bhagwant Institute of Technology, Barshi</x:v>
      </x:c>
      <x:c r="D1942" s="72" t="n">
        <x:v>678161210</x:v>
      </x:c>
      <x:c r="E1942" s="49" t="str">
        <x:v>Mechanical Engineering</x:v>
      </x:c>
      <x:c r="F1942" s="73" t="n">
        <x:v>71</x:v>
      </x:c>
      <x:c r="G1942" s="73" t="n">
        <x:v>64</x:v>
      </x:c>
      <x:c r="H1942" s="73" t="n">
        <x:v>7</x:v>
      </x:c>
      <x:c r="I1942" s="73"/>
      <x:c r="J1942" s="73" t="n">
        <x:v>0</x:v>
      </x:c>
      <x:c r="K1942" s="49" t="str">
        <x:v>Un-Aided</x:v>
      </x:c>
      <x:c r="L1942" s="49" t="str">
        <x:v>MS Seats : 64+ EWS : 7</x:v>
      </x:c>
      <x:c r="M1942" s="49" t="str">
        <x:v>https://dse2025.mahacet.org.in/dse25/admin/allotment/cap2/6781_4.pdf</x:v>
      </x:c>
    </x:row>
    <x:row r="1943">
      <x:c r="A1943" s="49" t="str">
        <x:v>2025-26</x:v>
      </x:c>
      <x:c r="B1943" s="63" t="n">
        <x:v>6782</x:v>
      </x:c>
      <x:c r="C1943" s="49" t="str">
        <x:v>Sahakar Maharshee Shankarrao Mohite Patil Institute of Technology &amp; Research, Akluj</x:v>
      </x:c>
      <x:c r="D1943" s="72" t="n">
        <x:v>678219110</x:v>
      </x:c>
      <x:c r="E1943" s="49" t="str">
        <x:v>Civil Engineering</x:v>
      </x:c>
      <x:c r="F1943" s="73" t="n">
        <x:v>51</x:v>
      </x:c>
      <x:c r="G1943" s="73" t="n">
        <x:v>44</x:v>
      </x:c>
      <x:c r="H1943" s="73" t="n">
        <x:v>7</x:v>
      </x:c>
      <x:c r="I1943" s="73"/>
      <x:c r="J1943" s="73" t="n">
        <x:v>0</x:v>
      </x:c>
      <x:c r="K1943" s="49" t="str">
        <x:v>Un-Aided</x:v>
      </x:c>
      <x:c r="L1943" s="49" t="str">
        <x:v>MS Seats : 44+ EWS : 7</x:v>
      </x:c>
      <x:c r="M1943" s="49" t="str">
        <x:v>https://dse2025.mahacet.org.in/dse25/admin/allotment/cap2/6782_4.pdf</x:v>
      </x:c>
    </x:row>
    <x:row r="1944">
      <x:c r="A1944" s="49" t="str">
        <x:v>2025-26</x:v>
      </x:c>
      <x:c r="B1944" s="63" t="n">
        <x:v>6782</x:v>
      </x:c>
      <x:c r="C1944" s="49" t="str">
        <x:v>Sahakar Maharshee Shankarrao Mohite Patil Institute of Technology &amp; Research, Akluj</x:v>
      </x:c>
      <x:c r="D1944" s="72" t="n">
        <x:v>678224210</x:v>
      </x:c>
      <x:c r="E1944" s="49" t="str">
        <x:v>Computer Science and Engineering</x:v>
      </x:c>
      <x:c r="F1944" s="73" t="n">
        <x:v>16</x:v>
      </x:c>
      <x:c r="G1944" s="73" t="n">
        <x:v>13</x:v>
      </x:c>
      <x:c r="H1944" s="73" t="n">
        <x:v>3</x:v>
      </x:c>
      <x:c r="I1944" s="73"/>
      <x:c r="J1944" s="73" t="n">
        <x:v>0</x:v>
      </x:c>
      <x:c r="K1944" s="49" t="str">
        <x:v>Un-Aided</x:v>
      </x:c>
      <x:c r="L1944" s="49" t="str">
        <x:v>MS Seats : 13+ EWS : 3</x:v>
      </x:c>
      <x:c r="M1944" s="49" t="str">
        <x:v>https://dse2025.mahacet.org.in/dse25/admin/allotment/cap2/6782_4.pdf</x:v>
      </x:c>
    </x:row>
    <x:row r="1945">
      <x:c r="A1945" s="49" t="str">
        <x:v>2025-26</x:v>
      </x:c>
      <x:c r="B1945" s="63" t="n">
        <x:v>6782</x:v>
      </x:c>
      <x:c r="C1945" s="49" t="str">
        <x:v>Sahakar Maharshee Shankarrao Mohite Patil Institute of Technology &amp; Research, Akluj</x:v>
      </x:c>
      <x:c r="D1945" s="72" t="n">
        <x:v>678229310</x:v>
      </x:c>
      <x:c r="E1945" s="49" t="str">
        <x:v>Electrical Engineering</x:v>
      </x:c>
      <x:c r="F1945" s="73" t="n">
        <x:v>41</x:v>
      </x:c>
      <x:c r="G1945" s="73" t="n">
        <x:v>34</x:v>
      </x:c>
      <x:c r="H1945" s="73" t="n">
        <x:v>7</x:v>
      </x:c>
      <x:c r="I1945" s="73"/>
      <x:c r="J1945" s="73" t="n">
        <x:v>0</x:v>
      </x:c>
      <x:c r="K1945" s="49" t="str">
        <x:v>Un-Aided</x:v>
      </x:c>
      <x:c r="L1945" s="49" t="str">
        <x:v>MS Seats : 34+ EWS : 7</x:v>
      </x:c>
      <x:c r="M1945" s="49" t="str">
        <x:v>https://dse2025.mahacet.org.in/dse25/admin/allotment/cap2/6782_4.pdf</x:v>
      </x:c>
    </x:row>
    <x:row r="1946">
      <x:c r="A1946" s="49" t="str">
        <x:v>2025-26</x:v>
      </x:c>
      <x:c r="B1946" s="63" t="n">
        <x:v>6782</x:v>
      </x:c>
      <x:c r="C1946" s="49" t="str">
        <x:v>Sahakar Maharshee Shankarrao Mohite Patil Institute of Technology &amp; Research, Akluj</x:v>
      </x:c>
      <x:c r="D1946" s="72" t="n">
        <x:v>678237210</x:v>
      </x:c>
      <x:c r="E1946" s="49" t="str">
        <x:v>Electronics and Telecommunication Engg</x:v>
      </x:c>
      <x:c r="F1946" s="73" t="n">
        <x:v>21</x:v>
      </x:c>
      <x:c r="G1946" s="73" t="n">
        <x:v>14</x:v>
      </x:c>
      <x:c r="H1946" s="73" t="n">
        <x:v>7</x:v>
      </x:c>
      <x:c r="I1946" s="73"/>
      <x:c r="J1946" s="73" t="n">
        <x:v>0</x:v>
      </x:c>
      <x:c r="K1946" s="49" t="str">
        <x:v>Un-Aided</x:v>
      </x:c>
      <x:c r="L1946" s="49" t="str">
        <x:v>MS Seats : 14+ EWS : 7</x:v>
      </x:c>
      <x:c r="M1946" s="49" t="str">
        <x:v>https://dse2025.mahacet.org.in/dse25/admin/allotment/cap2/6782_4.pdf</x:v>
      </x:c>
    </x:row>
    <x:row r="1947">
      <x:c r="A1947" s="49" t="str">
        <x:v>2025-26</x:v>
      </x:c>
      <x:c r="B1947" s="63" t="n">
        <x:v>6782</x:v>
      </x:c>
      <x:c r="C1947" s="49" t="str">
        <x:v>Sahakar Maharshee Shankarrao Mohite Patil Institute of Technology &amp; Research, Akluj</x:v>
      </x:c>
      <x:c r="D1947" s="72" t="n">
        <x:v>678261210</x:v>
      </x:c>
      <x:c r="E1947" s="49" t="str">
        <x:v>Mechanical Engineering</x:v>
      </x:c>
      <x:c r="F1947" s="73" t="n">
        <x:v>43</x:v>
      </x:c>
      <x:c r="G1947" s="73" t="n">
        <x:v>38</x:v>
      </x:c>
      <x:c r="H1947" s="73" t="n">
        <x:v>5</x:v>
      </x:c>
      <x:c r="I1947" s="73"/>
      <x:c r="J1947" s="73" t="n">
        <x:v>0</x:v>
      </x:c>
      <x:c r="K1947" s="49" t="str">
        <x:v>Un-Aided</x:v>
      </x:c>
      <x:c r="L1947" s="49" t="str">
        <x:v>MS Seats : 38+ EWS : 5</x:v>
      </x:c>
      <x:c r="M1947" s="49" t="str">
        <x:v>https://dse2025.mahacet.org.in/dse25/admin/allotment/cap2/6782_4.pdf</x:v>
      </x:c>
    </x:row>
    <x:row r="1948">
      <x:c r="A1948" s="49" t="str">
        <x:v>2025-26</x:v>
      </x:c>
      <x:c r="B1948" s="63" t="n">
        <x:v>6782</x:v>
      </x:c>
      <x:c r="C1948" s="49" t="str">
        <x:v>Sahakar Maharshee Shankarrao Mohite Patil Institute of Technology &amp; Research, Akluj</x:v>
      </x:c>
      <x:c r="D1948" s="72" t="n">
        <x:v>678299510</x:v>
      </x:c>
      <x:c r="E1948" s="49" t="str">
        <x:v>Artificial Intelligence and Data Science</x:v>
      </x:c>
      <x:c r="F1948" s="73" t="n">
        <x:v>7</x:v>
      </x:c>
      <x:c r="G1948" s="73" t="n">
        <x:v>6</x:v>
      </x:c>
      <x:c r="H1948" s="73" t="n">
        <x:v>1</x:v>
      </x:c>
      <x:c r="I1948" s="73"/>
      <x:c r="J1948" s="73" t="n">
        <x:v>0</x:v>
      </x:c>
      <x:c r="K1948" s="49" t="str">
        <x:v>Un-Aided</x:v>
      </x:c>
      <x:c r="L1948" s="49" t="str">
        <x:v>MS Seats : 6+ EWS : 1</x:v>
      </x:c>
      <x:c r="M1948" s="49" t="str">
        <x:v>https://dse2025.mahacet.org.in/dse25/admin/allotment/cap2/6782_4.pdf</x:v>
      </x:c>
    </x:row>
    <x:row r="1949">
      <x:c r="A1949" s="49" t="str">
        <x:v>2025-26</x:v>
      </x:c>
      <x:c r="B1949" s="63" t="n">
        <x:v>6794</x:v>
      </x:c>
      <x:c r="C1949" s="49" t="str">
        <x:v>Anantrao Pawar College of Engineering &amp; Research, Pune</x:v>
      </x:c>
      <x:c r="D1949" s="72" t="n">
        <x:v>679419110</x:v>
      </x:c>
      <x:c r="E1949" s="49" t="str">
        <x:v>Civil Engineering</x:v>
      </x:c>
      <x:c r="F1949" s="73" t="n">
        <x:v>32</x:v>
      </x:c>
      <x:c r="G1949" s="73" t="n">
        <x:v>27</x:v>
      </x:c>
      <x:c r="H1949" s="73" t="n">
        <x:v>5</x:v>
      </x:c>
      <x:c r="I1949" s="73"/>
      <x:c r="J1949" s="73" t="n">
        <x:v>0</x:v>
      </x:c>
      <x:c r="K1949" s="49" t="str">
        <x:v>Un-Aided</x:v>
      </x:c>
      <x:c r="L1949" s="49" t="str">
        <x:v>MS Seats : 27+ EWS : 5</x:v>
      </x:c>
      <x:c r="M1949" s="49" t="str">
        <x:v>https://dse2025.mahacet.org.in/dse25/admin/allotment/cap2/6794_4.pdf</x:v>
      </x:c>
    </x:row>
    <x:row r="1950">
      <x:c r="A1950" s="49" t="str">
        <x:v>2025-26</x:v>
      </x:c>
      <x:c r="B1950" s="63" t="n">
        <x:v>6794</x:v>
      </x:c>
      <x:c r="C1950" s="49" t="str">
        <x:v>Anantrao Pawar College of Engineering &amp; Research, Pune</x:v>
      </x:c>
      <x:c r="D1950" s="72" t="n">
        <x:v>679424510</x:v>
      </x:c>
      <x:c r="E1950" s="49" t="str">
        <x:v>Computer Engineering</x:v>
      </x:c>
      <x:c r="F1950" s="73" t="n">
        <x:v>12</x:v>
      </x:c>
      <x:c r="G1950" s="73" t="n">
        <x:v>10</x:v>
      </x:c>
      <x:c r="H1950" s="73" t="n">
        <x:v>2</x:v>
      </x:c>
      <x:c r="I1950" s="73"/>
      <x:c r="J1950" s="73" t="n">
        <x:v>0</x:v>
      </x:c>
      <x:c r="K1950" s="49" t="str">
        <x:v>Un-Aided</x:v>
      </x:c>
      <x:c r="L1950" s="49" t="str">
        <x:v>MS Seats : 10+ EWS : 2</x:v>
      </x:c>
      <x:c r="M1950" s="49" t="str">
        <x:v>https://dse2025.mahacet.org.in/dse25/admin/allotment/cap2/6794_4.pdf</x:v>
      </x:c>
    </x:row>
    <x:row r="1951">
      <x:c r="A1951" s="49" t="str">
        <x:v>2025-26</x:v>
      </x:c>
      <x:c r="B1951" s="63" t="n">
        <x:v>6794</x:v>
      </x:c>
      <x:c r="C1951" s="49" t="str">
        <x:v>Anantrao Pawar College of Engineering &amp; Research, Pune</x:v>
      </x:c>
      <x:c r="D1951" s="72" t="n">
        <x:v>679424610</x:v>
      </x:c>
      <x:c r="E1951" s="49" t="str">
        <x:v>Information Technology</x:v>
      </x:c>
      <x:c r="F1951" s="73" t="n">
        <x:v>12</x:v>
      </x:c>
      <x:c r="G1951" s="73" t="n">
        <x:v>9</x:v>
      </x:c>
      <x:c r="H1951" s="73" t="n">
        <x:v>3</x:v>
      </x:c>
      <x:c r="I1951" s="73"/>
      <x:c r="J1951" s="73" t="n">
        <x:v>0</x:v>
      </x:c>
      <x:c r="K1951" s="49" t="str">
        <x:v>Un-Aided</x:v>
      </x:c>
      <x:c r="L1951" s="49" t="str">
        <x:v>MS Seats : 9+ EWS : 3</x:v>
      </x:c>
      <x:c r="M1951" s="49" t="str">
        <x:v>https://dse2025.mahacet.org.in/dse25/admin/allotment/cap2/6794_4.pdf</x:v>
      </x:c>
    </x:row>
    <x:row r="1952">
      <x:c r="A1952" s="49" t="str">
        <x:v>2025-26</x:v>
      </x:c>
      <x:c r="B1952" s="63" t="n">
        <x:v>6794</x:v>
      </x:c>
      <x:c r="C1952" s="49" t="str">
        <x:v>Anantrao Pawar College of Engineering &amp; Research, Pune</x:v>
      </x:c>
      <x:c r="D1952" s="72" t="n">
        <x:v>679437210</x:v>
      </x:c>
      <x:c r="E1952" s="49" t="str">
        <x:v>Electronics and Telecommunication Engg</x:v>
      </x:c>
      <x:c r="F1952" s="73" t="n">
        <x:v>15</x:v>
      </x:c>
      <x:c r="G1952" s="73" t="n">
        <x:v>12</x:v>
      </x:c>
      <x:c r="H1952" s="73" t="n">
        <x:v>3</x:v>
      </x:c>
      <x:c r="I1952" s="73"/>
      <x:c r="J1952" s="73" t="n">
        <x:v>0</x:v>
      </x:c>
      <x:c r="K1952" s="49" t="str">
        <x:v>Un-Aided</x:v>
      </x:c>
      <x:c r="L1952" s="49" t="str">
        <x:v>MS Seats : 12+ EWS : 3</x:v>
      </x:c>
      <x:c r="M1952" s="49" t="str">
        <x:v>https://dse2025.mahacet.org.in/dse25/admin/allotment/cap2/6794_4.pdf</x:v>
      </x:c>
    </x:row>
    <x:row r="1953">
      <x:c r="A1953" s="49" t="str">
        <x:v>2025-26</x:v>
      </x:c>
      <x:c r="B1953" s="63" t="n">
        <x:v>6794</x:v>
      </x:c>
      <x:c r="C1953" s="49" t="str">
        <x:v>Anantrao Pawar College of Engineering &amp; Research, Pune</x:v>
      </x:c>
      <x:c r="D1953" s="72" t="n">
        <x:v>679437810</x:v>
      </x:c>
      <x:c r="E1953" s="49" t="str">
        <x:v>Electronics Engineering ( VLSI Design and Technology)</x:v>
      </x:c>
      <x:c r="F1953" s="73" t="n">
        <x:v>28</x:v>
      </x:c>
      <x:c r="G1953" s="73" t="n">
        <x:v>24</x:v>
      </x:c>
      <x:c r="H1953" s="73" t="n">
        <x:v>4</x:v>
      </x:c>
      <x:c r="I1953" s="73"/>
      <x:c r="J1953" s="73" t="n">
        <x:v>0</x:v>
      </x:c>
      <x:c r="K1953" s="49" t="str">
        <x:v>Un-Aided</x:v>
      </x:c>
      <x:c r="L1953" s="49" t="str">
        <x:v>MS Seats : 24+ EWS : 4</x:v>
      </x:c>
      <x:c r="M1953" s="49" t="str">
        <x:v>https://dse2025.mahacet.org.in/dse25/admin/allotment/cap2/6794_4.pdf</x:v>
      </x:c>
    </x:row>
    <x:row r="1954">
      <x:c r="A1954" s="49" t="str">
        <x:v>2025-26</x:v>
      </x:c>
      <x:c r="B1954" s="63" t="n">
        <x:v>6794</x:v>
      </x:c>
      <x:c r="C1954" s="49" t="str">
        <x:v>Anantrao Pawar College of Engineering &amp; Research, Pune</x:v>
      </x:c>
      <x:c r="D1954" s="72" t="n">
        <x:v>679461210</x:v>
      </x:c>
      <x:c r="E1954" s="49" t="str">
        <x:v>Mechanical Engineering</x:v>
      </x:c>
      <x:c r="F1954" s="73" t="n">
        <x:v>29</x:v>
      </x:c>
      <x:c r="G1954" s="73" t="n">
        <x:v>23</x:v>
      </x:c>
      <x:c r="H1954" s="73" t="n">
        <x:v>6</x:v>
      </x:c>
      <x:c r="I1954" s="73"/>
      <x:c r="J1954" s="73" t="n">
        <x:v>0</x:v>
      </x:c>
      <x:c r="K1954" s="49" t="str">
        <x:v>Un-Aided</x:v>
      </x:c>
      <x:c r="L1954" s="49" t="str">
        <x:v>MS Seats : 23+ EWS : 6</x:v>
      </x:c>
      <x:c r="M1954" s="49" t="str">
        <x:v>https://dse2025.mahacet.org.in/dse25/admin/allotment/cap2/6794_4.pdf</x:v>
      </x:c>
    </x:row>
    <x:row r="1955">
      <x:c r="A1955" s="49" t="str">
        <x:v>2025-26</x:v>
      </x:c>
      <x:c r="B1955" s="63" t="n">
        <x:v>6794</x:v>
      </x:c>
      <x:c r="C1955" s="49" t="str">
        <x:v>Anantrao Pawar College of Engineering &amp; Research, Pune</x:v>
      </x:c>
      <x:c r="D1955" s="72" t="n">
        <x:v>679492810</x:v>
      </x:c>
      <x:c r="E1955" s="49" t="str">
        <x:v>Electronics and Communication(Advanced Communication Technology)</x:v>
      </x:c>
      <x:c r="F1955" s="73" t="n">
        <x:v>22</x:v>
      </x:c>
      <x:c r="G1955" s="73" t="n">
        <x:v>20</x:v>
      </x:c>
      <x:c r="H1955" s="73" t="n">
        <x:v>2</x:v>
      </x:c>
      <x:c r="I1955" s="73"/>
      <x:c r="J1955" s="73" t="n">
        <x:v>0</x:v>
      </x:c>
      <x:c r="K1955" s="49" t="str">
        <x:v>Un-Aided</x:v>
      </x:c>
      <x:c r="L1955" s="49" t="str">
        <x:v>MS Seats : 20+ EWS : 2</x:v>
      </x:c>
      <x:c r="M1955" s="49" t="str">
        <x:v>https://dse2025.mahacet.org.in/dse25/admin/allotment/cap2/6794_4.pdf</x:v>
      </x:c>
    </x:row>
    <x:row r="1956">
      <x:c r="A1956" s="49" t="str">
        <x:v>2025-26</x:v>
      </x:c>
      <x:c r="B1956" s="63" t="n">
        <x:v>6794</x:v>
      </x:c>
      <x:c r="C1956" s="49" t="str">
        <x:v>Anantrao Pawar College of Engineering &amp; Research, Pune</x:v>
      </x:c>
      <x:c r="D1956" s="72" t="n">
        <x:v>679499510</x:v>
      </x:c>
      <x:c r="E1956" s="49" t="str">
        <x:v>Artificial Intelligence and Data Science</x:v>
      </x:c>
      <x:c r="F1956" s="73" t="n">
        <x:v>8</x:v>
      </x:c>
      <x:c r="G1956" s="73" t="n">
        <x:v>7</x:v>
      </x:c>
      <x:c r="H1956" s="73" t="n">
        <x:v>1</x:v>
      </x:c>
      <x:c r="I1956" s="73"/>
      <x:c r="J1956" s="73" t="n">
        <x:v>0</x:v>
      </x:c>
      <x:c r="K1956" s="49" t="str">
        <x:v>Un-Aided</x:v>
      </x:c>
      <x:c r="L1956" s="49" t="str">
        <x:v>MS Seats : 7+ EWS : 1</x:v>
      </x:c>
      <x:c r="M1956" s="49" t="str">
        <x:v>https://dse2025.mahacet.org.in/dse25/admin/allotment/cap2/6794_4.pdf</x:v>
      </x:c>
    </x:row>
    <x:row r="1957">
      <x:c r="A1957" s="49" t="str">
        <x:v>2025-26</x:v>
      </x:c>
      <x:c r="B1957" s="63" t="n">
        <x:v>6795</x:v>
      </x:c>
      <x:c r="C1957" s="49" t="str">
        <x:v>Shri.Someshwar Shikshan Prasarak Mandal, Sharadchandra Pawar College of Engineering &amp; Technology, Someshwar Nagar</x:v>
      </x:c>
      <x:c r="D1957" s="72" t="n">
        <x:v>679519110</x:v>
      </x:c>
      <x:c r="E1957" s="49" t="str">
        <x:v>Civil Engineering</x:v>
      </x:c>
      <x:c r="F1957" s="73" t="n">
        <x:v>17</x:v>
      </x:c>
      <x:c r="G1957" s="73" t="n">
        <x:v>16</x:v>
      </x:c>
      <x:c r="H1957" s="73" t="n">
        <x:v>1</x:v>
      </x:c>
      <x:c r="I1957" s="73"/>
      <x:c r="J1957" s="73" t="n">
        <x:v>0</x:v>
      </x:c>
      <x:c r="K1957" s="49" t="str">
        <x:v>Un-Aided</x:v>
      </x:c>
      <x:c r="L1957" s="49" t="str">
        <x:v>MS Seats : 16+ EWS : 1</x:v>
      </x:c>
      <x:c r="M1957" s="49" t="str">
        <x:v>https://dse2025.mahacet.org.in/dse25/admin/allotment/cap2/6795_4.pdf</x:v>
      </x:c>
    </x:row>
    <x:row r="1958">
      <x:c r="A1958" s="49" t="str">
        <x:v>2025-26</x:v>
      </x:c>
      <x:c r="B1958" s="63" t="n">
        <x:v>6795</x:v>
      </x:c>
      <x:c r="C1958" s="49" t="str">
        <x:v>Shri.Someshwar Shikshan Prasarak Mandal, Sharadchandra Pawar College of Engineering &amp; Technology, Someshwar Nagar</x:v>
      </x:c>
      <x:c r="D1958" s="72" t="n">
        <x:v>679524510</x:v>
      </x:c>
      <x:c r="E1958" s="49" t="str">
        <x:v>Computer Engineering</x:v>
      </x:c>
      <x:c r="F1958" s="73" t="n">
        <x:v>36</x:v>
      </x:c>
      <x:c r="G1958" s="73" t="n">
        <x:v>32</x:v>
      </x:c>
      <x:c r="H1958" s="73" t="n">
        <x:v>4</x:v>
      </x:c>
      <x:c r="I1958" s="73"/>
      <x:c r="J1958" s="73" t="n">
        <x:v>0</x:v>
      </x:c>
      <x:c r="K1958" s="49" t="str">
        <x:v>Un-Aided</x:v>
      </x:c>
      <x:c r="L1958" s="49" t="str">
        <x:v>MS Seats : 32+ EWS : 4</x:v>
      </x:c>
      <x:c r="M1958" s="49" t="str">
        <x:v>https://dse2025.mahacet.org.in/dse25/admin/allotment/cap2/6795_4.pdf</x:v>
      </x:c>
    </x:row>
    <x:row r="1959">
      <x:c r="A1959" s="49" t="str">
        <x:v>2025-26</x:v>
      </x:c>
      <x:c r="B1959" s="63" t="n">
        <x:v>6795</x:v>
      </x:c>
      <x:c r="C1959" s="49" t="str">
        <x:v>Shri.Someshwar Shikshan Prasarak Mandal, Sharadchandra Pawar College of Engineering &amp; Technology, Someshwar Nagar</x:v>
      </x:c>
      <x:c r="D1959" s="72" t="n">
        <x:v>679529310</x:v>
      </x:c>
      <x:c r="E1959" s="49" t="str">
        <x:v>Electrical Engineering</x:v>
      </x:c>
      <x:c r="F1959" s="73" t="n">
        <x:v>15</x:v>
      </x:c>
      <x:c r="G1959" s="73" t="n">
        <x:v>12</x:v>
      </x:c>
      <x:c r="H1959" s="73" t="n">
        <x:v>3</x:v>
      </x:c>
      <x:c r="I1959" s="73"/>
      <x:c r="J1959" s="73" t="n">
        <x:v>0</x:v>
      </x:c>
      <x:c r="K1959" s="49" t="str">
        <x:v>Un-Aided</x:v>
      </x:c>
      <x:c r="L1959" s="49" t="str">
        <x:v>MS Seats : 12+ EWS : 3</x:v>
      </x:c>
      <x:c r="M1959" s="49" t="str">
        <x:v>https://dse2025.mahacet.org.in/dse25/admin/allotment/cap2/6795_4.pdf</x:v>
      </x:c>
    </x:row>
    <x:row r="1960">
      <x:c r="A1960" s="49" t="str">
        <x:v>2025-26</x:v>
      </x:c>
      <x:c r="B1960" s="63" t="n">
        <x:v>6795</x:v>
      </x:c>
      <x:c r="C1960" s="49" t="str">
        <x:v>Shri.Someshwar Shikshan Prasarak Mandal, Sharadchandra Pawar College of Engineering &amp; Technology, Someshwar Nagar</x:v>
      </x:c>
      <x:c r="D1960" s="72" t="n">
        <x:v>679561210</x:v>
      </x:c>
      <x:c r="E1960" s="49" t="str">
        <x:v>Mechanical Engineering</x:v>
      </x:c>
      <x:c r="F1960" s="73" t="n">
        <x:v>13</x:v>
      </x:c>
      <x:c r="G1960" s="73" t="n">
        <x:v>11</x:v>
      </x:c>
      <x:c r="H1960" s="73" t="n">
        <x:v>2</x:v>
      </x:c>
      <x:c r="I1960" s="73"/>
      <x:c r="J1960" s="73" t="n">
        <x:v>0</x:v>
      </x:c>
      <x:c r="K1960" s="49" t="str">
        <x:v>Un-Aided</x:v>
      </x:c>
      <x:c r="L1960" s="49" t="str">
        <x:v>MS Seats : 11+ EWS : 2</x:v>
      </x:c>
      <x:c r="M1960" s="49" t="str">
        <x:v>https://dse2025.mahacet.org.in/dse25/admin/allotment/cap2/6795_4.pdf</x:v>
      </x:c>
    </x:row>
    <x:row r="1961">
      <x:c r="A1961" s="49" t="str">
        <x:v>2025-26</x:v>
      </x:c>
      <x:c r="B1961" s="63" t="n">
        <x:v>6796</x:v>
      </x:c>
      <x:c r="C1961" s="49" t="str">
        <x:v>Bharati Vidyapeeth's College of Engineering,Lavale, Pune</x:v>
      </x:c>
      <x:c r="D1961" s="72" t="n">
        <x:v>679619110</x:v>
      </x:c>
      <x:c r="E1961" s="49" t="str">
        <x:v>Civil Engineering</x:v>
      </x:c>
      <x:c r="F1961" s="73" t="n">
        <x:v>55</x:v>
      </x:c>
      <x:c r="G1961" s="73" t="n">
        <x:v>48</x:v>
      </x:c>
      <x:c r="H1961" s="73" t="n">
        <x:v>7</x:v>
      </x:c>
      <x:c r="I1961" s="73"/>
      <x:c r="J1961" s="73" t="n">
        <x:v>0</x:v>
      </x:c>
      <x:c r="K1961" s="49" t="str">
        <x:v>Un-Aided</x:v>
      </x:c>
      <x:c r="L1961" s="49" t="str">
        <x:v>MS Seats : 48+ EWS : 7</x:v>
      </x:c>
      <x:c r="M1961" s="49" t="str">
        <x:v>https://dse2025.mahacet.org.in/dse25/admin/allotment/cap2/6796_4.pdf</x:v>
      </x:c>
    </x:row>
    <x:row r="1962">
      <x:c r="A1962" s="49" t="str">
        <x:v>2025-26</x:v>
      </x:c>
      <x:c r="B1962" s="63" t="n">
        <x:v>6796</x:v>
      </x:c>
      <x:c r="C1962" s="49" t="str">
        <x:v>Bharati Vidyapeeth's College of Engineering,Lavale, Pune</x:v>
      </x:c>
      <x:c r="D1962" s="72" t="n">
        <x:v>679624510</x:v>
      </x:c>
      <x:c r="E1962" s="49" t="str">
        <x:v>Computer Engineering</x:v>
      </x:c>
      <x:c r="F1962" s="73" t="n">
        <x:v>36</x:v>
      </x:c>
      <x:c r="G1962" s="73" t="n">
        <x:v>32</x:v>
      </x:c>
      <x:c r="H1962" s="73" t="n">
        <x:v>4</x:v>
      </x:c>
      <x:c r="I1962" s="73"/>
      <x:c r="J1962" s="73" t="n">
        <x:v>0</x:v>
      </x:c>
      <x:c r="K1962" s="49" t="str">
        <x:v>Un-Aided</x:v>
      </x:c>
      <x:c r="L1962" s="49" t="str">
        <x:v>MS Seats : 32+ EWS : 4</x:v>
      </x:c>
      <x:c r="M1962" s="49" t="str">
        <x:v>https://dse2025.mahacet.org.in/dse25/admin/allotment/cap2/6796_4.pdf</x:v>
      </x:c>
    </x:row>
    <x:row r="1963">
      <x:c r="A1963" s="49" t="str">
        <x:v>2025-26</x:v>
      </x:c>
      <x:c r="B1963" s="63" t="n">
        <x:v>6796</x:v>
      </x:c>
      <x:c r="C1963" s="49" t="str">
        <x:v>Bharati Vidyapeeth's College of Engineering,Lavale, Pune</x:v>
      </x:c>
      <x:c r="D1963" s="72" t="n">
        <x:v>679637210</x:v>
      </x:c>
      <x:c r="E1963" s="49" t="str">
        <x:v>Electronics and Telecommunication Engg</x:v>
      </x:c>
      <x:c r="F1963" s="73" t="n">
        <x:v>43</x:v>
      </x:c>
      <x:c r="G1963" s="73" t="n">
        <x:v>39</x:v>
      </x:c>
      <x:c r="H1963" s="73" t="n">
        <x:v>4</x:v>
      </x:c>
      <x:c r="I1963" s="73"/>
      <x:c r="J1963" s="73" t="n">
        <x:v>0</x:v>
      </x:c>
      <x:c r="K1963" s="49" t="str">
        <x:v>Un-Aided</x:v>
      </x:c>
      <x:c r="L1963" s="49" t="str">
        <x:v>MS Seats : 39+ EWS : 4</x:v>
      </x:c>
      <x:c r="M1963" s="49" t="str">
        <x:v>https://dse2025.mahacet.org.in/dse25/admin/allotment/cap2/6796_4.pdf</x:v>
      </x:c>
    </x:row>
    <x:row r="1964">
      <x:c r="A1964" s="49" t="str">
        <x:v>2025-26</x:v>
      </x:c>
      <x:c r="B1964" s="63" t="n">
        <x:v>6796</x:v>
      </x:c>
      <x:c r="C1964" s="49" t="str">
        <x:v>Bharati Vidyapeeth's College of Engineering,Lavale, Pune</x:v>
      </x:c>
      <x:c r="D1964" s="72" t="n">
        <x:v>679661210</x:v>
      </x:c>
      <x:c r="E1964" s="49" t="str">
        <x:v>Mechanical Engineering</x:v>
      </x:c>
      <x:c r="F1964" s="73" t="n">
        <x:v>50</x:v>
      </x:c>
      <x:c r="G1964" s="73" t="n">
        <x:v>43</x:v>
      </x:c>
      <x:c r="H1964" s="73" t="n">
        <x:v>7</x:v>
      </x:c>
      <x:c r="I1964" s="73"/>
      <x:c r="J1964" s="73" t="n">
        <x:v>0</x:v>
      </x:c>
      <x:c r="K1964" s="49" t="str">
        <x:v>Un-Aided</x:v>
      </x:c>
      <x:c r="L1964" s="49" t="str">
        <x:v>MS Seats : 43+ EWS : 7</x:v>
      </x:c>
      <x:c r="M1964" s="49" t="str">
        <x:v>https://dse2025.mahacet.org.in/dse25/admin/allotment/cap2/6796_4.pdf</x:v>
      </x:c>
    </x:row>
    <x:row r="1965">
      <x:c r="A1965" s="49" t="str">
        <x:v>2025-26</x:v>
      </x:c>
      <x:c r="B1965" s="63" t="n">
        <x:v>6797</x:v>
      </x:c>
      <x:c r="C1965" s="49" t="str">
        <x:v>Dnyanshree Institute Engineering and Technology, Satara</x:v>
      </x:c>
      <x:c r="D1965" s="72" t="n">
        <x:v>679719110</x:v>
      </x:c>
      <x:c r="E1965" s="49" t="str">
        <x:v>Civil Engineering</x:v>
      </x:c>
      <x:c r="F1965" s="73" t="n">
        <x:v>27</x:v>
      </x:c>
      <x:c r="G1965" s="73" t="n">
        <x:v>24</x:v>
      </x:c>
      <x:c r="H1965" s="73" t="n">
        <x:v>3</x:v>
      </x:c>
      <x:c r="I1965" s="73"/>
      <x:c r="J1965" s="73" t="n">
        <x:v>0</x:v>
      </x:c>
      <x:c r="K1965" s="49" t="str">
        <x:v>Un-Aided</x:v>
      </x:c>
      <x:c r="L1965" s="49" t="str">
        <x:v>MS Seats : 24+ EWS : 3</x:v>
      </x:c>
      <x:c r="M1965" s="49" t="str">
        <x:v>https://dse2025.mahacet.org.in/dse25/admin/allotment/cap2/6797_4.pdf</x:v>
      </x:c>
    </x:row>
    <x:row r="1966">
      <x:c r="A1966" s="49" t="str">
        <x:v>2025-26</x:v>
      </x:c>
      <x:c r="B1966" s="63" t="n">
        <x:v>6797</x:v>
      </x:c>
      <x:c r="C1966" s="49" t="str">
        <x:v>Dnyanshree Institute Engineering and Technology, Satara</x:v>
      </x:c>
      <x:c r="D1966" s="72" t="n">
        <x:v>679724210</x:v>
      </x:c>
      <x:c r="E1966" s="49" t="str">
        <x:v>Computer Science and Engineering</x:v>
      </x:c>
      <x:c r="F1966" s="73" t="n">
        <x:v>24</x:v>
      </x:c>
      <x:c r="G1966" s="73" t="n">
        <x:v>23</x:v>
      </x:c>
      <x:c r="H1966" s="73" t="n">
        <x:v>1</x:v>
      </x:c>
      <x:c r="I1966" s="73"/>
      <x:c r="J1966" s="73" t="n">
        <x:v>0</x:v>
      </x:c>
      <x:c r="K1966" s="49" t="str">
        <x:v>Un-Aided</x:v>
      </x:c>
      <x:c r="L1966" s="49" t="str">
        <x:v>MS Seats : 23+ EWS : 1</x:v>
      </x:c>
      <x:c r="M1966" s="49" t="str">
        <x:v>https://dse2025.mahacet.org.in/dse25/admin/allotment/cap2/6797_4.pdf</x:v>
      </x:c>
    </x:row>
    <x:row r="1967">
      <x:c r="A1967" s="49" t="str">
        <x:v>2025-26</x:v>
      </x:c>
      <x:c r="B1967" s="63" t="n">
        <x:v>6797</x:v>
      </x:c>
      <x:c r="C1967" s="49" t="str">
        <x:v>Dnyanshree Institute Engineering and Technology, Satara</x:v>
      </x:c>
      <x:c r="D1967" s="72" t="n">
        <x:v>679725910</x:v>
      </x:c>
      <x:c r="E1967" s="49" t="str">
        <x:v>Mechanical and Mechatronics Engineering (Additive Manufacturing)</x:v>
      </x:c>
      <x:c r="F1967" s="73" t="n">
        <x:v>11</x:v>
      </x:c>
      <x:c r="G1967" s="73" t="n">
        <x:v>11</x:v>
      </x:c>
      <x:c r="H1967" s="73" t="n">
        <x:v>0</x:v>
      </x:c>
      <x:c r="I1967" s="73"/>
      <x:c r="J1967" s="73" t="n">
        <x:v>0</x:v>
      </x:c>
      <x:c r="K1967" s="49" t="str">
        <x:v>Un-Aided</x:v>
      </x:c>
      <x:c r="L1967" s="49" t="str">
        <x:v>MS Seats : 11+ EWS : 0</x:v>
      </x:c>
      <x:c r="M1967" s="49" t="str">
        <x:v>https://dse2025.mahacet.org.in/dse25/admin/allotment/cap2/6797_4.pdf</x:v>
      </x:c>
    </x:row>
    <x:row r="1968">
      <x:c r="A1968" s="49" t="str">
        <x:v>2025-26</x:v>
      </x:c>
      <x:c r="B1968" s="63" t="n">
        <x:v>6797</x:v>
      </x:c>
      <x:c r="C1968" s="49" t="str">
        <x:v>Dnyanshree Institute Engineering and Technology, Satara</x:v>
      </x:c>
      <x:c r="D1968" s="72" t="n">
        <x:v>679729310</x:v>
      </x:c>
      <x:c r="E1968" s="49" t="str">
        <x:v>Electrical Engineering</x:v>
      </x:c>
      <x:c r="F1968" s="73" t="n">
        <x:v>9</x:v>
      </x:c>
      <x:c r="G1968" s="73" t="n">
        <x:v>6</x:v>
      </x:c>
      <x:c r="H1968" s="73" t="n">
        <x:v>3</x:v>
      </x:c>
      <x:c r="I1968" s="73"/>
      <x:c r="J1968" s="73" t="n">
        <x:v>0</x:v>
      </x:c>
      <x:c r="K1968" s="49" t="str">
        <x:v>Un-Aided</x:v>
      </x:c>
      <x:c r="L1968" s="49" t="str">
        <x:v>MS Seats : 6+ EWS : 3</x:v>
      </x:c>
      <x:c r="M1968" s="49" t="str">
        <x:v>https://dse2025.mahacet.org.in/dse25/admin/allotment/cap2/6797_4.pdf</x:v>
      </x:c>
    </x:row>
    <x:row r="1969">
      <x:c r="A1969" s="49" t="str">
        <x:v>2025-26</x:v>
      </x:c>
      <x:c r="B1969" s="63" t="n">
        <x:v>6797</x:v>
      </x:c>
      <x:c r="C1969" s="49" t="str">
        <x:v>Dnyanshree Institute Engineering and Technology, Satara</x:v>
      </x:c>
      <x:c r="D1969" s="72" t="n">
        <x:v>679737210</x:v>
      </x:c>
      <x:c r="E1969" s="49" t="str">
        <x:v>Electronics and Telecommunication Engg</x:v>
      </x:c>
      <x:c r="F1969" s="73" t="n">
        <x:v>15</x:v>
      </x:c>
      <x:c r="G1969" s="73" t="n">
        <x:v>12</x:v>
      </x:c>
      <x:c r="H1969" s="73" t="n">
        <x:v>3</x:v>
      </x:c>
      <x:c r="I1969" s="73"/>
      <x:c r="J1969" s="73" t="n">
        <x:v>0</x:v>
      </x:c>
      <x:c r="K1969" s="49" t="str">
        <x:v>Un-Aided</x:v>
      </x:c>
      <x:c r="L1969" s="49" t="str">
        <x:v>MS Seats : 12+ EWS : 3</x:v>
      </x:c>
      <x:c r="M1969" s="49" t="str">
        <x:v>https://dse2025.mahacet.org.in/dse25/admin/allotment/cap2/6797_4.pdf</x:v>
      </x:c>
    </x:row>
    <x:row r="1970">
      <x:c r="A1970" s="49" t="str">
        <x:v>2025-26</x:v>
      </x:c>
      <x:c r="B1970" s="63" t="n">
        <x:v>6799</x:v>
      </x:c>
      <x:c r="C1970" s="49" t="str">
        <x:v>Shivganga Charitable Trust, Sangli Vishveshwarya Technical Campus, Faculty of Diploma Engineering, Patgaon, Miraj</x:v>
      </x:c>
      <x:c r="D1970" s="72" t="n">
        <x:v>679924210</x:v>
      </x:c>
      <x:c r="E1970" s="49" t="str">
        <x:v>Computer Science and Engineering</x:v>
      </x:c>
      <x:c r="F1970" s="73" t="n">
        <x:v>73</x:v>
      </x:c>
      <x:c r="G1970" s="73" t="n">
        <x:v>66</x:v>
      </x:c>
      <x:c r="H1970" s="73" t="n">
        <x:v>7</x:v>
      </x:c>
      <x:c r="I1970" s="73"/>
      <x:c r="J1970" s="73" t="n">
        <x:v>0</x:v>
      </x:c>
      <x:c r="K1970" s="49" t="str">
        <x:v>Un-Aided</x:v>
      </x:c>
      <x:c r="L1970" s="49" t="str">
        <x:v>MS Seats : 66+ EWS : 7</x:v>
      </x:c>
      <x:c r="M1970" s="49" t="str">
        <x:v>https://dse2025.mahacet.org.in/dse25/admin/allotment/cap2/6799_4.pdf</x:v>
      </x:c>
    </x:row>
    <x:row r="1971">
      <x:c r="A1971" s="49" t="str">
        <x:v>2025-26</x:v>
      </x:c>
      <x:c r="B1971" s="63" t="n">
        <x:v>6799</x:v>
      </x:c>
      <x:c r="C1971" s="49" t="str">
        <x:v>Shivganga Charitable Trust, Sangli Vishveshwarya Technical Campus, Faculty of Diploma Engineering, Patgaon, Miraj</x:v>
      </x:c>
      <x:c r="D1971" s="72" t="n">
        <x:v>679924510</x:v>
      </x:c>
      <x:c r="E1971" s="49" t="str">
        <x:v>Computer Engineering</x:v>
      </x:c>
      <x:c r="F1971" s="73" t="n">
        <x:v>72</x:v>
      </x:c>
      <x:c r="G1971" s="73" t="n">
        <x:v>65</x:v>
      </x:c>
      <x:c r="H1971" s="73" t="n">
        <x:v>7</x:v>
      </x:c>
      <x:c r="I1971" s="73"/>
      <x:c r="J1971" s="73" t="n">
        <x:v>0</x:v>
      </x:c>
      <x:c r="K1971" s="49" t="str">
        <x:v>Un-Aided</x:v>
      </x:c>
      <x:c r="L1971" s="49" t="str">
        <x:v>MS Seats : 65+ EWS : 7</x:v>
      </x:c>
      <x:c r="M1971" s="49" t="str">
        <x:v>https://dse2025.mahacet.org.in/dse25/admin/allotment/cap2/6799_4.pdf</x:v>
      </x:c>
    </x:row>
    <x:row r="1972">
      <x:c r="A1972" s="49" t="str">
        <x:v>2025-26</x:v>
      </x:c>
      <x:c r="B1972" s="63" t="n">
        <x:v>6799</x:v>
      </x:c>
      <x:c r="C1972" s="49" t="str">
        <x:v>Shivganga Charitable Trust, Sangli Vishveshwarya Technical Campus, Faculty of Diploma Engineering, Patgaon, Miraj</x:v>
      </x:c>
      <x:c r="D1972" s="72" t="n">
        <x:v>679929310</x:v>
      </x:c>
      <x:c r="E1972" s="49" t="str">
        <x:v>Electrical Engineering</x:v>
      </x:c>
      <x:c r="F1972" s="73" t="n">
        <x:v>37</x:v>
      </x:c>
      <x:c r="G1972" s="73" t="n">
        <x:v>34</x:v>
      </x:c>
      <x:c r="H1972" s="73" t="n">
        <x:v>3</x:v>
      </x:c>
      <x:c r="I1972" s="73"/>
      <x:c r="J1972" s="73" t="n">
        <x:v>0</x:v>
      </x:c>
      <x:c r="K1972" s="49" t="str">
        <x:v>Un-Aided</x:v>
      </x:c>
      <x:c r="L1972" s="49" t="str">
        <x:v>MS Seats : 34+ EWS : 3</x:v>
      </x:c>
      <x:c r="M1972" s="49" t="str">
        <x:v>https://dse2025.mahacet.org.in/dse25/admin/allotment/cap2/6799_4.pdf</x:v>
      </x:c>
    </x:row>
    <x:row r="1973">
      <x:c r="A1973" s="49" t="str">
        <x:v>2025-26</x:v>
      </x:c>
      <x:c r="B1973" s="63" t="n">
        <x:v>6803</x:v>
      </x:c>
      <x:c r="C1973" s="49" t="str">
        <x:v>Sant Gajanan Maharaj College of Engineering, Gadhinglaj</x:v>
      </x:c>
      <x:c r="D1973" s="72" t="n">
        <x:v>680319110</x:v>
      </x:c>
      <x:c r="E1973" s="49" t="str">
        <x:v>Civil Engineering</x:v>
      </x:c>
      <x:c r="F1973" s="73" t="n">
        <x:v>44</x:v>
      </x:c>
      <x:c r="G1973" s="73" t="n">
        <x:v>38</x:v>
      </x:c>
      <x:c r="H1973" s="73" t="n">
        <x:v>6</x:v>
      </x:c>
      <x:c r="I1973" s="73"/>
      <x:c r="J1973" s="73" t="n">
        <x:v>0</x:v>
      </x:c>
      <x:c r="K1973" s="49" t="str">
        <x:v>Un-Aided</x:v>
      </x:c>
      <x:c r="L1973" s="49" t="str">
        <x:v>MS Seats : 38+ EWS : 6</x:v>
      </x:c>
      <x:c r="M1973" s="49" t="str">
        <x:v>https://dse2025.mahacet.org.in/dse25/admin/allotment/cap2/6803_4.pdf</x:v>
      </x:c>
    </x:row>
    <x:row r="1974">
      <x:c r="A1974" s="49" t="str">
        <x:v>2025-26</x:v>
      </x:c>
      <x:c r="B1974" s="63" t="n">
        <x:v>6803</x:v>
      </x:c>
      <x:c r="C1974" s="49" t="str">
        <x:v>Sant Gajanan Maharaj College of Engineering, Gadhinglaj</x:v>
      </x:c>
      <x:c r="D1974" s="72" t="n">
        <x:v>680324210</x:v>
      </x:c>
      <x:c r="E1974" s="49" t="str">
        <x:v>Computer Science and Engineering</x:v>
      </x:c>
      <x:c r="F1974" s="73" t="n">
        <x:v>10</x:v>
      </x:c>
      <x:c r="G1974" s="73" t="n">
        <x:v>9</x:v>
      </x:c>
      <x:c r="H1974" s="73" t="n">
        <x:v>1</x:v>
      </x:c>
      <x:c r="I1974" s="73"/>
      <x:c r="J1974" s="73" t="n">
        <x:v>0</x:v>
      </x:c>
      <x:c r="K1974" s="49" t="str">
        <x:v>Un-Aided</x:v>
      </x:c>
      <x:c r="L1974" s="49" t="str">
        <x:v>MS Seats : 9+ EWS : 1</x:v>
      </x:c>
      <x:c r="M1974" s="49" t="str">
        <x:v>https://dse2025.mahacet.org.in/dse25/admin/allotment/cap2/6803_4.pdf</x:v>
      </x:c>
    </x:row>
    <x:row r="1975">
      <x:c r="A1975" s="49" t="str">
        <x:v>2025-26</x:v>
      </x:c>
      <x:c r="B1975" s="63" t="n">
        <x:v>6803</x:v>
      </x:c>
      <x:c r="C1975" s="49" t="str">
        <x:v>Sant Gajanan Maharaj College of Engineering, Gadhinglaj</x:v>
      </x:c>
      <x:c r="D1975" s="72" t="n">
        <x:v>680329310</x:v>
      </x:c>
      <x:c r="E1975" s="49" t="str">
        <x:v>Electrical Engineering</x:v>
      </x:c>
      <x:c r="F1975" s="73" t="n">
        <x:v>21</x:v>
      </x:c>
      <x:c r="G1975" s="73" t="n">
        <x:v>15</x:v>
      </x:c>
      <x:c r="H1975" s="73" t="n">
        <x:v>6</x:v>
      </x:c>
      <x:c r="I1975" s="73"/>
      <x:c r="J1975" s="73" t="n">
        <x:v>0</x:v>
      </x:c>
      <x:c r="K1975" s="49" t="str">
        <x:v>Un-Aided</x:v>
      </x:c>
      <x:c r="L1975" s="49" t="str">
        <x:v>MS Seats : 15+ EWS : 6</x:v>
      </x:c>
      <x:c r="M1975" s="49" t="str">
        <x:v>https://dse2025.mahacet.org.in/dse25/admin/allotment/cap2/6803_4.pdf</x:v>
      </x:c>
    </x:row>
    <x:row r="1976">
      <x:c r="A1976" s="49" t="str">
        <x:v>2025-26</x:v>
      </x:c>
      <x:c r="B1976" s="63" t="n">
        <x:v>6803</x:v>
      </x:c>
      <x:c r="C1976" s="49" t="str">
        <x:v>Sant Gajanan Maharaj College of Engineering, Gadhinglaj</x:v>
      </x:c>
      <x:c r="D1976" s="72" t="n">
        <x:v>680337210</x:v>
      </x:c>
      <x:c r="E1976" s="49" t="str">
        <x:v>Electronics and Telecommunication Engg</x:v>
      </x:c>
      <x:c r="F1976" s="73" t="n">
        <x:v>9</x:v>
      </x:c>
      <x:c r="G1976" s="73" t="n">
        <x:v>8</x:v>
      </x:c>
      <x:c r="H1976" s="73" t="n">
        <x:v>1</x:v>
      </x:c>
      <x:c r="I1976" s="73"/>
      <x:c r="J1976" s="73" t="n">
        <x:v>0</x:v>
      </x:c>
      <x:c r="K1976" s="49" t="str">
        <x:v>Un-Aided</x:v>
      </x:c>
      <x:c r="L1976" s="49" t="str">
        <x:v>MS Seats : 8+ EWS : 1</x:v>
      </x:c>
      <x:c r="M1976" s="49" t="str">
        <x:v>https://dse2025.mahacet.org.in/dse25/admin/allotment/cap2/6803_4.pdf</x:v>
      </x:c>
    </x:row>
    <x:row r="1977">
      <x:c r="A1977" s="49" t="str">
        <x:v>2025-26</x:v>
      </x:c>
      <x:c r="B1977" s="63" t="n">
        <x:v>6803</x:v>
      </x:c>
      <x:c r="C1977" s="49" t="str">
        <x:v>Sant Gajanan Maharaj College of Engineering, Gadhinglaj</x:v>
      </x:c>
      <x:c r="D1977" s="72" t="n">
        <x:v>680361210</x:v>
      </x:c>
      <x:c r="E1977" s="49" t="str">
        <x:v>Mechanical Engineering</x:v>
      </x:c>
      <x:c r="F1977" s="73" t="n">
        <x:v>31</x:v>
      </x:c>
      <x:c r="G1977" s="73" t="n">
        <x:v>24</x:v>
      </x:c>
      <x:c r="H1977" s="73" t="n">
        <x:v>7</x:v>
      </x:c>
      <x:c r="I1977" s="73"/>
      <x:c r="J1977" s="73" t="n">
        <x:v>0</x:v>
      </x:c>
      <x:c r="K1977" s="49" t="str">
        <x:v>Un-Aided</x:v>
      </x:c>
      <x:c r="L1977" s="49" t="str">
        <x:v>MS Seats : 24+ EWS : 7</x:v>
      </x:c>
      <x:c r="M1977" s="49" t="str">
        <x:v>https://dse2025.mahacet.org.in/dse25/admin/allotment/cap2/6803_4.pdf</x:v>
      </x:c>
    </x:row>
    <x:row r="1978">
      <x:c r="A1978" s="49" t="str">
        <x:v>2025-26</x:v>
      </x:c>
      <x:c r="B1978" s="63" t="n">
        <x:v>6808</x:v>
      </x:c>
      <x:c r="C1978" s="49" t="str">
        <x:v>Keystone School of Engineering, Pune</x:v>
      </x:c>
      <x:c r="D1978" s="72" t="n">
        <x:v>680824510</x:v>
      </x:c>
      <x:c r="E1978" s="49" t="str">
        <x:v>Computer Engineering</x:v>
      </x:c>
      <x:c r="F1978" s="73" t="n">
        <x:v>31</x:v>
      </x:c>
      <x:c r="G1978" s="73" t="n">
        <x:v>25</x:v>
      </x:c>
      <x:c r="H1978" s="73" t="n">
        <x:v>6</x:v>
      </x:c>
      <x:c r="I1978" s="73"/>
      <x:c r="J1978" s="73" t="n">
        <x:v>0</x:v>
      </x:c>
      <x:c r="K1978" s="49" t="str">
        <x:v>Un-Aided</x:v>
      </x:c>
      <x:c r="L1978" s="49" t="str">
        <x:v>MS Seats : 25+ EWS : 6</x:v>
      </x:c>
      <x:c r="M1978" s="49" t="str">
        <x:v>https://dse2025.mahacet.org.in/dse25/admin/allotment/cap2/6808_4.pdf</x:v>
      </x:c>
    </x:row>
    <x:row r="1979">
      <x:c r="A1979" s="49" t="str">
        <x:v>2025-26</x:v>
      </x:c>
      <x:c r="B1979" s="63" t="n">
        <x:v>6808</x:v>
      </x:c>
      <x:c r="C1979" s="49" t="str">
        <x:v>Keystone School of Engineering, Pune</x:v>
      </x:c>
      <x:c r="D1979" s="72" t="n">
        <x:v>680826310</x:v>
      </x:c>
      <x:c r="E1979" s="49" t="str">
        <x:v>Artificial Intelligence (AI) and Data Science</x:v>
      </x:c>
      <x:c r="F1979" s="73" t="n">
        <x:v>14</x:v>
      </x:c>
      <x:c r="G1979" s="73" t="n">
        <x:v>11</x:v>
      </x:c>
      <x:c r="H1979" s="73" t="n">
        <x:v>3</x:v>
      </x:c>
      <x:c r="I1979" s="73"/>
      <x:c r="J1979" s="73" t="n">
        <x:v>0</x:v>
      </x:c>
      <x:c r="K1979" s="49" t="str">
        <x:v>Un-Aided</x:v>
      </x:c>
      <x:c r="L1979" s="49" t="str">
        <x:v>MS Seats : 11+ EWS : 3</x:v>
      </x:c>
      <x:c r="M1979" s="49" t="str">
        <x:v>https://dse2025.mahacet.org.in/dse25/admin/allotment/cap2/6808_4.pdf</x:v>
      </x:c>
    </x:row>
    <x:row r="1980">
      <x:c r="A1980" s="49" t="str">
        <x:v>2025-26</x:v>
      </x:c>
      <x:c r="B1980" s="63" t="n">
        <x:v>6808</x:v>
      </x:c>
      <x:c r="C1980" s="49" t="str">
        <x:v>Keystone School of Engineering, Pune</x:v>
      </x:c>
      <x:c r="D1980" s="72" t="n">
        <x:v>680837210</x:v>
      </x:c>
      <x:c r="E1980" s="49" t="str">
        <x:v>Electronics and Telecommunication Engg</x:v>
      </x:c>
      <x:c r="F1980" s="73" t="n">
        <x:v>12</x:v>
      </x:c>
      <x:c r="G1980" s="73" t="n">
        <x:v>10</x:v>
      </x:c>
      <x:c r="H1980" s="73" t="n">
        <x:v>2</x:v>
      </x:c>
      <x:c r="I1980" s="73"/>
      <x:c r="J1980" s="73" t="n">
        <x:v>0</x:v>
      </x:c>
      <x:c r="K1980" s="49" t="str">
        <x:v>Un-Aided</x:v>
      </x:c>
      <x:c r="L1980" s="49" t="str">
        <x:v>MS Seats : 10+ EWS : 2</x:v>
      </x:c>
      <x:c r="M1980" s="49" t="str">
        <x:v>https://dse2025.mahacet.org.in/dse25/admin/allotment/cap2/6808_4.pdf</x:v>
      </x:c>
    </x:row>
    <x:row r="1981">
      <x:c r="A1981" s="49" t="str">
        <x:v>2025-26</x:v>
      </x:c>
      <x:c r="B1981" s="63" t="n">
        <x:v>6808</x:v>
      </x:c>
      <x:c r="C1981" s="49" t="str">
        <x:v>Keystone School of Engineering, Pune</x:v>
      </x:c>
      <x:c r="D1981" s="72" t="n">
        <x:v>680861210</x:v>
      </x:c>
      <x:c r="E1981" s="49" t="str">
        <x:v>Mechanical Engineering</x:v>
      </x:c>
      <x:c r="F1981" s="73" t="n">
        <x:v>28</x:v>
      </x:c>
      <x:c r="G1981" s="73" t="n">
        <x:v>23</x:v>
      </x:c>
      <x:c r="H1981" s="73" t="n">
        <x:v>5</x:v>
      </x:c>
      <x:c r="I1981" s="73"/>
      <x:c r="J1981" s="73" t="n">
        <x:v>0</x:v>
      </x:c>
      <x:c r="K1981" s="49" t="str">
        <x:v>Un-Aided</x:v>
      </x:c>
      <x:c r="L1981" s="49" t="str">
        <x:v>MS Seats : 23+ EWS : 5</x:v>
      </x:c>
      <x:c r="M1981" s="49" t="str">
        <x:v>https://dse2025.mahacet.org.in/dse25/admin/allotment/cap2/6808_4.pdf</x:v>
      </x:c>
    </x:row>
    <x:row r="1982">
      <x:c r="A1982" s="49" t="str">
        <x:v>2025-26</x:v>
      </x:c>
      <x:c r="B1982" s="63" t="n">
        <x:v>6811</x:v>
      </x:c>
      <x:c r="C1982" s="49" t="str">
        <x:v>Sanjay Ghodawat Institute</x:v>
      </x:c>
      <x:c r="D1982" s="72" t="n">
        <x:v>681119110</x:v>
      </x:c>
      <x:c r="E1982" s="49" t="str">
        <x:v>Civil Engineering</x:v>
      </x:c>
      <x:c r="F1982" s="73" t="n">
        <x:v>58</x:v>
      </x:c>
      <x:c r="G1982" s="73" t="n">
        <x:v>51</x:v>
      </x:c>
      <x:c r="H1982" s="73" t="n">
        <x:v>7</x:v>
      </x:c>
      <x:c r="I1982" s="73"/>
      <x:c r="J1982" s="73" t="n">
        <x:v>0</x:v>
      </x:c>
      <x:c r="K1982" s="49" t="str">
        <x:v>Un-Aided</x:v>
      </x:c>
      <x:c r="L1982" s="49" t="str">
        <x:v>MS Seats : 51+ EWS : 7</x:v>
      </x:c>
      <x:c r="M1982" s="49" t="str">
        <x:v>https://dse2025.mahacet.org.in/dse25/admin/allotment/cap2/6811_4.pdf</x:v>
      </x:c>
    </x:row>
    <x:row r="1983">
      <x:c r="A1983" s="49" t="str">
        <x:v>2025-26</x:v>
      </x:c>
      <x:c r="B1983" s="63" t="n">
        <x:v>6811</x:v>
      </x:c>
      <x:c r="C1983" s="49" t="str">
        <x:v>Sanjay Ghodawat Institute</x:v>
      </x:c>
      <x:c r="D1983" s="72" t="n">
        <x:v>681124210</x:v>
      </x:c>
      <x:c r="E1983" s="49" t="str">
        <x:v>Computer Science and Engineering</x:v>
      </x:c>
      <x:c r="F1983" s="73" t="n">
        <x:v>12</x:v>
      </x:c>
      <x:c r="G1983" s="73" t="n">
        <x:v>10</x:v>
      </x:c>
      <x:c r="H1983" s="73" t="n">
        <x:v>2</x:v>
      </x:c>
      <x:c r="I1983" s="73"/>
      <x:c r="J1983" s="73" t="n">
        <x:v>0</x:v>
      </x:c>
      <x:c r="K1983" s="49" t="str">
        <x:v>Un-Aided</x:v>
      </x:c>
      <x:c r="L1983" s="49" t="str">
        <x:v>MS Seats : 10+ EWS : 2</x:v>
      </x:c>
      <x:c r="M1983" s="49" t="str">
        <x:v>https://dse2025.mahacet.org.in/dse25/admin/allotment/cap2/6811_4.pdf</x:v>
      </x:c>
    </x:row>
    <x:row r="1984">
      <x:c r="A1984" s="49" t="str">
        <x:v>2025-26</x:v>
      </x:c>
      <x:c r="B1984" s="63" t="n">
        <x:v>6811</x:v>
      </x:c>
      <x:c r="C1984" s="49" t="str">
        <x:v>Sanjay Ghodawat Institute</x:v>
      </x:c>
      <x:c r="D1984" s="72" t="n">
        <x:v>681129310</x:v>
      </x:c>
      <x:c r="E1984" s="49" t="str">
        <x:v>Electrical Engineering</x:v>
      </x:c>
      <x:c r="F1984" s="73" t="n">
        <x:v>21</x:v>
      </x:c>
      <x:c r="G1984" s="73" t="n">
        <x:v>18</x:v>
      </x:c>
      <x:c r="H1984" s="73" t="n">
        <x:v>3</x:v>
      </x:c>
      <x:c r="I1984" s="73"/>
      <x:c r="J1984" s="73" t="n">
        <x:v>0</x:v>
      </x:c>
      <x:c r="K1984" s="49" t="str">
        <x:v>Un-Aided</x:v>
      </x:c>
      <x:c r="L1984" s="49" t="str">
        <x:v>MS Seats : 18+ EWS : 3</x:v>
      </x:c>
      <x:c r="M1984" s="49" t="str">
        <x:v>https://dse2025.mahacet.org.in/dse25/admin/allotment/cap2/6811_4.pdf</x:v>
      </x:c>
    </x:row>
    <x:row r="1985">
      <x:c r="A1985" s="49" t="str">
        <x:v>2025-26</x:v>
      </x:c>
      <x:c r="B1985" s="63" t="n">
        <x:v>6811</x:v>
      </x:c>
      <x:c r="C1985" s="49" t="str">
        <x:v>Sanjay Ghodawat Institute</x:v>
      </x:c>
      <x:c r="D1985" s="72" t="n">
        <x:v>681137210</x:v>
      </x:c>
      <x:c r="E1985" s="49" t="str">
        <x:v>Electronics and Telecommunication Engg</x:v>
      </x:c>
      <x:c r="F1985" s="73" t="n">
        <x:v>17</x:v>
      </x:c>
      <x:c r="G1985" s="73" t="n">
        <x:v>15</x:v>
      </x:c>
      <x:c r="H1985" s="73" t="n">
        <x:v>2</x:v>
      </x:c>
      <x:c r="I1985" s="73"/>
      <x:c r="J1985" s="73" t="n">
        <x:v>0</x:v>
      </x:c>
      <x:c r="K1985" s="49" t="str">
        <x:v>Un-Aided</x:v>
      </x:c>
      <x:c r="L1985" s="49" t="str">
        <x:v>MS Seats : 15+ EWS : 2</x:v>
      </x:c>
      <x:c r="M1985" s="49" t="str">
        <x:v>https://dse2025.mahacet.org.in/dse25/admin/allotment/cap2/6811_4.pdf</x:v>
      </x:c>
    </x:row>
    <x:row r="1986">
      <x:c r="A1986" s="49" t="str">
        <x:v>2025-26</x:v>
      </x:c>
      <x:c r="B1986" s="63" t="n">
        <x:v>6811</x:v>
      </x:c>
      <x:c r="C1986" s="49" t="str">
        <x:v>Sanjay Ghodawat Institute</x:v>
      </x:c>
      <x:c r="D1986" s="72" t="n">
        <x:v>681161210</x:v>
      </x:c>
      <x:c r="E1986" s="49" t="str">
        <x:v>Mechanical Engineering</x:v>
      </x:c>
      <x:c r="F1986" s="73" t="n">
        <x:v>37</x:v>
      </x:c>
      <x:c r="G1986" s="73" t="n">
        <x:v>31</x:v>
      </x:c>
      <x:c r="H1986" s="73" t="n">
        <x:v>6</x:v>
      </x:c>
      <x:c r="I1986" s="73"/>
      <x:c r="J1986" s="73" t="n">
        <x:v>0</x:v>
      </x:c>
      <x:c r="K1986" s="49" t="str">
        <x:v>Un-Aided</x:v>
      </x:c>
      <x:c r="L1986" s="49" t="str">
        <x:v>MS Seats : 31+ EWS : 6</x:v>
      </x:c>
      <x:c r="M1986" s="49" t="str">
        <x:v>https://dse2025.mahacet.org.in/dse25/admin/allotment/cap2/6811_4.pdf</x:v>
      </x:c>
    </x:row>
    <x:row r="1987">
      <x:c r="A1987" s="49" t="str">
        <x:v>2025-26</x:v>
      </x:c>
      <x:c r="B1987" s="63" t="n">
        <x:v>6815</x:v>
      </x:c>
      <x:c r="C1987" s="49" t="str">
        <x:v>Vidya Prasarini Sabha's College of Engineering &amp; Technology, Lonavala</x:v>
      </x:c>
      <x:c r="D1987" s="72" t="n">
        <x:v>681519110</x:v>
      </x:c>
      <x:c r="E1987" s="49" t="str">
        <x:v>Civil Engineering</x:v>
      </x:c>
      <x:c r="F1987" s="73" t="n">
        <x:v>21</x:v>
      </x:c>
      <x:c r="G1987" s="73" t="n">
        <x:v>18</x:v>
      </x:c>
      <x:c r="H1987" s="73" t="n">
        <x:v>3</x:v>
      </x:c>
      <x:c r="I1987" s="73"/>
      <x:c r="J1987" s="73" t="n">
        <x:v>0</x:v>
      </x:c>
      <x:c r="K1987" s="49" t="str">
        <x:v>Un-Aided</x:v>
      </x:c>
      <x:c r="L1987" s="49" t="str">
        <x:v>MS Seats : 18+ EWS : 3</x:v>
      </x:c>
      <x:c r="M1987" s="49" t="str">
        <x:v>https://dse2025.mahacet.org.in/dse25/admin/allotment/cap2/6815_4.pdf</x:v>
      </x:c>
    </x:row>
    <x:row r="1988">
      <x:c r="A1988" s="49" t="str">
        <x:v>2025-26</x:v>
      </x:c>
      <x:c r="B1988" s="63" t="n">
        <x:v>6815</x:v>
      </x:c>
      <x:c r="C1988" s="49" t="str">
        <x:v>Vidya Prasarini Sabha's College of Engineering &amp; Technology, Lonavala</x:v>
      </x:c>
      <x:c r="D1988" s="72" t="n">
        <x:v>681524510</x:v>
      </x:c>
      <x:c r="E1988" s="49" t="str">
        <x:v>Computer Engineering</x:v>
      </x:c>
      <x:c r="F1988" s="73" t="n">
        <x:v>12</x:v>
      </x:c>
      <x:c r="G1988" s="73" t="n">
        <x:v>11</x:v>
      </x:c>
      <x:c r="H1988" s="73" t="n">
        <x:v>1</x:v>
      </x:c>
      <x:c r="I1988" s="73"/>
      <x:c r="J1988" s="73" t="n">
        <x:v>0</x:v>
      </x:c>
      <x:c r="K1988" s="49" t="str">
        <x:v>Un-Aided</x:v>
      </x:c>
      <x:c r="L1988" s="49" t="str">
        <x:v>MS Seats : 11+ EWS : 1</x:v>
      </x:c>
      <x:c r="M1988" s="49" t="str">
        <x:v>https://dse2025.mahacet.org.in/dse25/admin/allotment/cap2/6815_4.pdf</x:v>
      </x:c>
    </x:row>
    <x:row r="1989">
      <x:c r="A1989" s="49" t="str">
        <x:v>2025-26</x:v>
      </x:c>
      <x:c r="B1989" s="63" t="n">
        <x:v>6815</x:v>
      </x:c>
      <x:c r="C1989" s="49" t="str">
        <x:v>Vidya Prasarini Sabha's College of Engineering &amp; Technology, Lonavala</x:v>
      </x:c>
      <x:c r="D1989" s="72" t="n">
        <x:v>681561210</x:v>
      </x:c>
      <x:c r="E1989" s="49" t="str">
        <x:v>Mechanical Engineering</x:v>
      </x:c>
      <x:c r="F1989" s="73" t="n">
        <x:v>34</x:v>
      </x:c>
      <x:c r="G1989" s="73" t="n">
        <x:v>28</x:v>
      </x:c>
      <x:c r="H1989" s="73" t="n">
        <x:v>6</x:v>
      </x:c>
      <x:c r="I1989" s="73"/>
      <x:c r="J1989" s="73" t="n">
        <x:v>0</x:v>
      </x:c>
      <x:c r="K1989" s="49" t="str">
        <x:v>Un-Aided</x:v>
      </x:c>
      <x:c r="L1989" s="49" t="str">
        <x:v>MS Seats : 28+ EWS : 6</x:v>
      </x:c>
      <x:c r="M1989" s="49" t="str">
        <x:v>https://dse2025.mahacet.org.in/dse25/admin/allotment/cap2/6815_4.pdf</x:v>
      </x:c>
    </x:row>
    <x:row r="1990">
      <x:c r="A1990" s="49" t="str">
        <x:v>2025-26</x:v>
      </x:c>
      <x:c r="B1990" s="63" t="n">
        <x:v>6822</x:v>
      </x:c>
      <x:c r="C1990" s="49" t="str">
        <x:v>Pimpri Chinchwad Education Trust's Pimpri Chinchwad College Of Engineering And Research, Ravet</x:v>
      </x:c>
      <x:c r="D1990" s="72" t="n">
        <x:v>682219110</x:v>
      </x:c>
      <x:c r="E1990" s="49" t="str">
        <x:v>Civil Engineering</x:v>
      </x:c>
      <x:c r="F1990" s="73" t="n">
        <x:v>17</x:v>
      </x:c>
      <x:c r="G1990" s="73" t="n">
        <x:v>14</x:v>
      </x:c>
      <x:c r="H1990" s="73" t="n">
        <x:v>3</x:v>
      </x:c>
      <x:c r="I1990" s="73"/>
      <x:c r="J1990" s="73" t="n">
        <x:v>0</x:v>
      </x:c>
      <x:c r="K1990" s="49" t="str">
        <x:v>Un-Aided</x:v>
      </x:c>
      <x:c r="L1990" s="49" t="str">
        <x:v>MS Seats : 14+ EWS : 3</x:v>
      </x:c>
      <x:c r="M1990" s="49" t="str">
        <x:v>https://dse2025.mahacet.org.in/dse25/admin/allotment/cap2/6822_4.pdf</x:v>
      </x:c>
    </x:row>
    <x:row r="1991">
      <x:c r="A1991" s="49" t="str">
        <x:v>2025-26</x:v>
      </x:c>
      <x:c r="B1991" s="63" t="n">
        <x:v>6822</x:v>
      </x:c>
      <x:c r="C1991" s="49" t="str">
        <x:v>Pimpri Chinchwad Education Trust's Pimpri Chinchwad College Of Engineering And Research, Ravet</x:v>
      </x:c>
      <x:c r="D1991" s="72" t="n">
        <x:v>682224510</x:v>
      </x:c>
      <x:c r="E1991" s="49" t="str">
        <x:v>Computer Engineering</x:v>
      </x:c>
      <x:c r="F1991" s="73" t="n">
        <x:v>53</x:v>
      </x:c>
      <x:c r="G1991" s="73" t="n">
        <x:v>41</x:v>
      </x:c>
      <x:c r="H1991" s="73" t="n">
        <x:v>12</x:v>
      </x:c>
      <x:c r="I1991" s="73"/>
      <x:c r="J1991" s="73" t="n">
        <x:v>0</x:v>
      </x:c>
      <x:c r="K1991" s="49" t="str">
        <x:v>Un-Aided</x:v>
      </x:c>
      <x:c r="L1991" s="49" t="str">
        <x:v>MS Seats : 41+ EWS : 12</x:v>
      </x:c>
      <x:c r="M1991" s="49" t="str">
        <x:v>https://dse2025.mahacet.org.in/dse25/admin/allotment/cap2/6822_4.pdf</x:v>
      </x:c>
    </x:row>
    <x:row r="1992">
      <x:c r="A1992" s="49" t="str">
        <x:v>2025-26</x:v>
      </x:c>
      <x:c r="B1992" s="63" t="n">
        <x:v>6822</x:v>
      </x:c>
      <x:c r="C1992" s="49" t="str">
        <x:v>Pimpri Chinchwad Education Trust's Pimpri Chinchwad College Of Engineering And Research, Ravet</x:v>
      </x:c>
      <x:c r="D1992" s="72" t="n">
        <x:v>682224610</x:v>
      </x:c>
      <x:c r="E1992" s="49" t="str">
        <x:v>Information Technology</x:v>
      </x:c>
      <x:c r="F1992" s="73" t="n">
        <x:v>10</x:v>
      </x:c>
      <x:c r="G1992" s="73" t="n">
        <x:v>7</x:v>
      </x:c>
      <x:c r="H1992" s="73" t="n">
        <x:v>3</x:v>
      </x:c>
      <x:c r="I1992" s="73"/>
      <x:c r="J1992" s="73" t="n">
        <x:v>0</x:v>
      </x:c>
      <x:c r="K1992" s="49" t="str">
        <x:v>Un-Aided</x:v>
      </x:c>
      <x:c r="L1992" s="49" t="str">
        <x:v>MS Seats : 7+ EWS : 3</x:v>
      </x:c>
      <x:c r="M1992" s="49" t="str">
        <x:v>https://dse2025.mahacet.org.in/dse25/admin/allotment/cap2/6822_4.pdf</x:v>
      </x:c>
    </x:row>
    <x:row r="1993">
      <x:c r="A1993" s="49" t="str">
        <x:v>2025-26</x:v>
      </x:c>
      <x:c r="B1993" s="63" t="n">
        <x:v>6822</x:v>
      </x:c>
      <x:c r="C1993" s="49" t="str">
        <x:v>Pimpri Chinchwad Education Trust's Pimpri Chinchwad College Of Engineering And Research, Ravet</x:v>
      </x:c>
      <x:c r="D1993" s="72" t="n">
        <x:v>682237210</x:v>
      </x:c>
      <x:c r="E1993" s="49" t="str">
        <x:v>Electronics and Telecommunication Engg</x:v>
      </x:c>
      <x:c r="F1993" s="73" t="n">
        <x:v>10</x:v>
      </x:c>
      <x:c r="G1993" s="73" t="n">
        <x:v>7</x:v>
      </x:c>
      <x:c r="H1993" s="73" t="n">
        <x:v>3</x:v>
      </x:c>
      <x:c r="I1993" s="73"/>
      <x:c r="J1993" s="73" t="n">
        <x:v>0</x:v>
      </x:c>
      <x:c r="K1993" s="49" t="str">
        <x:v>Un-Aided</x:v>
      </x:c>
      <x:c r="L1993" s="49" t="str">
        <x:v>MS Seats : 7+ EWS : 3</x:v>
      </x:c>
      <x:c r="M1993" s="49" t="str">
        <x:v>https://dse2025.mahacet.org.in/dse25/admin/allotment/cap2/6822_4.pdf</x:v>
      </x:c>
    </x:row>
    <x:row r="1994">
      <x:c r="A1994" s="49" t="str">
        <x:v>2025-26</x:v>
      </x:c>
      <x:c r="B1994" s="63" t="n">
        <x:v>6822</x:v>
      </x:c>
      <x:c r="C1994" s="49" t="str">
        <x:v>Pimpri Chinchwad Education Trust's Pimpri Chinchwad College Of Engineering And Research, Ravet</x:v>
      </x:c>
      <x:c r="D1994" s="72" t="n">
        <x:v>682261210</x:v>
      </x:c>
      <x:c r="E1994" s="49" t="str">
        <x:v>Mechanical Engineering</x:v>
      </x:c>
      <x:c r="F1994" s="73" t="n">
        <x:v>17</x:v>
      </x:c>
      <x:c r="G1994" s="73" t="n">
        <x:v>13</x:v>
      </x:c>
      <x:c r="H1994" s="73" t="n">
        <x:v>4</x:v>
      </x:c>
      <x:c r="I1994" s="73"/>
      <x:c r="J1994" s="73" t="n">
        <x:v>0</x:v>
      </x:c>
      <x:c r="K1994" s="49" t="str">
        <x:v>Un-Aided</x:v>
      </x:c>
      <x:c r="L1994" s="49" t="str">
        <x:v>MS Seats : 13+ EWS : 4</x:v>
      </x:c>
      <x:c r="M1994" s="49" t="str">
        <x:v>https://dse2025.mahacet.org.in/dse25/admin/allotment/cap2/6822_4.pdf</x:v>
      </x:c>
    </x:row>
    <x:row r="1995">
      <x:c r="A1995" s="49" t="str">
        <x:v>2025-26</x:v>
      </x:c>
      <x:c r="B1995" s="63" t="n">
        <x:v>6834</x:v>
      </x:c>
      <x:c r="C1995" s="49" t="str">
        <x:v>Dr.D.Y.Patil College Of Engineering &amp; Innovation,Talegaon</x:v>
      </x:c>
      <x:c r="D1995" s="72" t="n">
        <x:v>683424510</x:v>
      </x:c>
      <x:c r="E1995" s="49" t="str">
        <x:v>Computer Engineering</x:v>
      </x:c>
      <x:c r="F1995" s="73" t="n">
        <x:v>67</x:v>
      </x:c>
      <x:c r="G1995" s="73" t="n">
        <x:v>59</x:v>
      </x:c>
      <x:c r="H1995" s="73" t="n">
        <x:v>8</x:v>
      </x:c>
      <x:c r="I1995" s="73"/>
      <x:c r="J1995" s="73" t="n">
        <x:v>0</x:v>
      </x:c>
      <x:c r="K1995" s="49" t="str">
        <x:v>Un-Aided</x:v>
      </x:c>
      <x:c r="L1995" s="49" t="str">
        <x:v>MS Seats : 59+ EWS : 8</x:v>
      </x:c>
      <x:c r="M1995" s="49" t="str">
        <x:v>https://dse2025.mahacet.org.in/dse25/admin/allotment/cap2/6834_4.pdf</x:v>
      </x:c>
    </x:row>
    <x:row r="1996">
      <x:c r="A1996" s="49" t="str">
        <x:v>2025-26</x:v>
      </x:c>
      <x:c r="B1996" s="63" t="n">
        <x:v>6834</x:v>
      </x:c>
      <x:c r="C1996" s="49" t="str">
        <x:v>Dr.D.Y.Patil College Of Engineering &amp; Innovation,Talegaon</x:v>
      </x:c>
      <x:c r="D1996" s="72" t="n">
        <x:v>683426310</x:v>
      </x:c>
      <x:c r="E1996" s="49" t="str">
        <x:v>Artificial Intelligence (AI) and Data Science</x:v>
      </x:c>
      <x:c r="F1996" s="73" t="n">
        <x:v>26</x:v>
      </x:c>
      <x:c r="G1996" s="73" t="n">
        <x:v>22</x:v>
      </x:c>
      <x:c r="H1996" s="73" t="n">
        <x:v>4</x:v>
      </x:c>
      <x:c r="I1996" s="73"/>
      <x:c r="J1996" s="73" t="n">
        <x:v>0</x:v>
      </x:c>
      <x:c r="K1996" s="49" t="str">
        <x:v>Un-Aided</x:v>
      </x:c>
      <x:c r="L1996" s="49" t="str">
        <x:v>MS Seats : 22+ EWS : 4</x:v>
      </x:c>
      <x:c r="M1996" s="49" t="str">
        <x:v>https://dse2025.mahacet.org.in/dse25/admin/allotment/cap2/6834_4.pdf</x:v>
      </x:c>
    </x:row>
    <x:row r="1997">
      <x:c r="A1997" s="49" t="str">
        <x:v>2025-26</x:v>
      </x:c>
      <x:c r="B1997" s="63" t="n">
        <x:v>6839</x:v>
      </x:c>
      <x:c r="C1997" s="49" t="str">
        <x:v>Dr. D Y Patil Pratishthan's College of Engineering, Kolhapur</x:v>
      </x:c>
      <x:c r="D1997" s="72" t="n">
        <x:v>683919110</x:v>
      </x:c>
      <x:c r="E1997" s="49" t="str">
        <x:v>Civil Engineering</x:v>
      </x:c>
      <x:c r="F1997" s="73" t="n">
        <x:v>27</x:v>
      </x:c>
      <x:c r="G1997" s="73" t="n">
        <x:v>20</x:v>
      </x:c>
      <x:c r="H1997" s="73" t="n">
        <x:v>7</x:v>
      </x:c>
      <x:c r="I1997" s="73"/>
      <x:c r="J1997" s="73" t="n">
        <x:v>0</x:v>
      </x:c>
      <x:c r="K1997" s="49" t="str">
        <x:v>Un-Aided</x:v>
      </x:c>
      <x:c r="L1997" s="49" t="str">
        <x:v>MS Seats : 20+ EWS : 7</x:v>
      </x:c>
      <x:c r="M1997" s="49" t="str">
        <x:v>https://dse2025.mahacet.org.in/dse25/admin/allotment/cap2/6839_4.pdf</x:v>
      </x:c>
    </x:row>
    <x:row r="1998">
      <x:c r="A1998" s="49" t="str">
        <x:v>2025-26</x:v>
      </x:c>
      <x:c r="B1998" s="63" t="n">
        <x:v>6839</x:v>
      </x:c>
      <x:c r="C1998" s="49" t="str">
        <x:v>Dr. D Y Patil Pratishthan's College of Engineering, Kolhapur</x:v>
      </x:c>
      <x:c r="D1998" s="72" t="n">
        <x:v>683924210</x:v>
      </x:c>
      <x:c r="E1998" s="49" t="str">
        <x:v>Computer Science and Engineering</x:v>
      </x:c>
      <x:c r="F1998" s="73" t="n">
        <x:v>31</x:v>
      </x:c>
      <x:c r="G1998" s="73" t="n">
        <x:v>24</x:v>
      </x:c>
      <x:c r="H1998" s="73" t="n">
        <x:v>7</x:v>
      </x:c>
      <x:c r="I1998" s="73"/>
      <x:c r="J1998" s="73" t="n">
        <x:v>0</x:v>
      </x:c>
      <x:c r="K1998" s="49" t="str">
        <x:v>Un-Aided</x:v>
      </x:c>
      <x:c r="L1998" s="49" t="str">
        <x:v>MS Seats : 24+ EWS : 7</x:v>
      </x:c>
      <x:c r="M1998" s="49" t="str">
        <x:v>https://dse2025.mahacet.org.in/dse25/admin/allotment/cap2/6839_4.pdf</x:v>
      </x:c>
    </x:row>
    <x:row r="1999">
      <x:c r="A1999" s="49" t="str">
        <x:v>2025-26</x:v>
      </x:c>
      <x:c r="B1999" s="63" t="n">
        <x:v>6839</x:v>
      </x:c>
      <x:c r="C1999" s="49" t="str">
        <x:v>Dr. D Y Patil Pratishthan's College of Engineering, Kolhapur</x:v>
      </x:c>
      <x:c r="D1999" s="72" t="n">
        <x:v>683929310</x:v>
      </x:c>
      <x:c r="E1999" s="49" t="str">
        <x:v>Electrical Engineering</x:v>
      </x:c>
      <x:c r="F1999" s="73" t="n">
        <x:v>21</x:v>
      </x:c>
      <x:c r="G1999" s="73" t="n">
        <x:v>16</x:v>
      </x:c>
      <x:c r="H1999" s="73" t="n">
        <x:v>5</x:v>
      </x:c>
      <x:c r="I1999" s="73"/>
      <x:c r="J1999" s="73" t="n">
        <x:v>0</x:v>
      </x:c>
      <x:c r="K1999" s="49" t="str">
        <x:v>Un-Aided</x:v>
      </x:c>
      <x:c r="L1999" s="49" t="str">
        <x:v>MS Seats : 16+ EWS : 5</x:v>
      </x:c>
      <x:c r="M1999" s="49" t="str">
        <x:v>https://dse2025.mahacet.org.in/dse25/admin/allotment/cap2/6839_4.pdf</x:v>
      </x:c>
    </x:row>
    <x:row r="2000">
      <x:c r="A2000" s="49" t="str">
        <x:v>2025-26</x:v>
      </x:c>
      <x:c r="B2000" s="63" t="n">
        <x:v>6839</x:v>
      </x:c>
      <x:c r="C2000" s="49" t="str">
        <x:v>Dr. D Y Patil Pratishthan's College of Engineering, Kolhapur</x:v>
      </x:c>
      <x:c r="D2000" s="72" t="n">
        <x:v>683991210</x:v>
      </x:c>
      <x:c r="E2000" s="49" t="str">
        <x:v>Computer Science and Engineering(Data Science)</x:v>
      </x:c>
      <x:c r="F2000" s="73" t="n">
        <x:v>8</x:v>
      </x:c>
      <x:c r="G2000" s="73" t="n">
        <x:v>7</x:v>
      </x:c>
      <x:c r="H2000" s="73" t="n">
        <x:v>1</x:v>
      </x:c>
      <x:c r="I2000" s="73"/>
      <x:c r="J2000" s="73" t="n">
        <x:v>0</x:v>
      </x:c>
      <x:c r="K2000" s="49" t="str">
        <x:v>Un-Aided</x:v>
      </x:c>
      <x:c r="L2000" s="49" t="str">
        <x:v>MS Seats : 7+ EWS : 1</x:v>
      </x:c>
      <x:c r="M2000" s="49" t="str">
        <x:v>https://dse2025.mahacet.org.in/dse25/admin/allotment/cap2/6839_4.pdf</x:v>
      </x:c>
    </x:row>
    <x:row r="2001">
      <x:c r="A2001" s="49" t="str">
        <x:v>2025-26</x:v>
      </x:c>
      <x:c r="B2001" s="63" t="n">
        <x:v>6878</x:v>
      </x:c>
      <x:c r="C2001" s="49" t="str">
        <x:v>Dr. A. D. Shinde College Of Engineering, Tal.Gadhinglaj, Kolhapur</x:v>
      </x:c>
      <x:c r="D2001" s="72" t="n">
        <x:v>687819110</x:v>
      </x:c>
      <x:c r="E2001" s="49" t="str">
        <x:v>Civil Engineering</x:v>
      </x:c>
      <x:c r="F2001" s="73" t="n">
        <x:v>33</x:v>
      </x:c>
      <x:c r="G2001" s="73" t="n">
        <x:v>30</x:v>
      </x:c>
      <x:c r="H2001" s="73" t="n">
        <x:v>3</x:v>
      </x:c>
      <x:c r="I2001" s="73"/>
      <x:c r="J2001" s="73" t="n">
        <x:v>0</x:v>
      </x:c>
      <x:c r="K2001" s="49" t="str">
        <x:v>Un-Aided</x:v>
      </x:c>
      <x:c r="L2001" s="49" t="str">
        <x:v>MS Seats : 30+ EWS : 3</x:v>
      </x:c>
      <x:c r="M2001" s="49" t="str">
        <x:v>https://dse2025.mahacet.org.in/dse25/admin/allotment/cap2/6878_4.pdf</x:v>
      </x:c>
    </x:row>
    <x:row r="2002">
      <x:c r="A2002" s="49" t="str">
        <x:v>2025-26</x:v>
      </x:c>
      <x:c r="B2002" s="63" t="n">
        <x:v>6878</x:v>
      </x:c>
      <x:c r="C2002" s="49" t="str">
        <x:v>Dr. A. D. Shinde College Of Engineering, Tal.Gadhinglaj, Kolhapur</x:v>
      </x:c>
      <x:c r="D2002" s="72" t="n">
        <x:v>687819190</x:v>
      </x:c>
      <x:c r="E2002" s="49" t="str">
        <x:v>Civil Engineering</x:v>
      </x:c>
      <x:c r="F2002" s="73" t="n">
        <x:v>37</x:v>
      </x:c>
      <x:c r="G2002" s="73" t="n">
        <x:v>34</x:v>
      </x:c>
      <x:c r="H2002" s="73" t="n">
        <x:v>3</x:v>
      </x:c>
      <x:c r="I2002" s="73"/>
      <x:c r="J2002" s="73" t="n">
        <x:v>0</x:v>
      </x:c>
      <x:c r="K2002" s="49" t="str">
        <x:v>Un-Aided</x:v>
      </x:c>
      <x:c r="L2002" s="49" t="str">
        <x:v>MS Seats : 34+ EWS : 3</x:v>
      </x:c>
      <x:c r="M2002" s="49" t="str">
        <x:v>https://dse2025.mahacet.org.in/dse25/admin/allotment/cap2/6878_4.pdf</x:v>
      </x:c>
    </x:row>
    <x:row r="2003">
      <x:c r="A2003" s="49" t="str">
        <x:v>2025-26</x:v>
      </x:c>
      <x:c r="B2003" s="63" t="n">
        <x:v>6878</x:v>
      </x:c>
      <x:c r="C2003" s="49" t="str">
        <x:v>Dr. A. D. Shinde College Of Engineering, Tal.Gadhinglaj, Kolhapur</x:v>
      </x:c>
      <x:c r="D2003" s="72" t="n">
        <x:v>687824210</x:v>
      </x:c>
      <x:c r="E2003" s="49" t="str">
        <x:v>Computer Science and Engineering</x:v>
      </x:c>
      <x:c r="F2003" s="73" t="n">
        <x:v>37</x:v>
      </x:c>
      <x:c r="G2003" s="73" t="n">
        <x:v>31</x:v>
      </x:c>
      <x:c r="H2003" s="73" t="n">
        <x:v>6</x:v>
      </x:c>
      <x:c r="I2003" s="73"/>
      <x:c r="J2003" s="73" t="n">
        <x:v>0</x:v>
      </x:c>
      <x:c r="K2003" s="49" t="str">
        <x:v>Un-Aided</x:v>
      </x:c>
      <x:c r="L2003" s="49" t="str">
        <x:v>MS Seats : 31+ EWS : 6</x:v>
      </x:c>
      <x:c r="M2003" s="49" t="str">
        <x:v>https://dse2025.mahacet.org.in/dse25/admin/allotment/cap2/6878_4.pdf</x:v>
      </x:c>
    </x:row>
    <x:row r="2004">
      <x:c r="A2004" s="49" t="str">
        <x:v>2025-26</x:v>
      </x:c>
      <x:c r="B2004" s="63" t="n">
        <x:v>6878</x:v>
      </x:c>
      <x:c r="C2004" s="49" t="str">
        <x:v>Dr. A. D. Shinde College Of Engineering, Tal.Gadhinglaj, Kolhapur</x:v>
      </x:c>
      <x:c r="D2004" s="72" t="n">
        <x:v>687825910</x:v>
      </x:c>
      <x:c r="E2004" s="49" t="str">
        <x:v>Mechanical and Mechatronics Engineering (Additive Manufacturing)</x:v>
      </x:c>
      <x:c r="F2004" s="73" t="n">
        <x:v>71</x:v>
      </x:c>
      <x:c r="G2004" s="73" t="n">
        <x:v>64</x:v>
      </x:c>
      <x:c r="H2004" s="73" t="n">
        <x:v>7</x:v>
      </x:c>
      <x:c r="I2004" s="73"/>
      <x:c r="J2004" s="73" t="n">
        <x:v>0</x:v>
      </x:c>
      <x:c r="K2004" s="49" t="str">
        <x:v>Un-Aided</x:v>
      </x:c>
      <x:c r="L2004" s="49" t="str">
        <x:v>MS Seats : 64+ EWS : 7</x:v>
      </x:c>
      <x:c r="M2004" s="49" t="str">
        <x:v>https://dse2025.mahacet.org.in/dse25/admin/allotment/cap2/6878_4.pdf</x:v>
      </x:c>
    </x:row>
    <x:row r="2005">
      <x:c r="A2005" s="49" t="str">
        <x:v>2025-26</x:v>
      </x:c>
      <x:c r="B2005" s="63" t="n">
        <x:v>6878</x:v>
      </x:c>
      <x:c r="C2005" s="49" t="str">
        <x:v>Dr. A. D. Shinde College Of Engineering, Tal.Gadhinglaj, Kolhapur</x:v>
      </x:c>
      <x:c r="D2005" s="72" t="n">
        <x:v>687890010</x:v>
      </x:c>
      <x:c r="E2005" s="49" t="str">
        <x:v>Electronics and Computer Science</x:v>
      </x:c>
      <x:c r="F2005" s="73" t="n">
        <x:v>138</x:v>
      </x:c>
      <x:c r="G2005" s="73" t="n">
        <x:v>124</x:v>
      </x:c>
      <x:c r="H2005" s="73" t="n">
        <x:v>14</x:v>
      </x:c>
      <x:c r="I2005" s="73"/>
      <x:c r="J2005" s="73" t="n">
        <x:v>0</x:v>
      </x:c>
      <x:c r="K2005" s="49" t="str">
        <x:v>Un-Aided</x:v>
      </x:c>
      <x:c r="L2005" s="49" t="str">
        <x:v>MS Seats : 124+ EWS : 14</x:v>
      </x:c>
      <x:c r="M2005" s="49" t="str">
        <x:v>https://dse2025.mahacet.org.in/dse25/admin/allotment/cap2/6878_4.pdf</x:v>
      </x:c>
    </x:row>
    <x:row r="2006">
      <x:c r="A2006" s="49" t="str">
        <x:v>2025-26</x:v>
      </x:c>
      <x:c r="B2006" s="63" t="n">
        <x:v>6878</x:v>
      </x:c>
      <x:c r="C2006" s="49" t="str">
        <x:v>Dr. A. D. Shinde College Of Engineering, Tal.Gadhinglaj, Kolhapur</x:v>
      </x:c>
      <x:c r="D2006" s="72" t="n">
        <x:v>687891110</x:v>
      </x:c>
      <x:c r="E2006" s="49" t="str">
        <x:v>Computer Science and Engineering(Artificial Intelligence and Machine Learning)</x:v>
      </x:c>
      <x:c r="F2006" s="73" t="n">
        <x:v>23</x:v>
      </x:c>
      <x:c r="G2006" s="73" t="n">
        <x:v>20</x:v>
      </x:c>
      <x:c r="H2006" s="73" t="n">
        <x:v>3</x:v>
      </x:c>
      <x:c r="I2006" s="73"/>
      <x:c r="J2006" s="73" t="n">
        <x:v>0</x:v>
      </x:c>
      <x:c r="K2006" s="49" t="str">
        <x:v>Un-Aided</x:v>
      </x:c>
      <x:c r="L2006" s="49" t="str">
        <x:v>MS Seats : 20+ EWS : 3</x:v>
      </x:c>
      <x:c r="M2006" s="49" t="str">
        <x:v>https://dse2025.mahacet.org.in/dse25/admin/allotment/cap2/6878_4.pdf</x:v>
      </x:c>
    </x:row>
    <x:row r="2007">
      <x:c r="A2007" s="49" t="str">
        <x:v>2025-26</x:v>
      </x:c>
      <x:c r="B2007" s="63" t="n">
        <x:v>6878</x:v>
      </x:c>
      <x:c r="C2007" s="49" t="str">
        <x:v>Dr. A. D. Shinde College Of Engineering, Tal.Gadhinglaj, Kolhapur</x:v>
      </x:c>
      <x:c r="D2007" s="72" t="n">
        <x:v>687892610</x:v>
      </x:c>
      <x:c r="E2007" s="49" t="str">
        <x:v>Electrical and Computer Engineering</x:v>
      </x:c>
      <x:c r="F2007" s="73" t="n">
        <x:v>73</x:v>
      </x:c>
      <x:c r="G2007" s="73" t="n">
        <x:v>66</x:v>
      </x:c>
      <x:c r="H2007" s="73" t="n">
        <x:v>7</x:v>
      </x:c>
      <x:c r="I2007" s="73"/>
      <x:c r="J2007" s="73" t="n">
        <x:v>0</x:v>
      </x:c>
      <x:c r="K2007" s="49" t="str">
        <x:v>Un-Aided</x:v>
      </x:c>
      <x:c r="L2007" s="49" t="str">
        <x:v>MS Seats : 66+ EWS : 7</x:v>
      </x:c>
      <x:c r="M2007" s="49" t="str">
        <x:v>https://dse2025.mahacet.org.in/dse25/admin/allotment/cap2/6878_4.pdf</x:v>
      </x:c>
    </x:row>
    <x:row r="2008">
      <x:c r="A2008" s="49" t="str">
        <x:v>2025-26</x:v>
      </x:c>
      <x:c r="B2008" s="63" t="n">
        <x:v>6901</x:v>
      </x:c>
      <x:c r="C2008" s="49" t="str">
        <x:v>MAEER's MIT College of Railway Engineering and Research, Jamgaon, Barshi</x:v>
      </x:c>
      <x:c r="D2008" s="72" t="n">
        <x:v>690119110</x:v>
      </x:c>
      <x:c r="E2008" s="49" t="str">
        <x:v>Civil Engineering</x:v>
      </x:c>
      <x:c r="F2008" s="73" t="n">
        <x:v>22</x:v>
      </x:c>
      <x:c r="G2008" s="73" t="n">
        <x:v>20</x:v>
      </x:c>
      <x:c r="H2008" s="73" t="n">
        <x:v>2</x:v>
      </x:c>
      <x:c r="I2008" s="73"/>
      <x:c r="J2008" s="73" t="n">
        <x:v>0</x:v>
      </x:c>
      <x:c r="K2008" s="49" t="str">
        <x:v>Un-Aided</x:v>
      </x:c>
      <x:c r="L2008" s="49" t="str">
        <x:v>MS Seats : 20+ EWS : 2</x:v>
      </x:c>
      <x:c r="M2008" s="49" t="str">
        <x:v>https://dse2025.mahacet.org.in/dse25/admin/allotment/cap2/6901_4.pdf</x:v>
      </x:c>
    </x:row>
    <x:row r="2009">
      <x:c r="A2009" s="49" t="str">
        <x:v>2025-26</x:v>
      </x:c>
      <x:c r="B2009" s="63" t="n">
        <x:v>6901</x:v>
      </x:c>
      <x:c r="C2009" s="49" t="str">
        <x:v>MAEER's MIT College of Railway Engineering and Research, Jamgaon, Barshi</x:v>
      </x:c>
      <x:c r="D2009" s="72" t="n">
        <x:v>690124210</x:v>
      </x:c>
      <x:c r="E2009" s="49" t="str">
        <x:v>Computer Science and Engineering</x:v>
      </x:c>
      <x:c r="F2009" s="73" t="n">
        <x:v>39</x:v>
      </x:c>
      <x:c r="G2009" s="73" t="n">
        <x:v>38</x:v>
      </x:c>
      <x:c r="H2009" s="73" t="n">
        <x:v>1</x:v>
      </x:c>
      <x:c r="I2009" s="73"/>
      <x:c r="J2009" s="73" t="n">
        <x:v>0</x:v>
      </x:c>
      <x:c r="K2009" s="49" t="str">
        <x:v>Un-Aided</x:v>
      </x:c>
      <x:c r="L2009" s="49" t="str">
        <x:v>MS Seats : 38+ EWS : 1</x:v>
      </x:c>
      <x:c r="M2009" s="49" t="str">
        <x:v>https://dse2025.mahacet.org.in/dse25/admin/allotment/cap2/6901_4.pdf</x:v>
      </x:c>
    </x:row>
    <x:row r="2010">
      <x:c r="A2010" s="49" t="str">
        <x:v>2025-26</x:v>
      </x:c>
      <x:c r="B2010" s="63" t="n">
        <x:v>6901</x:v>
      </x:c>
      <x:c r="C2010" s="49" t="str">
        <x:v>MAEER's MIT College of Railway Engineering and Research, Jamgaon, Barshi</x:v>
      </x:c>
      <x:c r="D2010" s="72" t="n">
        <x:v>690137210</x:v>
      </x:c>
      <x:c r="E2010" s="49" t="str">
        <x:v>Electronics and Telecommunication Engg</x:v>
      </x:c>
      <x:c r="F2010" s="73" t="n">
        <x:v>28</x:v>
      </x:c>
      <x:c r="G2010" s="73" t="n">
        <x:v>27</x:v>
      </x:c>
      <x:c r="H2010" s="73" t="n">
        <x:v>1</x:v>
      </x:c>
      <x:c r="I2010" s="73"/>
      <x:c r="J2010" s="73" t="n">
        <x:v>0</x:v>
      </x:c>
      <x:c r="K2010" s="49" t="str">
        <x:v>Un-Aided</x:v>
      </x:c>
      <x:c r="L2010" s="49" t="str">
        <x:v>MS Seats : 27+ EWS : 1</x:v>
      </x:c>
      <x:c r="M2010" s="49" t="str">
        <x:v>https://dse2025.mahacet.org.in/dse25/admin/allotment/cap2/6901_4.pdf</x:v>
      </x:c>
    </x:row>
    <x:row r="2011">
      <x:c r="A2011" s="49" t="str">
        <x:v>2025-26</x:v>
      </x:c>
      <x:c r="B2011" s="63" t="n">
        <x:v>6901</x:v>
      </x:c>
      <x:c r="C2011" s="49" t="str">
        <x:v>MAEER's MIT College of Railway Engineering and Research, Jamgaon, Barshi</x:v>
      </x:c>
      <x:c r="D2011" s="72" t="n">
        <x:v>690161210</x:v>
      </x:c>
      <x:c r="E2011" s="49" t="str">
        <x:v>Mechanical Engineering</x:v>
      </x:c>
      <x:c r="F2011" s="73" t="n">
        <x:v>54</x:v>
      </x:c>
      <x:c r="G2011" s="73" t="n">
        <x:v>49</x:v>
      </x:c>
      <x:c r="H2011" s="73" t="n">
        <x:v>5</x:v>
      </x:c>
      <x:c r="I2011" s="73"/>
      <x:c r="J2011" s="73" t="n">
        <x:v>0</x:v>
      </x:c>
      <x:c r="K2011" s="49" t="str">
        <x:v>Un-Aided</x:v>
      </x:c>
      <x:c r="L2011" s="49" t="str">
        <x:v>MS Seats : 49+ EWS : 5</x:v>
      </x:c>
      <x:c r="M2011" s="49" t="str">
        <x:v>https://dse2025.mahacet.org.in/dse25/admin/allotment/cap2/6901_4.pdf</x:v>
      </x:c>
    </x:row>
    <x:row r="2012">
      <x:c r="A2012" s="49" t="str">
        <x:v>2025-26</x:v>
      </x:c>
      <x:c r="B2012" s="63" t="n">
        <x:v>6901</x:v>
      </x:c>
      <x:c r="C2012" s="49" t="str">
        <x:v>MAEER's MIT College of Railway Engineering and Research, Jamgaon, Barshi</x:v>
      </x:c>
      <x:c r="D2012" s="72" t="n">
        <x:v>690184410</x:v>
      </x:c>
      <x:c r="E2012" s="49" t="str">
        <x:v>Electronics and Computer Engineering</x:v>
      </x:c>
      <x:c r="F2012" s="73" t="n">
        <x:v>30</x:v>
      </x:c>
      <x:c r="G2012" s="73" t="n">
        <x:v>25</x:v>
      </x:c>
      <x:c r="H2012" s="73" t="n">
        <x:v>5</x:v>
      </x:c>
      <x:c r="I2012" s="73"/>
      <x:c r="J2012" s="73" t="n">
        <x:v>0</x:v>
      </x:c>
      <x:c r="K2012" s="49" t="str">
        <x:v>Un-Aided</x:v>
      </x:c>
      <x:c r="L2012" s="49" t="str">
        <x:v>MS Seats : 25+ EWS : 5</x:v>
      </x:c>
      <x:c r="M2012" s="49" t="str">
        <x:v>https://dse2025.mahacet.org.in/dse25/admin/allotment/cap2/6901_4.pdf</x:v>
      </x:c>
    </x:row>
    <x:row r="2013">
      <x:c r="A2013" s="49" t="str">
        <x:v>2025-26</x:v>
      </x:c>
      <x:c r="B2013" s="63" t="n">
        <x:v>6938</x:v>
      </x:c>
      <x:c r="C2013" s="49" t="str">
        <x:v>Shree Siddheshwar Womens College Of Engineering Solapur.</x:v>
      </x:c>
      <x:c r="D2013" s="72" t="n">
        <x:v>693824250</x:v>
      </x:c>
      <x:c r="E2013" s="49" t="str">
        <x:v>Computer Science and Engineering</x:v>
      </x:c>
      <x:c r="F2013" s="73" t="n">
        <x:v>22</x:v>
      </x:c>
      <x:c r="G2013" s="73" t="n">
        <x:v>20</x:v>
      </x:c>
      <x:c r="H2013" s="73" t="n">
        <x:v>2</x:v>
      </x:c>
      <x:c r="I2013" s="73"/>
      <x:c r="J2013" s="73" t="n">
        <x:v>0</x:v>
      </x:c>
      <x:c r="K2013" s="49" t="str">
        <x:v>Un-Aided</x:v>
      </x:c>
      <x:c r="L2013" s="49" t="str">
        <x:v>MS Seats : 20+ EWS : 2</x:v>
      </x:c>
      <x:c r="M2013" s="49" t="str">
        <x:v>https://dse2025.mahacet.org.in/dse25/admin/allotment/cap2/6938_4.pdf</x:v>
      </x:c>
    </x:row>
    <x:row r="2014">
      <x:c r="A2014" s="49" t="str">
        <x:v>2025-26</x:v>
      </x:c>
      <x:c r="B2014" s="63" t="n">
        <x:v>6938</x:v>
      </x:c>
      <x:c r="C2014" s="49" t="str">
        <x:v>Shree Siddheshwar Womens College Of Engineering Solapur.</x:v>
      </x:c>
      <x:c r="D2014" s="72" t="n">
        <x:v>693829350</x:v>
      </x:c>
      <x:c r="E2014" s="49" t="str">
        <x:v>Electrical Engineering</x:v>
      </x:c>
      <x:c r="F2014" s="73" t="n">
        <x:v>8</x:v>
      </x:c>
      <x:c r="G2014" s="73" t="n">
        <x:v>8</x:v>
      </x:c>
      <x:c r="H2014" s="73" t="n">
        <x:v>0</x:v>
      </x:c>
      <x:c r="I2014" s="73"/>
      <x:c r="J2014" s="73" t="n">
        <x:v>0</x:v>
      </x:c>
      <x:c r="K2014" s="49" t="str">
        <x:v>Un-Aided</x:v>
      </x:c>
      <x:c r="L2014" s="49" t="str">
        <x:v>MS Seats : 8+ EWS : 0</x:v>
      </x:c>
      <x:c r="M2014" s="49" t="str">
        <x:v>https://dse2025.mahacet.org.in/dse25/admin/allotment/cap2/6938_4.pdf</x:v>
      </x:c>
    </x:row>
    <x:row r="2015">
      <x:c r="A2015" s="49" t="str">
        <x:v>2025-26</x:v>
      </x:c>
      <x:c r="B2015" s="63" t="n">
        <x:v>6938</x:v>
      </x:c>
      <x:c r="C2015" s="49" t="str">
        <x:v>Shree Siddheshwar Womens College Of Engineering Solapur.</x:v>
      </x:c>
      <x:c r="D2015" s="72" t="n">
        <x:v>693837250</x:v>
      </x:c>
      <x:c r="E2015" s="49" t="str">
        <x:v>Electronics and Telecommunication Engg</x:v>
      </x:c>
      <x:c r="F2015" s="73" t="n">
        <x:v>17</x:v>
      </x:c>
      <x:c r="G2015" s="73" t="n">
        <x:v>16</x:v>
      </x:c>
      <x:c r="H2015" s="73" t="n">
        <x:v>1</x:v>
      </x:c>
      <x:c r="I2015" s="73"/>
      <x:c r="J2015" s="73" t="n">
        <x:v>0</x:v>
      </x:c>
      <x:c r="K2015" s="49" t="str">
        <x:v>Un-Aided</x:v>
      </x:c>
      <x:c r="L2015" s="49" t="str">
        <x:v>MS Seats : 16+ EWS : 1</x:v>
      </x:c>
      <x:c r="M2015" s="49" t="str">
        <x:v>https://dse2025.mahacet.org.in/dse25/admin/allotment/cap2/6938_4.pdf</x:v>
      </x:c>
    </x:row>
    <x:row r="2016">
      <x:c r="A2016" s="49" t="str">
        <x:v>2025-26</x:v>
      </x:c>
      <x:c r="B2016" s="63" t="n">
        <x:v>6938</x:v>
      </x:c>
      <x:c r="C2016" s="49" t="str">
        <x:v>Shree Siddheshwar Womens College Of Engineering Solapur.</x:v>
      </x:c>
      <x:c r="D2016" s="72" t="n">
        <x:v>693884450</x:v>
      </x:c>
      <x:c r="E2016" s="49" t="str">
        <x:v>Electronics and Computer Engineering</x:v>
      </x:c>
      <x:c r="F2016" s="73" t="n">
        <x:v>16</x:v>
      </x:c>
      <x:c r="G2016" s="73" t="n">
        <x:v>14</x:v>
      </x:c>
      <x:c r="H2016" s="73" t="n">
        <x:v>2</x:v>
      </x:c>
      <x:c r="I2016" s="73"/>
      <x:c r="J2016" s="73" t="n">
        <x:v>0</x:v>
      </x:c>
      <x:c r="K2016" s="49" t="str">
        <x:v>Un-Aided</x:v>
      </x:c>
      <x:c r="L2016" s="49" t="str">
        <x:v>MS Seats : 14+ EWS : 2</x:v>
      </x:c>
      <x:c r="M2016" s="49" t="str">
        <x:v>https://dse2025.mahacet.org.in/dse25/admin/allotment/cap2/6938_4.pdf</x:v>
      </x:c>
    </x:row>
    <x:row r="2017">
      <x:c r="A2017" s="49" t="str">
        <x:v>2025-26</x:v>
      </x:c>
      <x:c r="B2017" s="63" t="n">
        <x:v>6938</x:v>
      </x:c>
      <x:c r="C2017" s="49" t="str">
        <x:v>Shree Siddheshwar Womens College Of Engineering Solapur.</x:v>
      </x:c>
      <x:c r="D2017" s="72" t="n">
        <x:v>693892550</x:v>
      </x:c>
      <x:c r="E2017" s="49" t="str">
        <x:v>Computer Science and Engineering (Artificial Intelligence and Data Science)</x:v>
      </x:c>
      <x:c r="F2017" s="73" t="n">
        <x:v>21</x:v>
      </x:c>
      <x:c r="G2017" s="73" t="n">
        <x:v>20</x:v>
      </x:c>
      <x:c r="H2017" s="73" t="n">
        <x:v>1</x:v>
      </x:c>
      <x:c r="I2017" s="73"/>
      <x:c r="J2017" s="73" t="n">
        <x:v>0</x:v>
      </x:c>
      <x:c r="K2017" s="49" t="str">
        <x:v>Un-Aided</x:v>
      </x:c>
      <x:c r="L2017" s="49" t="str">
        <x:v>MS Seats : 20+ EWS : 1</x:v>
      </x:c>
      <x:c r="M2017" s="49" t="str">
        <x:v>https://dse2025.mahacet.org.in/dse25/admin/allotment/cap2/6938_4.pdf</x:v>
      </x:c>
    </x:row>
    <x:row r="2018">
      <x:c r="A2018" s="49" t="str">
        <x:v>2025-26</x:v>
      </x:c>
      <x:c r="B2018" s="63" t="n">
        <x:v>6991</x:v>
      </x:c>
      <x:c r="C2018" s="49" t="str">
        <x:v>Dr. D.Y. Patil Technical Campus, Varale, Talegaon, Pune</x:v>
      </x:c>
      <x:c r="D2018" s="72" t="n">
        <x:v>699124510</x:v>
      </x:c>
      <x:c r="E2018" s="49" t="str">
        <x:v>Computer Engineering</x:v>
      </x:c>
      <x:c r="F2018" s="73" t="n">
        <x:v>80</x:v>
      </x:c>
      <x:c r="G2018" s="73" t="n">
        <x:v>74</x:v>
      </x:c>
      <x:c r="H2018" s="73" t="n">
        <x:v>6</x:v>
      </x:c>
      <x:c r="I2018" s="73"/>
      <x:c r="J2018" s="73" t="n">
        <x:v>0</x:v>
      </x:c>
      <x:c r="K2018" s="49" t="str">
        <x:v>Un-Aided</x:v>
      </x:c>
      <x:c r="L2018" s="49" t="str">
        <x:v>MS Seats : 74+ EWS : 6</x:v>
      </x:c>
      <x:c r="M2018" s="49" t="str">
        <x:v>https://dse2025.mahacet.org.in/dse25/admin/allotment/cap2/6991_4.pdf</x:v>
      </x:c>
    </x:row>
    <x:row r="2019">
      <x:c r="A2019" s="49" t="str">
        <x:v>2025-26</x:v>
      </x:c>
      <x:c r="B2019" s="63" t="n">
        <x:v>6991</x:v>
      </x:c>
      <x:c r="C2019" s="49" t="str">
        <x:v>Dr. D.Y. Patil Technical Campus, Varale, Talegaon, Pune</x:v>
      </x:c>
      <x:c r="D2019" s="72" t="n">
        <x:v>699156610</x:v>
      </x:c>
      <x:c r="E2019" s="49" t="str">
        <x:v>Computer Science</x:v>
      </x:c>
      <x:c r="F2019" s="73" t="n">
        <x:v>63</x:v>
      </x:c>
      <x:c r="G2019" s="73" t="n">
        <x:v>55</x:v>
      </x:c>
      <x:c r="H2019" s="73" t="n">
        <x:v>8</x:v>
      </x:c>
      <x:c r="I2019" s="73"/>
      <x:c r="J2019" s="73" t="n">
        <x:v>0</x:v>
      </x:c>
      <x:c r="K2019" s="49" t="str">
        <x:v>Un-Aided</x:v>
      </x:c>
      <x:c r="L2019" s="49" t="str">
        <x:v>MS Seats : 55+ EWS : 8</x:v>
      </x:c>
      <x:c r="M2019" s="49" t="str">
        <x:v>https://dse2025.mahacet.org.in/dse25/admin/allotment/cap2/6991_4.pdf</x:v>
      </x:c>
    </x:row>
    <x:row r="2020">
      <x:c r="A2020" s="49" t="str">
        <x:v>2025-26</x:v>
      </x:c>
      <x:c r="B2020" s="63" t="n">
        <x:v>6991</x:v>
      </x:c>
      <x:c r="C2020" s="49" t="str">
        <x:v>Dr. D.Y. Patil Technical Campus, Varale, Talegaon, Pune</x:v>
      </x:c>
      <x:c r="D2020" s="72" t="n">
        <x:v>699184410</x:v>
      </x:c>
      <x:c r="E2020" s="49" t="str">
        <x:v>Electronics and Computer Engineering</x:v>
      </x:c>
      <x:c r="F2020" s="73" t="n">
        <x:v>69</x:v>
      </x:c>
      <x:c r="G2020" s="73" t="n">
        <x:v>61</x:v>
      </x:c>
      <x:c r="H2020" s="73" t="n">
        <x:v>8</x:v>
      </x:c>
      <x:c r="I2020" s="73"/>
      <x:c r="J2020" s="73" t="n">
        <x:v>0</x:v>
      </x:c>
      <x:c r="K2020" s="49" t="str">
        <x:v>Un-Aided</x:v>
      </x:c>
      <x:c r="L2020" s="49" t="str">
        <x:v>MS Seats : 61+ EWS : 8</x:v>
      </x:c>
      <x:c r="M2020" s="49" t="str">
        <x:v>https://dse2025.mahacet.org.in/dse25/admin/allotment/cap2/6991_4.pdf</x:v>
      </x:c>
    </x:row>
    <x:row r="2021">
      <x:c r="A2021" s="49" t="str">
        <x:v>2025-26</x:v>
      </x:c>
      <x:c r="B2021" s="63" t="n">
        <x:v>6991</x:v>
      </x:c>
      <x:c r="C2021" s="49" t="str">
        <x:v>Dr. D.Y. Patil Technical Campus, Varale, Talegaon, Pune</x:v>
      </x:c>
      <x:c r="D2021" s="72" t="n">
        <x:v>699199510</x:v>
      </x:c>
      <x:c r="E2021" s="49" t="str">
        <x:v>Artificial Intelligence and Data Science</x:v>
      </x:c>
      <x:c r="F2021" s="73" t="n">
        <x:v>33</x:v>
      </x:c>
      <x:c r="G2021" s="73" t="n">
        <x:v>29</x:v>
      </x:c>
      <x:c r="H2021" s="73" t="n">
        <x:v>4</x:v>
      </x:c>
      <x:c r="I2021" s="73"/>
      <x:c r="J2021" s="73" t="n">
        <x:v>0</x:v>
      </x:c>
      <x:c r="K2021" s="49" t="str">
        <x:v>Un-Aided</x:v>
      </x:c>
      <x:c r="L2021" s="49" t="str">
        <x:v>MS Seats : 29+ EWS : 4</x:v>
      </x:c>
      <x:c r="M2021" s="49" t="str">
        <x:v>https://dse2025.mahacet.org.in/dse25/admin/allotment/cap2/6991_4.pdf</x:v>
      </x:c>
    </x:row>
  </x:sheetData>
  <x:pageMargins left="0.7" right="0.7" top="0.75" bottom="0.75" header="0.3" footer="0.3"/>
  <x:tableParts count="1">
    <x:tablePart xmlns:r="http://schemas.openxmlformats.org/officeDocument/2006/relationships" r:id="R8b8d8418e40e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5" hidden="0" customWidth="1"/>
    <x:col min="3" max="3" width="17" hidden="0" customWidth="1"/>
    <x:col min="4" max="4" width="17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</x:cols>
  <x:sheetData>
    <x:row r="1" ht="34" customHeight="1">
      <x:c r="A1" s="47" t="str">
        <x:v>DSE Branch Availability Summary</x:v>
      </x:c>
      <x:c r="B1" s="47"/>
      <x:c r="C1" s="47"/>
      <x:c r="D1" s="47"/>
      <x:c r="E1" s="47"/>
      <x:c r="F1" s="47"/>
      <x:c r="G1" s="47"/>
      <x:c r="H1" s="47"/>
    </x:row>
    <x:row r="2" ht="42" customHeight="1">
      <x:c r="A2" s="48" t="str">
        <x:v>Aggregated from the branch-level 2025–26 DSE seat matrix. Use Choice Code + Institute Code from DSE_Seat_Matrix for model joins.</x:v>
      </x:c>
      <x:c r="B2" s="48"/>
      <x:c r="C2" s="48"/>
      <x:c r="D2" s="48"/>
      <x:c r="E2" s="48"/>
      <x:c r="F2" s="48"/>
      <x:c r="G2" s="48"/>
      <x:c r="H2" s="48"/>
    </x:row>
    <x:row r="3" ht="42" customHeight="1">
      <x:c r="A3" s="48"/>
      <x:c r="B3" s="48"/>
      <x:c r="C3" s="48"/>
      <x:c r="D3" s="48"/>
      <x:c r="E3" s="48"/>
      <x:c r="F3" s="48"/>
      <x:c r="G3" s="48"/>
      <x:c r="H3" s="48"/>
    </x:row>
    <x:row r="4">
      <x:c r="A4" s="49"/>
      <x:c r="B4" s="49"/>
      <x:c r="C4" s="49"/>
      <x:c r="D4" s="49"/>
      <x:c r="E4" s="49"/>
      <x:c r="F4" s="49"/>
      <x:c r="G4" s="49"/>
      <x:c r="H4" s="49"/>
    </x:row>
    <x:row r="5" ht="32" customHeight="1">
      <x:c r="A5" s="61" t="str">
        <x:v>Branch</x:v>
      </x:c>
      <x:c r="B5" s="61" t="str">
        <x:v>College Count</x:v>
      </x:c>
      <x:c r="C5" s="61" t="str">
        <x:v>Seat Matrix Rows</x:v>
      </x:c>
      <x:c r="D5" s="61" t="str">
        <x:v>Total DSE Seats</x:v>
      </x:c>
      <x:c r="E5" s="61" t="str">
        <x:v>MS Seats</x:v>
      </x:c>
      <x:c r="F5" s="61" t="str">
        <x:v>EWS Seats</x:v>
      </x:c>
      <x:c r="G5" s="61" t="str">
        <x:v>Minority Seats</x:v>
      </x:c>
      <x:c r="H5" s="61" t="str">
        <x:v>Other Seats</x:v>
      </x:c>
    </x:row>
    <x:row r="6">
      <x:c r="A6" s="49" t="str">
        <x:v>Mechanical Engineering</x:v>
      </x:c>
      <x:c r="B6" s="73" t="n">
        <x:v>292</x:v>
      </x:c>
      <x:c r="C6" s="73" t="n">
        <x:v>292</x:v>
      </x:c>
      <x:c r="D6" s="73" t="n">
        <x:v>10081</x:v>
      </x:c>
      <x:c r="E6" s="73" t="n">
        <x:v>8127</x:v>
      </x:c>
      <x:c r="F6" s="73" t="n">
        <x:v>1378</x:v>
      </x:c>
      <x:c r="G6" s="73" t="n">
        <x:v>576</x:v>
      </x:c>
      <x:c r="H6" s="73" t="n">
        <x:v>0</x:v>
      </x:c>
    </x:row>
    <x:row r="7">
      <x:c r="A7" s="49" t="str">
        <x:v>Civil Engineering</x:v>
      </x:c>
      <x:c r="B7" s="73" t="n">
        <x:v>253</x:v>
      </x:c>
      <x:c r="C7" s="73" t="n">
        <x:v>254</x:v>
      </x:c>
      <x:c r="D7" s="73" t="n">
        <x:v>8062</x:v>
      </x:c>
      <x:c r="E7" s="73" t="n">
        <x:v>6517</x:v>
      </x:c>
      <x:c r="F7" s="73" t="n">
        <x:v>1053</x:v>
      </x:c>
      <x:c r="G7" s="73" t="n">
        <x:v>492</x:v>
      </x:c>
      <x:c r="H7" s="73" t="n">
        <x:v>0</x:v>
      </x:c>
    </x:row>
    <x:row r="8">
      <x:c r="A8" s="49" t="str">
        <x:v>Computer Engineering</x:v>
      </x:c>
      <x:c r="B8" s="73" t="n">
        <x:v>211</x:v>
      </x:c>
      <x:c r="C8" s="73" t="n">
        <x:v>212</x:v>
      </x:c>
      <x:c r="D8" s="73" t="n">
        <x:v>5957</x:v>
      </x:c>
      <x:c r="E8" s="73" t="n">
        <x:v>4597</x:v>
      </x:c>
      <x:c r="F8" s="73" t="n">
        <x:v>930</x:v>
      </x:c>
      <x:c r="G8" s="73" t="n">
        <x:v>430</x:v>
      </x:c>
      <x:c r="H8" s="73" t="n">
        <x:v>0</x:v>
      </x:c>
    </x:row>
    <x:row r="9">
      <x:c r="A9" s="49" t="str">
        <x:v>Electrical Engineering</x:v>
      </x:c>
      <x:c r="B9" s="73" t="n">
        <x:v>187</x:v>
      </x:c>
      <x:c r="C9" s="73" t="n">
        <x:v>187</x:v>
      </x:c>
      <x:c r="D9" s="73" t="n">
        <x:v>5196</x:v>
      </x:c>
      <x:c r="E9" s="73" t="n">
        <x:v>4145</x:v>
      </x:c>
      <x:c r="F9" s="73" t="n">
        <x:v>730</x:v>
      </x:c>
      <x:c r="G9" s="73" t="n">
        <x:v>321</x:v>
      </x:c>
      <x:c r="H9" s="73" t="n">
        <x:v>0</x:v>
      </x:c>
    </x:row>
    <x:row r="10">
      <x:c r="A10" s="49" t="str">
        <x:v>Electronics and Telecommunication Engg</x:v>
      </x:c>
      <x:c r="B10" s="73" t="n">
        <x:v>228</x:v>
      </x:c>
      <x:c r="C10" s="73" t="n">
        <x:v>229</x:v>
      </x:c>
      <x:c r="D10" s="73" t="n">
        <x:v>4802</x:v>
      </x:c>
      <x:c r="E10" s="73" t="n">
        <x:v>3787</x:v>
      </x:c>
      <x:c r="F10" s="73" t="n">
        <x:v>742</x:v>
      </x:c>
      <x:c r="G10" s="73" t="n">
        <x:v>273</x:v>
      </x:c>
      <x:c r="H10" s="73" t="n">
        <x:v>0</x:v>
      </x:c>
    </x:row>
    <x:row r="11">
      <x:c r="A11" s="49" t="str">
        <x:v>Computer Science and Engineering</x:v>
      </x:c>
      <x:c r="B11" s="73" t="n">
        <x:v>131</x:v>
      </x:c>
      <x:c r="C11" s="73" t="n">
        <x:v>132</x:v>
      </x:c>
      <x:c r="D11" s="73" t="n">
        <x:v>3348</x:v>
      </x:c>
      <x:c r="E11" s="73" t="n">
        <x:v>2724</x:v>
      </x:c>
      <x:c r="F11" s="73" t="n">
        <x:v>448</x:v>
      </x:c>
      <x:c r="G11" s="73" t="n">
        <x:v>176</x:v>
      </x:c>
      <x:c r="H11" s="73" t="n">
        <x:v>0</x:v>
      </x:c>
    </x:row>
    <x:row r="12">
      <x:c r="A12" s="49" t="str">
        <x:v>Information Technology</x:v>
      </x:c>
      <x:c r="B12" s="73" t="n">
        <x:v>148</x:v>
      </x:c>
      <x:c r="C12" s="73" t="n">
        <x:v>149</x:v>
      </x:c>
      <x:c r="D12" s="73" t="n">
        <x:v>2550</x:v>
      </x:c>
      <x:c r="E12" s="73" t="n">
        <x:v>1921</x:v>
      </x:c>
      <x:c r="F12" s="73" t="n">
        <x:v>364</x:v>
      </x:c>
      <x:c r="G12" s="73" t="n">
        <x:v>265</x:v>
      </x:c>
      <x:c r="H12" s="73" t="n">
        <x:v>0</x:v>
      </x:c>
    </x:row>
    <x:row r="13">
      <x:c r="A13" s="49" t="str">
        <x:v>Artificial Intelligence and Data Science</x:v>
      </x:c>
      <x:c r="B13" s="73" t="n">
        <x:v>72</x:v>
      </x:c>
      <x:c r="C13" s="73" t="n">
        <x:v>72</x:v>
      </x:c>
      <x:c r="D13" s="73" t="n">
        <x:v>1366</x:v>
      </x:c>
      <x:c r="E13" s="73" t="n">
        <x:v>1066</x:v>
      </x:c>
      <x:c r="F13" s="73" t="n">
        <x:v>188</x:v>
      </x:c>
      <x:c r="G13" s="73" t="n">
        <x:v>112</x:v>
      </x:c>
      <x:c r="H13" s="73" t="n">
        <x:v>0</x:v>
      </x:c>
    </x:row>
    <x:row r="14">
      <x:c r="A14" s="49" t="str">
        <x:v>Computer Science and Engineering(Artificial Intelligence and Machine Learning)</x:v>
      </x:c>
      <x:c r="B14" s="73" t="n">
        <x:v>47</x:v>
      </x:c>
      <x:c r="C14" s="73" t="n">
        <x:v>47</x:v>
      </x:c>
      <x:c r="D14" s="73" t="n">
        <x:v>822</x:v>
      </x:c>
      <x:c r="E14" s="73" t="n">
        <x:v>598</x:v>
      </x:c>
      <x:c r="F14" s="73" t="n">
        <x:v>129</x:v>
      </x:c>
      <x:c r="G14" s="73" t="n">
        <x:v>95</x:v>
      </x:c>
      <x:c r="H14" s="73" t="n">
        <x:v>0</x:v>
      </x:c>
    </x:row>
    <x:row r="15">
      <x:c r="A15" s="49" t="str">
        <x:v>Artificial Intelligence and Machine Learning</x:v>
      </x:c>
      <x:c r="B15" s="73" t="n">
        <x:v>40</x:v>
      </x:c>
      <x:c r="C15" s="73" t="n">
        <x:v>40</x:v>
      </x:c>
      <x:c r="D15" s="73" t="n">
        <x:v>810</x:v>
      </x:c>
      <x:c r="E15" s="73" t="n">
        <x:v>582</x:v>
      </x:c>
      <x:c r="F15" s="73" t="n">
        <x:v>111</x:v>
      </x:c>
      <x:c r="G15" s="73" t="n">
        <x:v>117</x:v>
      </x:c>
      <x:c r="H15" s="73" t="n">
        <x:v>0</x:v>
      </x:c>
    </x:row>
    <x:row r="16">
      <x:c r="A16" s="49" t="str">
        <x:v>Electronics and Computer Engineering</x:v>
      </x:c>
      <x:c r="B16" s="73" t="n">
        <x:v>35</x:v>
      </x:c>
      <x:c r="C16" s="73" t="n">
        <x:v>35</x:v>
      </x:c>
      <x:c r="D16" s="73" t="n">
        <x:v>730</x:v>
      </x:c>
      <x:c r="E16" s="73" t="n">
        <x:v>560</x:v>
      </x:c>
      <x:c r="F16" s="73" t="n">
        <x:v>116</x:v>
      </x:c>
      <x:c r="G16" s="73" t="n">
        <x:v>54</x:v>
      </x:c>
      <x:c r="H16" s="73" t="n">
        <x:v>0</x:v>
      </x:c>
    </x:row>
    <x:row r="17">
      <x:c r="A17" s="49" t="str">
        <x:v>Computer Science and Engineering(Data Science)</x:v>
      </x:c>
      <x:c r="B17" s="73" t="n">
        <x:v>35</x:v>
      </x:c>
      <x:c r="C17" s="73" t="n">
        <x:v>35</x:v>
      </x:c>
      <x:c r="D17" s="73" t="n">
        <x:v>591</x:v>
      </x:c>
      <x:c r="E17" s="73" t="n">
        <x:v>422</x:v>
      </x:c>
      <x:c r="F17" s="73" t="n">
        <x:v>84</x:v>
      </x:c>
      <x:c r="G17" s="73" t="n">
        <x:v>85</x:v>
      </x:c>
      <x:c r="H17" s="73" t="n">
        <x:v>0</x:v>
      </x:c>
    </x:row>
    <x:row r="18">
      <x:c r="A18" s="49" t="str">
        <x:v>Artificial Intelligence (AI) and Data Science</x:v>
      </x:c>
      <x:c r="B18" s="73" t="n">
        <x:v>33</x:v>
      </x:c>
      <x:c r="C18" s="73" t="n">
        <x:v>33</x:v>
      </x:c>
      <x:c r="D18" s="73" t="n">
        <x:v>590</x:v>
      </x:c>
      <x:c r="E18" s="73" t="n">
        <x:v>474</x:v>
      </x:c>
      <x:c r="F18" s="73" t="n">
        <x:v>108</x:v>
      </x:c>
      <x:c r="G18" s="73" t="n">
        <x:v>8</x:v>
      </x:c>
      <x:c r="H18" s="73" t="n">
        <x:v>0</x:v>
      </x:c>
    </x:row>
    <x:row r="19">
      <x:c r="A19" s="49" t="str">
        <x:v>Electronics and Computer Science</x:v>
      </x:c>
      <x:c r="B19" s="73" t="n">
        <x:v>22</x:v>
      </x:c>
      <x:c r="C19" s="73" t="n">
        <x:v>22</x:v>
      </x:c>
      <x:c r="D19" s="73" t="n">
        <x:v>485</x:v>
      </x:c>
      <x:c r="E19" s="73" t="n">
        <x:v>367</x:v>
      </x:c>
      <x:c r="F19" s="73" t="n">
        <x:v>54</x:v>
      </x:c>
      <x:c r="G19" s="73" t="n">
        <x:v>64</x:v>
      </x:c>
      <x:c r="H19" s="73" t="n">
        <x:v>0</x:v>
      </x:c>
    </x:row>
    <x:row r="20">
      <x:c r="A20" s="49" t="str">
        <x:v>Chemical Engineering</x:v>
      </x:c>
      <x:c r="B20" s="73" t="n">
        <x:v>25</x:v>
      </x:c>
      <x:c r="C20" s="73" t="n">
        <x:v>25</x:v>
      </x:c>
      <x:c r="D20" s="73" t="n">
        <x:v>430</x:v>
      </x:c>
      <x:c r="E20" s="73" t="n">
        <x:v>339</x:v>
      </x:c>
      <x:c r="F20" s="73" t="n">
        <x:v>79</x:v>
      </x:c>
      <x:c r="G20" s="73" t="n">
        <x:v>12</x:v>
      </x:c>
      <x:c r="H20" s="73" t="n">
        <x:v>0</x:v>
      </x:c>
    </x:row>
    <x:row r="21">
      <x:c r="A21" s="49" t="str">
        <x:v>Mechatronics Engineering</x:v>
      </x:c>
      <x:c r="B21" s="73" t="n">
        <x:v>13</x:v>
      </x:c>
      <x:c r="C21" s="73" t="n">
        <x:v>13</x:v>
      </x:c>
      <x:c r="D21" s="73" t="n">
        <x:v>300</x:v>
      </x:c>
      <x:c r="E21" s="73" t="n">
        <x:v>248</x:v>
      </x:c>
      <x:c r="F21" s="73" t="n">
        <x:v>52</x:v>
      </x:c>
      <x:c r="G21" s="73" t="n">
        <x:v>0</x:v>
      </x:c>
      <x:c r="H21" s="73" t="n">
        <x:v>0</x:v>
      </x:c>
    </x:row>
    <x:row r="22">
      <x:c r="A22" s="49" t="str">
        <x:v>Artificial Intelligence</x:v>
      </x:c>
      <x:c r="B22" s="73" t="n">
        <x:v>10</x:v>
      </x:c>
      <x:c r="C22" s="73" t="n">
        <x:v>10</x:v>
      </x:c>
      <x:c r="D22" s="73" t="n">
        <x:v>268</x:v>
      </x:c>
      <x:c r="E22" s="73" t="n">
        <x:v>210</x:v>
      </x:c>
      <x:c r="F22" s="73" t="n">
        <x:v>28</x:v>
      </x:c>
      <x:c r="G22" s="73" t="n">
        <x:v>30</x:v>
      </x:c>
      <x:c r="H22" s="73" t="n">
        <x:v>0</x:v>
      </x:c>
    </x:row>
    <x:row r="23">
      <x:c r="A23" s="49" t="str">
        <x:v>Automation and Robotics</x:v>
      </x:c>
      <x:c r="B23" s="73" t="n">
        <x:v>14</x:v>
      </x:c>
      <x:c r="C23" s="73" t="n">
        <x:v>14</x:v>
      </x:c>
      <x:c r="D23" s="73" t="n">
        <x:v>251</x:v>
      </x:c>
      <x:c r="E23" s="73" t="n">
        <x:v>202</x:v>
      </x:c>
      <x:c r="F23" s="73" t="n">
        <x:v>45</x:v>
      </x:c>
      <x:c r="G23" s="73" t="n">
        <x:v>4</x:v>
      </x:c>
      <x:c r="H23" s="73" t="n">
        <x:v>0</x:v>
      </x:c>
    </x:row>
    <x:row r="24">
      <x:c r="A24" s="49" t="str">
        <x:v>Electronics Engineering ( VLSI Design and Technology)</x:v>
      </x:c>
      <x:c r="B24" s="73" t="n">
        <x:v>12</x:v>
      </x:c>
      <x:c r="C24" s="73" t="n">
        <x:v>12</x:v>
      </x:c>
      <x:c r="D24" s="73" t="n">
        <x:v>242</x:v>
      </x:c>
      <x:c r="E24" s="73" t="n">
        <x:v>164</x:v>
      </x:c>
      <x:c r="F24" s="73" t="n">
        <x:v>36</x:v>
      </x:c>
      <x:c r="G24" s="73" t="n">
        <x:v>42</x:v>
      </x:c>
      <x:c r="H24" s="73" t="n">
        <x:v>0</x:v>
      </x:c>
    </x:row>
    <x:row r="25">
      <x:c r="A25" s="49" t="str">
        <x:v>Computer Science</x:v>
      </x:c>
      <x:c r="B25" s="73" t="n">
        <x:v>5</x:v>
      </x:c>
      <x:c r="C25" s="73" t="n">
        <x:v>5</x:v>
      </x:c>
      <x:c r="D25" s="73" t="n">
        <x:v>229</x:v>
      </x:c>
      <x:c r="E25" s="73" t="n">
        <x:v>196</x:v>
      </x:c>
      <x:c r="F25" s="73" t="n">
        <x:v>25</x:v>
      </x:c>
      <x:c r="G25" s="73" t="n">
        <x:v>8</x:v>
      </x:c>
      <x:c r="H25" s="73" t="n">
        <x:v>0</x:v>
      </x:c>
    </x:row>
    <x:row r="26">
      <x:c r="A26" s="49" t="str">
        <x:v>Electrical Engg[Electronics and Power]</x:v>
      </x:c>
      <x:c r="B26" s="73" t="n">
        <x:v>8</x:v>
      </x:c>
      <x:c r="C26" s="73" t="n">
        <x:v>8</x:v>
      </x:c>
      <x:c r="D26" s="73" t="n">
        <x:v>215</x:v>
      </x:c>
      <x:c r="E26" s="73" t="n">
        <x:v>179</x:v>
      </x:c>
      <x:c r="F26" s="73" t="n">
        <x:v>36</x:v>
      </x:c>
      <x:c r="G26" s="73" t="n">
        <x:v>0</x:v>
      </x:c>
      <x:c r="H26" s="73" t="n">
        <x:v>0</x:v>
      </x:c>
    </x:row>
    <x:row r="27">
      <x:c r="A27" s="49" t="str">
        <x:v>Instrumentation Engineering</x:v>
      </x:c>
      <x:c r="B27" s="73" t="n">
        <x:v>10</x:v>
      </x:c>
      <x:c r="C27" s="73" t="n">
        <x:v>10</x:v>
      </x:c>
      <x:c r="D27" s="73" t="n">
        <x:v>175</x:v>
      </x:c>
      <x:c r="E27" s="73" t="n">
        <x:v>129</x:v>
      </x:c>
      <x:c r="F27" s="73" t="n">
        <x:v>21</x:v>
      </x:c>
      <x:c r="G27" s="73" t="n">
        <x:v>25</x:v>
      </x:c>
      <x:c r="H27" s="73" t="n">
        <x:v>0</x:v>
      </x:c>
    </x:row>
    <x:row r="28">
      <x:c r="A28" s="49" t="str">
        <x:v>Electrical and Computer Engineering</x:v>
      </x:c>
      <x:c r="B28" s="73" t="n">
        <x:v>6</x:v>
      </x:c>
      <x:c r="C28" s="73" t="n">
        <x:v>6</x:v>
      </x:c>
      <x:c r="D28" s="73" t="n">
        <x:v>170</x:v>
      </x:c>
      <x:c r="E28" s="73" t="n">
        <x:v>125</x:v>
      </x:c>
      <x:c r="F28" s="73" t="n">
        <x:v>22</x:v>
      </x:c>
      <x:c r="G28" s="73" t="n">
        <x:v>23</x:v>
      </x:c>
      <x:c r="H28" s="73" t="n">
        <x:v>0</x:v>
      </x:c>
    </x:row>
    <x:row r="29">
      <x:c r="A29" s="49" t="str">
        <x:v>Electronics and Communication Engineering</x:v>
      </x:c>
      <x:c r="B29" s="73" t="n">
        <x:v>8</x:v>
      </x:c>
      <x:c r="C29" s="73" t="n">
        <x:v>8</x:v>
      </x:c>
      <x:c r="D29" s="73" t="n">
        <x:v>168</x:v>
      </x:c>
      <x:c r="E29" s="73" t="n">
        <x:v>103</x:v>
      </x:c>
      <x:c r="F29" s="73" t="n">
        <x:v>34</x:v>
      </x:c>
      <x:c r="G29" s="73" t="n">
        <x:v>31</x:v>
      </x:c>
      <x:c r="H29" s="73" t="n">
        <x:v>0</x:v>
      </x:c>
    </x:row>
    <x:row r="30">
      <x:c r="A30" s="49" t="str">
        <x:v>Computer Science and Engineering (Internet of Things and Cyber Security Including Block Chain Technology)</x:v>
      </x:c>
      <x:c r="B30" s="73" t="n">
        <x:v>12</x:v>
      </x:c>
      <x:c r="C30" s="73" t="n">
        <x:v>12</x:v>
      </x:c>
      <x:c r="D30" s="73" t="n">
        <x:v>163</x:v>
      </x:c>
      <x:c r="E30" s="73" t="n">
        <x:v>108</x:v>
      </x:c>
      <x:c r="F30" s="73" t="n">
        <x:v>31</x:v>
      </x:c>
      <x:c r="G30" s="73" t="n">
        <x:v>24</x:v>
      </x:c>
      <x:c r="H30" s="73" t="n">
        <x:v>0</x:v>
      </x:c>
    </x:row>
    <x:row r="31">
      <x:c r="A31" s="49" t="str">
        <x:v>Mechanical &amp; Automation Engineering</x:v>
      </x:c>
      <x:c r="B31" s="73" t="n">
        <x:v>5</x:v>
      </x:c>
      <x:c r="C31" s="73" t="n">
        <x:v>5</x:v>
      </x:c>
      <x:c r="D31" s="73" t="n">
        <x:v>162</x:v>
      </x:c>
      <x:c r="E31" s="73" t="n">
        <x:v>137</x:v>
      </x:c>
      <x:c r="F31" s="73" t="n">
        <x:v>20</x:v>
      </x:c>
      <x:c r="G31" s="73" t="n">
        <x:v>5</x:v>
      </x:c>
      <x:c r="H31" s="73" t="n">
        <x:v>0</x:v>
      </x:c>
    </x:row>
    <x:row r="32">
      <x:c r="A32" s="49" t="str">
        <x:v>Automobile Engineering</x:v>
      </x:c>
      <x:c r="B32" s="73" t="n">
        <x:v>6</x:v>
      </x:c>
      <x:c r="C32" s="73" t="n">
        <x:v>6</x:v>
      </x:c>
      <x:c r="D32" s="73" t="n">
        <x:v>161</x:v>
      </x:c>
      <x:c r="E32" s="73" t="n">
        <x:v>115</x:v>
      </x:c>
      <x:c r="F32" s="73" t="n">
        <x:v>18</x:v>
      </x:c>
      <x:c r="G32" s="73" t="n">
        <x:v>28</x:v>
      </x:c>
      <x:c r="H32" s="73" t="n">
        <x:v>0</x:v>
      </x:c>
    </x:row>
    <x:row r="33">
      <x:c r="A33" s="49" t="str">
        <x:v>Mechanical and Mechatronics Engineering (Additive Manufacturing)</x:v>
      </x:c>
      <x:c r="B33" s="73" t="n">
        <x:v>4</x:v>
      </x:c>
      <x:c r="C33" s="73" t="n">
        <x:v>4</x:v>
      </x:c>
      <x:c r="D33" s="73" t="n">
        <x:v>152</x:v>
      </x:c>
      <x:c r="E33" s="73" t="n">
        <x:v>134</x:v>
      </x:c>
      <x:c r="F33" s="73" t="n">
        <x:v>14</x:v>
      </x:c>
      <x:c r="G33" s="73" t="n">
        <x:v>4</x:v>
      </x:c>
      <x:c r="H33" s="73" t="n">
        <x:v>0</x:v>
      </x:c>
    </x:row>
    <x:row r="34">
      <x:c r="A34" s="49" t="str">
        <x:v>Data Science</x:v>
      </x:c>
      <x:c r="B34" s="73" t="n">
        <x:v>6</x:v>
      </x:c>
      <x:c r="C34" s="73" t="n">
        <x:v>6</x:v>
      </x:c>
      <x:c r="D34" s="73" t="n">
        <x:v>130</x:v>
      </x:c>
      <x:c r="E34" s="73" t="n">
        <x:v>97</x:v>
      </x:c>
      <x:c r="F34" s="73" t="n">
        <x:v>9</x:v>
      </x:c>
      <x:c r="G34" s="73" t="n">
        <x:v>24</x:v>
      </x:c>
      <x:c r="H34" s="73" t="n">
        <x:v>0</x:v>
      </x:c>
    </x:row>
    <x:row r="35">
      <x:c r="A35" s="49" t="str">
        <x:v>Mining Engineering</x:v>
      </x:c>
      <x:c r="B35" s="73" t="n">
        <x:v>3</x:v>
      </x:c>
      <x:c r="C35" s="73" t="n">
        <x:v>3</x:v>
      </x:c>
      <x:c r="D35" s="73" t="n">
        <x:v>105</x:v>
      </x:c>
      <x:c r="E35" s="73" t="n">
        <x:v>80</x:v>
      </x:c>
      <x:c r="F35" s="73" t="n">
        <x:v>25</x:v>
      </x:c>
      <x:c r="G35" s="73" t="n">
        <x:v>0</x:v>
      </x:c>
      <x:c r="H35" s="73" t="n">
        <x:v>0</x:v>
      </x:c>
    </x:row>
    <x:row r="36">
      <x:c r="A36" s="49" t="str">
        <x:v>Electrical and Electronics Engineering</x:v>
      </x:c>
      <x:c r="B36" s="73" t="n">
        <x:v>4</x:v>
      </x:c>
      <x:c r="C36" s="73" t="n">
        <x:v>4</x:v>
      </x:c>
      <x:c r="D36" s="73" t="n">
        <x:v>98</x:v>
      </x:c>
      <x:c r="E36" s="73" t="n">
        <x:v>88</x:v>
      </x:c>
      <x:c r="F36" s="73" t="n">
        <x:v>10</x:v>
      </x:c>
      <x:c r="G36" s="73" t="n">
        <x:v>0</x:v>
      </x:c>
      <x:c r="H36" s="73" t="n">
        <x:v>0</x:v>
      </x:c>
    </x:row>
    <x:row r="37">
      <x:c r="A37" s="49" t="str">
        <x:v>Instrumentation and Control Engineering</x:v>
      </x:c>
      <x:c r="B37" s="73" t="n">
        <x:v>6</x:v>
      </x:c>
      <x:c r="C37" s="73" t="n">
        <x:v>6</x:v>
      </x:c>
      <x:c r="D37" s="73" t="n">
        <x:v>98</x:v>
      </x:c>
      <x:c r="E37" s="73" t="n">
        <x:v>77</x:v>
      </x:c>
      <x:c r="F37" s="73" t="n">
        <x:v>21</x:v>
      </x:c>
      <x:c r="G37" s="73" t="n">
        <x:v>0</x:v>
      </x:c>
      <x:c r="H37" s="73" t="n">
        <x:v>0</x:v>
      </x:c>
    </x:row>
    <x:row r="38">
      <x:c r="A38" s="49" t="str">
        <x:v>Computer Science and Engineering (Artificial Intelligence)</x:v>
      </x:c>
      <x:c r="B38" s="73" t="n">
        <x:v>5</x:v>
      </x:c>
      <x:c r="C38" s="73" t="n">
        <x:v>5</x:v>
      </x:c>
      <x:c r="D38" s="73" t="n">
        <x:v>96</x:v>
      </x:c>
      <x:c r="E38" s="73" t="n">
        <x:v>68</x:v>
      </x:c>
      <x:c r="F38" s="73" t="n">
        <x:v>9</x:v>
      </x:c>
      <x:c r="G38" s="73" t="n">
        <x:v>19</x:v>
      </x:c>
      <x:c r="H38" s="73" t="n">
        <x:v>0</x:v>
      </x:c>
    </x:row>
    <x:row r="39">
      <x:c r="A39" s="49" t="str">
        <x:v>Robotics and Automation</x:v>
      </x:c>
      <x:c r="B39" s="73" t="n">
        <x:v>6</x:v>
      </x:c>
      <x:c r="C39" s="73" t="n">
        <x:v>6</x:v>
      </x:c>
      <x:c r="D39" s="73" t="n">
        <x:v>91</x:v>
      </x:c>
      <x:c r="E39" s="73" t="n">
        <x:v>74</x:v>
      </x:c>
      <x:c r="F39" s="73" t="n">
        <x:v>17</x:v>
      </x:c>
      <x:c r="G39" s="73" t="n">
        <x:v>0</x:v>
      </x:c>
      <x:c r="H39" s="73" t="n">
        <x:v>0</x:v>
      </x:c>
    </x:row>
    <x:row r="40">
      <x:c r="A40" s="49" t="str">
        <x:v>Electronics Engineering</x:v>
      </x:c>
      <x:c r="B40" s="73" t="n">
        <x:v>6</x:v>
      </x:c>
      <x:c r="C40" s="73" t="n">
        <x:v>6</x:v>
      </x:c>
      <x:c r="D40" s="73" t="n">
        <x:v>87</x:v>
      </x:c>
      <x:c r="E40" s="73" t="n">
        <x:v>62</x:v>
      </x:c>
      <x:c r="F40" s="73" t="n">
        <x:v>21</x:v>
      </x:c>
      <x:c r="G40" s="73" t="n">
        <x:v>4</x:v>
      </x:c>
      <x:c r="H40" s="73" t="n">
        <x:v>0</x:v>
      </x:c>
    </x:row>
    <x:row r="41">
      <x:c r="A41" s="49" t="str">
        <x:v>Food Technology</x:v>
      </x:c>
      <x:c r="B41" s="73" t="n">
        <x:v>7</x:v>
      </x:c>
      <x:c r="C41" s="73" t="n">
        <x:v>7</x:v>
      </x:c>
      <x:c r="D41" s="73" t="n">
        <x:v>85</x:v>
      </x:c>
      <x:c r="E41" s="73" t="n">
        <x:v>72</x:v>
      </x:c>
      <x:c r="F41" s="73" t="n">
        <x:v>13</x:v>
      </x:c>
      <x:c r="G41" s="73" t="n">
        <x:v>0</x:v>
      </x:c>
      <x:c r="H41" s="73" t="n">
        <x:v>0</x:v>
      </x:c>
    </x:row>
    <x:row r="42">
      <x:c r="A42" s="49" t="str">
        <x:v>Computer Science and Design</x:v>
      </x:c>
      <x:c r="B42" s="73" t="n">
        <x:v>7</x:v>
      </x:c>
      <x:c r="C42" s="73" t="n">
        <x:v>7</x:v>
      </x:c>
      <x:c r="D42" s="73" t="n">
        <x:v>83</x:v>
      </x:c>
      <x:c r="E42" s="73" t="n">
        <x:v>59</x:v>
      </x:c>
      <x:c r="F42" s="73" t="n">
        <x:v>17</x:v>
      </x:c>
      <x:c r="G42" s="73" t="n">
        <x:v>7</x:v>
      </x:c>
      <x:c r="H42" s="73" t="n">
        <x:v>0</x:v>
      </x:c>
    </x:row>
    <x:row r="43">
      <x:c r="A43" s="49" t="str">
        <x:v>Bio Medical Engineering</x:v>
      </x:c>
      <x:c r="B43" s="73" t="n">
        <x:v>3</x:v>
      </x:c>
      <x:c r="C43" s="73" t="n">
        <x:v>3</x:v>
      </x:c>
      <x:c r="D43" s="73" t="n">
        <x:v>82</x:v>
      </x:c>
      <x:c r="E43" s="73" t="n">
        <x:v>67</x:v>
      </x:c>
      <x:c r="F43" s="73" t="n">
        <x:v>15</x:v>
      </x:c>
      <x:c r="G43" s="73" t="n">
        <x:v>0</x:v>
      </x:c>
      <x:c r="H43" s="73" t="n">
        <x:v>0</x:v>
      </x:c>
    </x:row>
    <x:row r="44">
      <x:c r="A44" s="49" t="str">
        <x:v>Civil and infrastructure Engineering</x:v>
      </x:c>
      <x:c r="B44" s="73" t="n">
        <x:v>2</x:v>
      </x:c>
      <x:c r="C44" s="73" t="n">
        <x:v>2</x:v>
      </x:c>
      <x:c r="D44" s="73" t="n">
        <x:v>79</x:v>
      </x:c>
      <x:c r="E44" s="73" t="n">
        <x:v>66</x:v>
      </x:c>
      <x:c r="F44" s="73" t="n">
        <x:v>13</x:v>
      </x:c>
      <x:c r="G44" s="73" t="n">
        <x:v>0</x:v>
      </x:c>
      <x:c r="H44" s="73" t="n">
        <x:v>0</x:v>
      </x:c>
    </x:row>
    <x:row r="45">
      <x:c r="A45" s="49" t="str">
        <x:v>Architectural Assistantship</x:v>
      </x:c>
      <x:c r="B45" s="73" t="n">
        <x:v>1</x:v>
      </x:c>
      <x:c r="C45" s="73" t="n">
        <x:v>1</x:v>
      </x:c>
      <x:c r="D45" s="73" t="n">
        <x:v>74</x:v>
      </x:c>
      <x:c r="E45" s="73" t="n">
        <x:v>67</x:v>
      </x:c>
      <x:c r="F45" s="73" t="n">
        <x:v>7</x:v>
      </x:c>
      <x:c r="G45" s="73" t="n">
        <x:v>0</x:v>
      </x:c>
      <x:c r="H45" s="73" t="n">
        <x:v>0</x:v>
      </x:c>
    </x:row>
    <x:row r="46">
      <x:c r="A46" s="49" t="str">
        <x:v>Fire Engineering</x:v>
      </x:c>
      <x:c r="B46" s="73" t="n">
        <x:v>1</x:v>
      </x:c>
      <x:c r="C46" s="73" t="n">
        <x:v>1</x:v>
      </x:c>
      <x:c r="D46" s="73" t="n">
        <x:v>74</x:v>
      </x:c>
      <x:c r="E46" s="73" t="n">
        <x:v>67</x:v>
      </x:c>
      <x:c r="F46" s="73" t="n">
        <x:v>7</x:v>
      </x:c>
      <x:c r="G46" s="73" t="n">
        <x:v>0</x:v>
      </x:c>
      <x:c r="H46" s="73" t="n">
        <x:v>0</x:v>
      </x:c>
    </x:row>
    <x:row r="47">
      <x:c r="A47" s="49" t="str">
        <x:v>Mechanical and Automation Engineering</x:v>
      </x:c>
      <x:c r="B47" s="73" t="n">
        <x:v>1</x:v>
      </x:c>
      <x:c r="C47" s="73" t="n">
        <x:v>1</x:v>
      </x:c>
      <x:c r="D47" s="73" t="n">
        <x:v>69</x:v>
      </x:c>
      <x:c r="E47" s="73" t="n">
        <x:v>62</x:v>
      </x:c>
      <x:c r="F47" s="73" t="n">
        <x:v>7</x:v>
      </x:c>
      <x:c r="G47" s="73" t="n">
        <x:v>0</x:v>
      </x:c>
      <x:c r="H47" s="73" t="n">
        <x:v>0</x:v>
      </x:c>
    </x:row>
    <x:row r="48">
      <x:c r="A48" s="49" t="str">
        <x:v>Electrical, Electronics and Power</x:v>
      </x:c>
      <x:c r="B48" s="73" t="n">
        <x:v>1</x:v>
      </x:c>
      <x:c r="C48" s="73" t="n">
        <x:v>1</x:v>
      </x:c>
      <x:c r="D48" s="73" t="n">
        <x:v>69</x:v>
      </x:c>
      <x:c r="E48" s="73" t="n">
        <x:v>62</x:v>
      </x:c>
      <x:c r="F48" s="73" t="n">
        <x:v>7</x:v>
      </x:c>
      <x:c r="G48" s="73" t="n">
        <x:v>0</x:v>
      </x:c>
      <x:c r="H48" s="73" t="n">
        <x:v>0</x:v>
      </x:c>
    </x:row>
    <x:row r="49">
      <x:c r="A49" s="49" t="str">
        <x:v>Food Engineering</x:v>
      </x:c>
      <x:c r="B49" s="73" t="n">
        <x:v>1</x:v>
      </x:c>
      <x:c r="C49" s="73" t="n">
        <x:v>1</x:v>
      </x:c>
      <x:c r="D49" s="73" t="n">
        <x:v>68</x:v>
      </x:c>
      <x:c r="E49" s="73" t="n">
        <x:v>62</x:v>
      </x:c>
      <x:c r="F49" s="73" t="n">
        <x:v>6</x:v>
      </x:c>
      <x:c r="G49" s="73" t="n">
        <x:v>0</x:v>
      </x:c>
      <x:c r="H49" s="73" t="n">
        <x:v>0</x:v>
      </x:c>
    </x:row>
    <x:row r="50">
      <x:c r="A50" s="49" t="str">
        <x:v>Civil Engineering and Planning</x:v>
      </x:c>
      <x:c r="B50" s="73" t="n">
        <x:v>1</x:v>
      </x:c>
      <x:c r="C50" s="73" t="n">
        <x:v>1</x:v>
      </x:c>
      <x:c r="D50" s="73" t="n">
        <x:v>68</x:v>
      </x:c>
      <x:c r="E50" s="73" t="n">
        <x:v>61</x:v>
      </x:c>
      <x:c r="F50" s="73" t="n">
        <x:v>7</x:v>
      </x:c>
      <x:c r="G50" s="73" t="n">
        <x:v>0</x:v>
      </x:c>
      <x:c r="H50" s="73" t="n">
        <x:v>0</x:v>
      </x:c>
    </x:row>
    <x:row r="51">
      <x:c r="A51" s="49" t="str">
        <x:v>Civil Engineering (Structural Engineering)</x:v>
      </x:c>
      <x:c r="B51" s="73" t="n">
        <x:v>1</x:v>
      </x:c>
      <x:c r="C51" s="73" t="n">
        <x:v>1</x:v>
      </x:c>
      <x:c r="D51" s="73" t="n">
        <x:v>64</x:v>
      </x:c>
      <x:c r="E51" s="73" t="n">
        <x:v>57</x:v>
      </x:c>
      <x:c r="F51" s="73" t="n">
        <x:v>7</x:v>
      </x:c>
      <x:c r="G51" s="73" t="n">
        <x:v>0</x:v>
      </x:c>
      <x:c r="H51" s="73" t="n">
        <x:v>0</x:v>
      </x:c>
    </x:row>
    <x:row r="52">
      <x:c r="A52" s="49" t="str">
        <x:v>Printing and Packing Technology</x:v>
      </x:c>
      <x:c r="B52" s="73" t="n">
        <x:v>1</x:v>
      </x:c>
      <x:c r="C52" s="73" t="n">
        <x:v>1</x:v>
      </x:c>
      <x:c r="D52" s="73" t="n">
        <x:v>64</x:v>
      </x:c>
      <x:c r="E52" s="73" t="n">
        <x:v>57</x:v>
      </x:c>
      <x:c r="F52" s="73" t="n">
        <x:v>7</x:v>
      </x:c>
      <x:c r="G52" s="73" t="n">
        <x:v>0</x:v>
      </x:c>
      <x:c r="H52" s="73" t="n">
        <x:v>0</x:v>
      </x:c>
    </x:row>
    <x:row r="53">
      <x:c r="A53" s="49" t="str">
        <x:v>Electronics and Communication(Advanced Communication Technology)</x:v>
      </x:c>
      <x:c r="B53" s="73" t="n">
        <x:v>4</x:v>
      </x:c>
      <x:c r="C53" s="73" t="n">
        <x:v>4</x:v>
      </x:c>
      <x:c r="D53" s="73" t="n">
        <x:v>63</x:v>
      </x:c>
      <x:c r="E53" s="73" t="n">
        <x:v>50</x:v>
      </x:c>
      <x:c r="F53" s="73" t="n">
        <x:v>8</x:v>
      </x:c>
      <x:c r="G53" s="73" t="n">
        <x:v>5</x:v>
      </x:c>
      <x:c r="H53" s="73" t="n">
        <x:v>0</x:v>
      </x:c>
    </x:row>
    <x:row r="54">
      <x:c r="A54" s="49" t="str">
        <x:v>Safety and Fire Engineering</x:v>
      </x:c>
      <x:c r="B54" s="73" t="n">
        <x:v>1</x:v>
      </x:c>
      <x:c r="C54" s="73" t="n">
        <x:v>1</x:v>
      </x:c>
      <x:c r="D54" s="73" t="n">
        <x:v>60</x:v>
      </x:c>
      <x:c r="E54" s="73" t="n">
        <x:v>54</x:v>
      </x:c>
      <x:c r="F54" s="73" t="n">
        <x:v>6</x:v>
      </x:c>
      <x:c r="G54" s="73" t="n">
        <x:v>0</x:v>
      </x:c>
      <x:c r="H54" s="73" t="n">
        <x:v>0</x:v>
      </x:c>
    </x:row>
    <x:row r="55">
      <x:c r="A55" s="49" t="str">
        <x:v>Computer Science and Engineering(Cyber Security)</x:v>
      </x:c>
      <x:c r="B55" s="73" t="n">
        <x:v>4</x:v>
      </x:c>
      <x:c r="C55" s="73" t="n">
        <x:v>4</x:v>
      </x:c>
      <x:c r="D55" s="73" t="n">
        <x:v>59</x:v>
      </x:c>
      <x:c r="E55" s="73" t="n">
        <x:v>42</x:v>
      </x:c>
      <x:c r="F55" s="73" t="n">
        <x:v>9</x:v>
      </x:c>
      <x:c r="G55" s="73" t="n">
        <x:v>8</x:v>
      </x:c>
      <x:c r="H55" s="73" t="n">
        <x:v>0</x:v>
      </x:c>
    </x:row>
    <x:row r="56">
      <x:c r="A56" s="49" t="str">
        <x:v>Food Technology And Management</x:v>
      </x:c>
      <x:c r="B56" s="73" t="n">
        <x:v>1</x:v>
      </x:c>
      <x:c r="C56" s="73" t="n">
        <x:v>1</x:v>
      </x:c>
      <x:c r="D56" s="73" t="n">
        <x:v>58</x:v>
      </x:c>
      <x:c r="E56" s="73" t="n">
        <x:v>51</x:v>
      </x:c>
      <x:c r="F56" s="73" t="n">
        <x:v>7</x:v>
      </x:c>
      <x:c r="G56" s="73" t="n">
        <x:v>0</x:v>
      </x:c>
      <x:c r="H56" s="73" t="n">
        <x:v>0</x:v>
      </x:c>
    </x:row>
    <x:row r="57">
      <x:c r="A57" s="49" t="str">
        <x:v>Plastic and Polymer Engineering</x:v>
      </x:c>
      <x:c r="B57" s="73" t="n">
        <x:v>1</x:v>
      </x:c>
      <x:c r="C57" s="73" t="n">
        <x:v>1</x:v>
      </x:c>
      <x:c r="D57" s="73" t="n">
        <x:v>54</x:v>
      </x:c>
      <x:c r="E57" s="73" t="n">
        <x:v>48</x:v>
      </x:c>
      <x:c r="F57" s="73" t="n">
        <x:v>6</x:v>
      </x:c>
      <x:c r="G57" s="73" t="n">
        <x:v>0</x:v>
      </x:c>
      <x:c r="H57" s="73" t="n">
        <x:v>0</x:v>
      </x:c>
    </x:row>
    <x:row r="58">
      <x:c r="A58" s="49" t="str">
        <x:v>Computer Technology</x:v>
      </x:c>
      <x:c r="B58" s="73" t="n">
        <x:v>4</x:v>
      </x:c>
      <x:c r="C58" s="73" t="n">
        <x:v>4</x:v>
      </x:c>
      <x:c r="D58" s="73" t="n">
        <x:v>53</x:v>
      </x:c>
      <x:c r="E58" s="73" t="n">
        <x:v>33</x:v>
      </x:c>
      <x:c r="F58" s="73" t="n">
        <x:v>8</x:v>
      </x:c>
      <x:c r="G58" s="73" t="n">
        <x:v>12</x:v>
      </x:c>
      <x:c r="H58" s="73" t="n">
        <x:v>0</x:v>
      </x:c>
    </x:row>
    <x:row r="59">
      <x:c r="A59" s="49" t="str">
        <x:v>Computer Science and Information Technology</x:v>
      </x:c>
      <x:c r="B59" s="73" t="n">
        <x:v>2</x:v>
      </x:c>
      <x:c r="C59" s="73" t="n">
        <x:v>2</x:v>
      </x:c>
      <x:c r="D59" s="73" t="n">
        <x:v>51</x:v>
      </x:c>
      <x:c r="E59" s="73" t="n">
        <x:v>43</x:v>
      </x:c>
      <x:c r="F59" s="73" t="n">
        <x:v>8</x:v>
      </x:c>
      <x:c r="G59" s="73" t="n">
        <x:v>0</x:v>
      </x:c>
      <x:c r="H59" s="73" t="n">
        <x:v>0</x:v>
      </x:c>
    </x:row>
    <x:row r="60">
      <x:c r="A60" s="49" t="str">
        <x:v>Bio Technology</x:v>
      </x:c>
      <x:c r="B60" s="73" t="n">
        <x:v>4</x:v>
      </x:c>
      <x:c r="C60" s="73" t="n">
        <x:v>4</x:v>
      </x:c>
      <x:c r="D60" s="73" t="n">
        <x:v>50</x:v>
      </x:c>
      <x:c r="E60" s="73" t="n">
        <x:v>35</x:v>
      </x:c>
      <x:c r="F60" s="73" t="n">
        <x:v>9</x:v>
      </x:c>
      <x:c r="G60" s="73" t="n">
        <x:v>6</x:v>
      </x:c>
      <x:c r="H60" s="73" t="n">
        <x:v>0</x:v>
      </x:c>
    </x:row>
    <x:row r="61">
      <x:c r="A61" s="49" t="str">
        <x:v>Robotics and Artificial Intelligence</x:v>
      </x:c>
      <x:c r="B61" s="73" t="n">
        <x:v>3</x:v>
      </x:c>
      <x:c r="C61" s="73" t="n">
        <x:v>3</x:v>
      </x:c>
      <x:c r="D61" s="73" t="n">
        <x:v>50</x:v>
      </x:c>
      <x:c r="E61" s="73" t="n">
        <x:v>34</x:v>
      </x:c>
      <x:c r="F61" s="73" t="n">
        <x:v>11</x:v>
      </x:c>
      <x:c r="G61" s="73" t="n">
        <x:v>5</x:v>
      </x:c>
      <x:c r="H61" s="73" t="n">
        <x:v>0</x:v>
      </x:c>
    </x:row>
    <x:row r="62">
      <x:c r="A62" s="49" t="str">
        <x:v>Computer Science and Business Systems</x:v>
      </x:c>
      <x:c r="B62" s="73" t="n">
        <x:v>4</x:v>
      </x:c>
      <x:c r="C62" s="73" t="n">
        <x:v>4</x:v>
      </x:c>
      <x:c r="D62" s="73" t="n">
        <x:v>46</x:v>
      </x:c>
      <x:c r="E62" s="73" t="n">
        <x:v>38</x:v>
      </x:c>
      <x:c r="F62" s="73" t="n">
        <x:v>4</x:v>
      </x:c>
      <x:c r="G62" s="73" t="n">
        <x:v>4</x:v>
      </x:c>
      <x:c r="H62" s="73" t="n">
        <x:v>0</x:v>
      </x:c>
    </x:row>
    <x:row r="63">
      <x:c r="A63" s="49" t="str">
        <x:v>Electronics and BiomedicalÂ Engineering</x:v>
      </x:c>
      <x:c r="B63" s="73" t="n">
        <x:v>1</x:v>
      </x:c>
      <x:c r="C63" s="73" t="n">
        <x:v>1</x:v>
      </x:c>
      <x:c r="D63" s="73" t="n">
        <x:v>45</x:v>
      </x:c>
      <x:c r="E63" s="73" t="n">
        <x:v>38</x:v>
      </x:c>
      <x:c r="F63" s="73" t="n">
        <x:v>7</x:v>
      </x:c>
      <x:c r="G63" s="73" t="n">
        <x:v>0</x:v>
      </x:c>
      <x:c r="H63" s="73" t="n">
        <x:v>0</x:v>
      </x:c>
    </x:row>
    <x:row r="64">
      <x:c r="A64" s="49" t="str">
        <x:v>Aeronautical Engineering</x:v>
      </x:c>
      <x:c r="B64" s="73" t="n">
        <x:v>3</x:v>
      </x:c>
      <x:c r="C64" s="73" t="n">
        <x:v>3</x:v>
      </x:c>
      <x:c r="D64" s="73" t="n">
        <x:v>45</x:v>
      </x:c>
      <x:c r="E64" s="73" t="n">
        <x:v>31</x:v>
      </x:c>
      <x:c r="F64" s="73" t="n">
        <x:v>9</x:v>
      </x:c>
      <x:c r="G64" s="73" t="n">
        <x:v>5</x:v>
      </x:c>
      <x:c r="H64" s="73" t="n">
        <x:v>0</x:v>
      </x:c>
    </x:row>
    <x:row r="65">
      <x:c r="A65" s="49" t="str">
        <x:v>Petro Chemical Engineering</x:v>
      </x:c>
      <x:c r="B65" s="73" t="n">
        <x:v>2</x:v>
      </x:c>
      <x:c r="C65" s="73" t="n">
        <x:v>2</x:v>
      </x:c>
      <x:c r="D65" s="73" t="n">
        <x:v>41</x:v>
      </x:c>
      <x:c r="E65" s="73" t="n">
        <x:v>35</x:v>
      </x:c>
      <x:c r="F65" s="73" t="n">
        <x:v>6</x:v>
      </x:c>
      <x:c r="G65" s="73" t="n">
        <x:v>0</x:v>
      </x:c>
      <x:c r="H65" s="73" t="n">
        <x:v>0</x:v>
      </x:c>
    </x:row>
    <x:row r="66">
      <x:c r="A66" s="49" t="str">
        <x:v>Computer Engineering (Software Engineering)</x:v>
      </x:c>
      <x:c r="B66" s="73" t="n">
        <x:v>2</x:v>
      </x:c>
      <x:c r="C66" s="73" t="n">
        <x:v>2</x:v>
      </x:c>
      <x:c r="D66" s="73" t="n">
        <x:v>39</x:v>
      </x:c>
      <x:c r="E66" s="73" t="n">
        <x:v>34</x:v>
      </x:c>
      <x:c r="F66" s="73" t="n">
        <x:v>5</x:v>
      </x:c>
      <x:c r="G66" s="73" t="n">
        <x:v>0</x:v>
      </x:c>
      <x:c r="H66" s="73" t="n">
        <x:v>0</x:v>
      </x:c>
    </x:row>
    <x:row r="67">
      <x:c r="A67" s="49" t="str">
        <x:v>Computer Science and Engineering (Cyber Security)</x:v>
      </x:c>
      <x:c r="B67" s="73" t="n">
        <x:v>4</x:v>
      </x:c>
      <x:c r="C67" s="73" t="n">
        <x:v>4</x:v>
      </x:c>
      <x:c r="D67" s="73" t="n">
        <x:v>36</x:v>
      </x:c>
      <x:c r="E67" s="73" t="n">
        <x:v>19</x:v>
      </x:c>
      <x:c r="F67" s="73" t="n">
        <x:v>5</x:v>
      </x:c>
      <x:c r="G67" s="73" t="n">
        <x:v>12</x:v>
      </x:c>
      <x:c r="H67" s="73" t="n">
        <x:v>0</x:v>
      </x:c>
    </x:row>
    <x:row r="68">
      <x:c r="A68" s="49" t="str">
        <x:v>Textile Technology</x:v>
      </x:c>
      <x:c r="B68" s="73" t="n">
        <x:v>3</x:v>
      </x:c>
      <x:c r="C68" s="73" t="n">
        <x:v>3</x:v>
      </x:c>
      <x:c r="D68" s="73" t="n">
        <x:v>34</x:v>
      </x:c>
      <x:c r="E68" s="73" t="n">
        <x:v>29</x:v>
      </x:c>
      <x:c r="F68" s="73" t="n">
        <x:v>5</x:v>
      </x:c>
      <x:c r="G68" s="73" t="n">
        <x:v>0</x:v>
      </x:c>
      <x:c r="H68" s="73" t="n">
        <x:v>0</x:v>
      </x:c>
    </x:row>
    <x:row r="69">
      <x:c r="A69" s="49" t="str">
        <x:v>Cyber Security</x:v>
      </x:c>
      <x:c r="B69" s="73" t="n">
        <x:v>2</x:v>
      </x:c>
      <x:c r="C69" s="73" t="n">
        <x:v>2</x:v>
      </x:c>
      <x:c r="D69" s="73" t="n">
        <x:v>34</x:v>
      </x:c>
      <x:c r="E69" s="73" t="n">
        <x:v>27</x:v>
      </x:c>
      <x:c r="F69" s="73" t="n">
        <x:v>3</x:v>
      </x:c>
      <x:c r="G69" s="73" t="n">
        <x:v>4</x:v>
      </x:c>
      <x:c r="H69" s="73" t="n">
        <x:v>0</x:v>
      </x:c>
    </x:row>
    <x:row r="70">
      <x:c r="A70" s="49" t="str">
        <x:v>Electronics and Communication (Advanced Communication Technology)</x:v>
      </x:c>
      <x:c r="B70" s="73" t="n">
        <x:v>2</x:v>
      </x:c>
      <x:c r="C70" s="73" t="n">
        <x:v>2</x:v>
      </x:c>
      <x:c r="D70" s="73" t="n">
        <x:v>34</x:v>
      </x:c>
      <x:c r="E70" s="73" t="n">
        <x:v>14</x:v>
      </x:c>
      <x:c r="F70" s="73" t="n">
        <x:v>0</x:v>
      </x:c>
      <x:c r="G70" s="73" t="n">
        <x:v>20</x:v>
      </x:c>
      <x:c r="H70" s="73" t="n">
        <x:v>0</x:v>
      </x:c>
    </x:row>
    <x:row r="71">
      <x:c r="A71" s="49" t="str">
        <x:v>Computer Science and Engineering (Artificial Intelligence and Data Science)</x:v>
      </x:c>
      <x:c r="B71" s="73" t="n">
        <x:v>2</x:v>
      </x:c>
      <x:c r="C71" s="73" t="n">
        <x:v>2</x:v>
      </x:c>
      <x:c r="D71" s="73" t="n">
        <x:v>33</x:v>
      </x:c>
      <x:c r="E71" s="73" t="n">
        <x:v>30</x:v>
      </x:c>
      <x:c r="F71" s="73" t="n">
        <x:v>3</x:v>
      </x:c>
      <x:c r="G71" s="73" t="n">
        <x:v>0</x:v>
      </x:c>
      <x:c r="H71" s="73" t="n">
        <x:v>0</x:v>
      </x:c>
    </x:row>
    <x:row r="72">
      <x:c r="A72" s="49" t="str">
        <x:v>Computer Science and Engineering (IoT)</x:v>
      </x:c>
      <x:c r="B72" s="73" t="n">
        <x:v>3</x:v>
      </x:c>
      <x:c r="C72" s="73" t="n">
        <x:v>3</x:v>
      </x:c>
      <x:c r="D72" s="73" t="n">
        <x:v>29</x:v>
      </x:c>
      <x:c r="E72" s="73" t="n">
        <x:v>19</x:v>
      </x:c>
      <x:c r="F72" s="73" t="n">
        <x:v>3</x:v>
      </x:c>
      <x:c r="G72" s="73" t="n">
        <x:v>7</x:v>
      </x:c>
      <x:c r="H72" s="73" t="n">
        <x:v>0</x:v>
      </x:c>
    </x:row>
    <x:row r="73">
      <x:c r="A73" s="49" t="str">
        <x:v>Internet of Things (IoT)</x:v>
      </x:c>
      <x:c r="B73" s="73" t="n">
        <x:v>2</x:v>
      </x:c>
      <x:c r="C73" s="73" t="n">
        <x:v>2</x:v>
      </x:c>
      <x:c r="D73" s="73" t="n">
        <x:v>29</x:v>
      </x:c>
      <x:c r="E73" s="73" t="n">
        <x:v>13</x:v>
      </x:c>
      <x:c r="F73" s="73" t="n">
        <x:v>0</x:v>
      </x:c>
      <x:c r="G73" s="73" t="n">
        <x:v>16</x:v>
      </x:c>
      <x:c r="H73" s="73" t="n">
        <x:v>0</x:v>
      </x:c>
    </x:row>
    <x:row r="74">
      <x:c r="A74" s="49" t="str">
        <x:v>Civil and Environmental Engineering</x:v>
      </x:c>
      <x:c r="B74" s="73" t="n">
        <x:v>2</x:v>
      </x:c>
      <x:c r="C74" s="73" t="n">
        <x:v>2</x:v>
      </x:c>
      <x:c r="D74" s="73" t="n">
        <x:v>25</x:v>
      </x:c>
      <x:c r="E74" s="73" t="n">
        <x:v>17</x:v>
      </x:c>
      <x:c r="F74" s="73" t="n">
        <x:v>8</x:v>
      </x:c>
      <x:c r="G74" s="73" t="n">
        <x:v>0</x:v>
      </x:c>
      <x:c r="H74" s="73" t="n">
        <x:v>0</x:v>
      </x:c>
    </x:row>
    <x:row r="75">
      <x:c r="A75" s="49" t="str">
        <x:v>VLSI</x:v>
      </x:c>
      <x:c r="B75" s="73" t="n">
        <x:v>1</x:v>
      </x:c>
      <x:c r="C75" s="73" t="n">
        <x:v>1</x:v>
      </x:c>
      <x:c r="D75" s="73" t="n">
        <x:v>24</x:v>
      </x:c>
      <x:c r="E75" s="73" t="n">
        <x:v>21</x:v>
      </x:c>
      <x:c r="F75" s="73" t="n">
        <x:v>3</x:v>
      </x:c>
      <x:c r="G75" s="73" t="n">
        <x:v>0</x:v>
      </x:c>
      <x:c r="H75" s="73" t="n">
        <x:v>0</x:v>
      </x:c>
    </x:row>
    <x:row r="76">
      <x:c r="A76" s="49" t="str">
        <x:v>Industrial IoT</x:v>
      </x:c>
      <x:c r="B76" s="73" t="n">
        <x:v>3</x:v>
      </x:c>
      <x:c r="C76" s="73" t="n">
        <x:v>3</x:v>
      </x:c>
      <x:c r="D76" s="73" t="n">
        <x:v>23</x:v>
      </x:c>
      <x:c r="E76" s="73" t="n">
        <x:v>12</x:v>
      </x:c>
      <x:c r="F76" s="73" t="n">
        <x:v>3</x:v>
      </x:c>
      <x:c r="G76" s="73" t="n">
        <x:v>8</x:v>
      </x:c>
      <x:c r="H76" s="73" t="n">
        <x:v>0</x:v>
      </x:c>
    </x:row>
    <x:row r="77">
      <x:c r="A77" s="49" t="str">
        <x:v>Agricultural Engineering</x:v>
      </x:c>
      <x:c r="B77" s="73" t="n">
        <x:v>1</x:v>
      </x:c>
      <x:c r="C77" s="73" t="n">
        <x:v>1</x:v>
      </x:c>
      <x:c r="D77" s="73" t="n">
        <x:v>21</x:v>
      </x:c>
      <x:c r="E77" s="73" t="n">
        <x:v>18</x:v>
      </x:c>
      <x:c r="F77" s="73" t="n">
        <x:v>3</x:v>
      </x:c>
      <x:c r="G77" s="73" t="n">
        <x:v>0</x:v>
      </x:c>
      <x:c r="H77" s="73" t="n">
        <x:v>0</x:v>
      </x:c>
    </x:row>
    <x:row r="78">
      <x:c r="A78" s="49" t="str">
        <x:v>Data Engineering</x:v>
      </x:c>
      <x:c r="B78" s="73" t="n">
        <x:v>1</x:v>
      </x:c>
      <x:c r="C78" s="73" t="n">
        <x:v>1</x:v>
      </x:c>
      <x:c r="D78" s="73" t="n">
        <x:v>21</x:v>
      </x:c>
      <x:c r="E78" s="73" t="n">
        <x:v>10</x:v>
      </x:c>
      <x:c r="F78" s="73" t="n">
        <x:v>0</x:v>
      </x:c>
      <x:c r="G78" s="73" t="n">
        <x:v>11</x:v>
      </x:c>
      <x:c r="H78" s="73" t="n">
        <x:v>0</x:v>
      </x:c>
    </x:row>
    <x:row r="79">
      <x:c r="A79" s="49" t="str">
        <x:v>Textile Chemistry</x:v>
      </x:c>
      <x:c r="B79" s="73" t="n">
        <x:v>1</x:v>
      </x:c>
      <x:c r="C79" s="73" t="n">
        <x:v>1</x:v>
      </x:c>
      <x:c r="D79" s="73" t="n">
        <x:v>21</x:v>
      </x:c>
      <x:c r="E79" s="73" t="n">
        <x:v>18</x:v>
      </x:c>
      <x:c r="F79" s="73" t="n">
        <x:v>3</x:v>
      </x:c>
      <x:c r="G79" s="73" t="n">
        <x:v>0</x:v>
      </x:c>
      <x:c r="H79" s="73" t="n">
        <x:v>0</x:v>
      </x:c>
    </x:row>
    <x:row r="80">
      <x:c r="A80" s="49" t="str">
        <x:v>Mechanical Engineering[Sandwich]</x:v>
      </x:c>
      <x:c r="B80" s="73" t="n">
        <x:v>1</x:v>
      </x:c>
      <x:c r="C80" s="73" t="n">
        <x:v>1</x:v>
      </x:c>
      <x:c r="D80" s="73" t="n">
        <x:v>20</x:v>
      </x:c>
      <x:c r="E80" s="73" t="n">
        <x:v>14</x:v>
      </x:c>
      <x:c r="F80" s="73" t="n">
        <x:v>6</x:v>
      </x:c>
      <x:c r="G80" s="73" t="n">
        <x:v>0</x:v>
      </x:c>
      <x:c r="H80" s="73" t="n">
        <x:v>0</x:v>
      </x:c>
    </x:row>
    <x:row r="81">
      <x:c r="A81" s="49" t="str">
        <x:v>Paper and Pulp Technology</x:v>
      </x:c>
      <x:c r="B81" s="73" t="n">
        <x:v>1</x:v>
      </x:c>
      <x:c r="C81" s="73" t="n">
        <x:v>1</x:v>
      </x:c>
      <x:c r="D81" s="73" t="n">
        <x:v>19</x:v>
      </x:c>
      <x:c r="E81" s="73" t="n">
        <x:v>17</x:v>
      </x:c>
      <x:c r="F81" s="73" t="n">
        <x:v>2</x:v>
      </x:c>
      <x:c r="G81" s="73" t="n">
        <x:v>0</x:v>
      </x:c>
      <x:c r="H81" s="73" t="n">
        <x:v>0</x:v>
      </x:c>
    </x:row>
    <x:row r="82">
      <x:c r="A82" s="49" t="str">
        <x:v>Mechanical Engineering Automobile</x:v>
      </x:c>
      <x:c r="B82" s="73" t="n">
        <x:v>1</x:v>
      </x:c>
      <x:c r="C82" s="73" t="n">
        <x:v>1</x:v>
      </x:c>
      <x:c r="D82" s="73" t="n">
        <x:v>19</x:v>
      </x:c>
      <x:c r="E82" s="73" t="n">
        <x:v>0</x:v>
      </x:c>
      <x:c r="F82" s="73" t="n">
        <x:v>0</x:v>
      </x:c>
      <x:c r="G82" s="73" t="n">
        <x:v>19</x:v>
      </x:c>
      <x:c r="H82" s="73" t="n">
        <x:v>0</x:v>
      </x:c>
    </x:row>
    <x:row r="83">
      <x:c r="A83" s="49" t="str">
        <x:v>Structural Engineering</x:v>
      </x:c>
      <x:c r="B83" s="73" t="n">
        <x:v>1</x:v>
      </x:c>
      <x:c r="C83" s="73" t="n">
        <x:v>1</x:v>
      </x:c>
      <x:c r="D83" s="73" t="n">
        <x:v>19</x:v>
      </x:c>
      <x:c r="E83" s="73" t="n">
        <x:v>14</x:v>
      </x:c>
      <x:c r="F83" s="73" t="n">
        <x:v>5</x:v>
      </x:c>
      <x:c r="G83" s="73" t="n">
        <x:v>0</x:v>
      </x:c>
      <x:c r="H83" s="73" t="n">
        <x:v>0</x:v>
      </x:c>
    </x:row>
    <x:row r="84">
      <x:c r="A84" s="49" t="str">
        <x:v>Production Engineering</x:v>
      </x:c>
      <x:c r="B84" s="73" t="n">
        <x:v>1</x:v>
      </x:c>
      <x:c r="C84" s="73" t="n">
        <x:v>1</x:v>
      </x:c>
      <x:c r="D84" s="73" t="n">
        <x:v>17</x:v>
      </x:c>
      <x:c r="E84" s="73" t="n">
        <x:v>13</x:v>
      </x:c>
      <x:c r="F84" s="73" t="n">
        <x:v>4</x:v>
      </x:c>
      <x:c r="G84" s="73" t="n">
        <x:v>0</x:v>
      </x:c>
      <x:c r="H84" s="73" t="n">
        <x:v>0</x:v>
      </x:c>
    </x:row>
    <x:row r="85">
      <x:c r="A85" s="49" t="str">
        <x:v>5G</x:v>
      </x:c>
      <x:c r="B85" s="73" t="n">
        <x:v>1</x:v>
      </x:c>
      <x:c r="C85" s="73" t="n">
        <x:v>1</x:v>
      </x:c>
      <x:c r="D85" s="73" t="n">
        <x:v>15</x:v>
      </x:c>
      <x:c r="E85" s="73" t="n">
        <x:v>12</x:v>
      </x:c>
      <x:c r="F85" s="73" t="n">
        <x:v>3</x:v>
      </x:c>
      <x:c r="G85" s="73" t="n">
        <x:v>0</x:v>
      </x:c>
      <x:c r="H85" s="73" t="n">
        <x:v>0</x:v>
      </x:c>
    </x:row>
    <x:row r="86">
      <x:c r="A86" s="49" t="str">
        <x:v>Computer Science and Technology</x:v>
      </x:c>
      <x:c r="B86" s="73" t="n">
        <x:v>1</x:v>
      </x:c>
      <x:c r="C86" s="73" t="n">
        <x:v>1</x:v>
      </x:c>
      <x:c r="D86" s="73" t="n">
        <x:v>10</x:v>
      </x:c>
      <x:c r="E86" s="73" t="n">
        <x:v>7</x:v>
      </x:c>
      <x:c r="F86" s="73" t="n">
        <x:v>3</x:v>
      </x:c>
      <x:c r="G86" s="73" t="n">
        <x:v>0</x:v>
      </x:c>
      <x:c r="H86" s="73" t="n">
        <x:v>0</x:v>
      </x:c>
    </x:row>
    <x:row r="87">
      <x:c r="A87" s="49" t="str">
        <x:v>Fashion Technology</x:v>
      </x:c>
      <x:c r="B87" s="73" t="n">
        <x:v>1</x:v>
      </x:c>
      <x:c r="C87" s="73" t="n">
        <x:v>1</x:v>
      </x:c>
      <x:c r="D87" s="73" t="n">
        <x:v>9</x:v>
      </x:c>
      <x:c r="E87" s="73" t="n">
        <x:v>9</x:v>
      </x:c>
      <x:c r="F87" s="73" t="n">
        <x:v>0</x:v>
      </x:c>
      <x:c r="G87" s="73" t="n">
        <x:v>0</x:v>
      </x:c>
      <x:c r="H87" s="73" t="n">
        <x:v>0</x:v>
      </x:c>
    </x:row>
    <x:row r="88">
      <x:c r="A88" s="49" t="str">
        <x:v>Production Engineering[Sandwich]</x:v>
      </x:c>
      <x:c r="B88" s="73" t="n">
        <x:v>1</x:v>
      </x:c>
      <x:c r="C88" s="73" t="n">
        <x:v>1</x:v>
      </x:c>
      <x:c r="D88" s="73" t="n">
        <x:v>8</x:v>
      </x:c>
      <x:c r="E88" s="73" t="n">
        <x:v>7</x:v>
      </x:c>
      <x:c r="F88" s="73" t="n">
        <x:v>1</x:v>
      </x:c>
      <x:c r="G88" s="73" t="n">
        <x:v>0</x:v>
      </x:c>
      <x:c r="H88" s="73" t="n">
        <x:v>0</x:v>
      </x:c>
    </x:row>
    <x:row r="89">
      <x:c r="A89" s="49" t="str">
        <x:v>Plastic Technology</x:v>
      </x:c>
      <x:c r="B89" s="73" t="n">
        <x:v>1</x:v>
      </x:c>
      <x:c r="C89" s="73" t="n">
        <x:v>1</x:v>
      </x:c>
      <x:c r="D89" s="73" t="n">
        <x:v>8</x:v>
      </x:c>
      <x:c r="E89" s="73" t="n">
        <x:v>6</x:v>
      </x:c>
      <x:c r="F89" s="73" t="n">
        <x:v>2</x:v>
      </x:c>
      <x:c r="G89" s="73" t="n">
        <x:v>0</x:v>
      </x:c>
      <x:c r="H89" s="73" t="n">
        <x:v>0</x:v>
      </x:c>
    </x:row>
    <x:row r="90">
      <x:c r="A90" s="49" t="str">
        <x:v>Oil Fats and Waxes Technology</x:v>
      </x:c>
      <x:c r="B90" s="73" t="n">
        <x:v>1</x:v>
      </x:c>
      <x:c r="C90" s="73" t="n">
        <x:v>1</x:v>
      </x:c>
      <x:c r="D90" s="73" t="n">
        <x:v>8</x:v>
      </x:c>
      <x:c r="E90" s="73" t="n">
        <x:v>6</x:v>
      </x:c>
      <x:c r="F90" s="73" t="n">
        <x:v>2</x:v>
      </x:c>
      <x:c r="G90" s="73" t="n">
        <x:v>0</x:v>
      </x:c>
      <x:c r="H90" s="73" t="n">
        <x:v>0</x:v>
      </x:c>
    </x:row>
    <x:row r="91">
      <x:c r="A91" s="49" t="str">
        <x:v>Oil and Paints Technology</x:v>
      </x:c>
      <x:c r="B91" s="73" t="n">
        <x:v>1</x:v>
      </x:c>
      <x:c r="C91" s="73" t="n">
        <x:v>1</x:v>
      </x:c>
      <x:c r="D91" s="73" t="n">
        <x:v>7</x:v>
      </x:c>
      <x:c r="E91" s="73" t="n">
        <x:v>5</x:v>
      </x:c>
      <x:c r="F91" s="73" t="n">
        <x:v>2</x:v>
      </x:c>
      <x:c r="G91" s="73" t="n">
        <x:v>0</x:v>
      </x:c>
      <x:c r="H91" s="73" t="n">
        <x:v>0</x:v>
      </x:c>
    </x:row>
    <x:row r="92">
      <x:c r="A92" s="49" t="str">
        <x:v>Man Made Textile Technology</x:v>
      </x:c>
      <x:c r="B92" s="73" t="n">
        <x:v>1</x:v>
      </x:c>
      <x:c r="C92" s="73" t="n">
        <x:v>1</x:v>
      </x:c>
      <x:c r="D92" s="73" t="n">
        <x:v>7</x:v>
      </x:c>
      <x:c r="E92" s="73" t="n">
        <x:v>7</x:v>
      </x:c>
      <x:c r="F92" s="73" t="n">
        <x:v>0</x:v>
      </x:c>
      <x:c r="G92" s="73" t="n">
        <x:v>0</x:v>
      </x:c>
      <x:c r="H92" s="73" t="n">
        <x:v>0</x:v>
      </x:c>
    </x:row>
    <x:row r="93">
      <x:c r="A93" s="49" t="str">
        <x:v>Paints Technology</x:v>
      </x:c>
      <x:c r="B93" s="73" t="n">
        <x:v>1</x:v>
      </x:c>
      <x:c r="C93" s="73" t="n">
        <x:v>1</x:v>
      </x:c>
      <x:c r="D93" s="73" t="n">
        <x:v>6</x:v>
      </x:c>
      <x:c r="E93" s="73" t="n">
        <x:v>4</x:v>
      </x:c>
      <x:c r="F93" s="73" t="n">
        <x:v>2</x:v>
      </x:c>
      <x:c r="G93" s="73" t="n">
        <x:v>0</x:v>
      </x:c>
      <x:c r="H93" s="73" t="n">
        <x:v>0</x:v>
      </x:c>
    </x:row>
    <x:row r="94">
      <x:c r="A94" s="49" t="str">
        <x:v>Textile Engineering / Technology</x:v>
      </x:c>
      <x:c r="B94" s="73" t="n">
        <x:v>1</x:v>
      </x:c>
      <x:c r="C94" s="73" t="n">
        <x:v>1</x:v>
      </x:c>
      <x:c r="D94" s="73" t="n">
        <x:v>5</x:v>
      </x:c>
      <x:c r="E94" s="73" t="n">
        <x:v>2</x:v>
      </x:c>
      <x:c r="F94" s="73" t="n">
        <x:v>0</x:v>
      </x:c>
      <x:c r="G94" s="73" t="n">
        <x:v>3</x:v>
      </x:c>
      <x:c r="H94" s="73" t="n">
        <x:v>0</x:v>
      </x:c>
    </x:row>
    <x:row r="95">
      <x:c r="A95" s="49" t="str">
        <x:v>Pharmaceutical and Fine Chemical Technology</x:v>
      </x:c>
      <x:c r="B95" s="73" t="n">
        <x:v>1</x:v>
      </x:c>
      <x:c r="C95" s="73" t="n">
        <x:v>1</x:v>
      </x:c>
      <x:c r="D95" s="73" t="n">
        <x:v>4</x:v>
      </x:c>
      <x:c r="E95" s="73" t="n">
        <x:v>3</x:v>
      </x:c>
      <x:c r="F95" s="73" t="n">
        <x:v>1</x:v>
      </x:c>
      <x:c r="G95" s="73" t="n">
        <x:v>0</x:v>
      </x:c>
      <x:c r="H95" s="73" t="n">
        <x:v>0</x:v>
      </x:c>
    </x:row>
    <x:row r="96">
      <x:c r="A96" s="49" t="str">
        <x:v>Technical Textiles</x:v>
      </x:c>
      <x:c r="B96" s="73" t="n">
        <x:v>1</x:v>
      </x:c>
      <x:c r="C96" s="73" t="n">
        <x:v>1</x:v>
      </x:c>
      <x:c r="D96" s="73" t="n">
        <x:v>4</x:v>
      </x:c>
      <x:c r="E96" s="73" t="n">
        <x:v>4</x:v>
      </x:c>
      <x:c r="F96" s="73" t="n">
        <x:v>0</x:v>
      </x:c>
      <x:c r="G96" s="73" t="n">
        <x:v>0</x:v>
      </x:c>
      <x:c r="H96" s="73" t="n">
        <x:v>0</x:v>
      </x:c>
    </x:row>
  </x:sheetData>
  <x:mergeCells>
    <x:mergeCell ref="A1:H1"/>
    <x:mergeCell ref="A2:H3"/>
  </x:mergeCells>
  <x:conditionalFormatting sqref="D6:D96">
    <x:cfRule type="dataBar" priority="1">
      <x:dataBar>
        <x:cfvo type="min"/>
        <x:cfvo type="max"/>
        <x:color rgb="FF0F6B78"/>
      </x:dataBar>
      <x:extLst>
        <x:ext xmlns:x14="http://schemas.microsoft.com/office/spreadsheetml/2009/9/main" uri="{B025F937-C7B1-47D3-B67F-A62EFF666E3E}">
          <x14:id>{82356F13-8091-2E55-3419-97502A9A16F6}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40355af429944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356F13-8091-2E55-3419-97502A9A16F6}">
            <x14:dataBar gradient="1">
              <x14:cfvo type="min"/>
              <x14:cfvo type="max"/>
              <x14:fillColor rgb="FF0F6B78"/>
            </x14:dataBar>
          </x14:cfRule>
          <xm:sqref>D6:D96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22" hidden="0" customWidth="1"/>
    <x:col min="4" max="4" width="11" hidden="0" customWidth="1"/>
    <x:col min="5" max="5" width="15" hidden="0" customWidth="1"/>
    <x:col min="6" max="6" width="17" hidden="0" customWidth="1"/>
    <x:col min="7" max="7" width="18" hidden="0" customWidth="1"/>
    <x:col min="8" max="8" width="36" hidden="0" customWidth="1"/>
    <x:col min="9" max="9" width="45" hidden="0" customWidth="1"/>
    <x:col min="10" max="10" width="48" hidden="0" customWidth="1"/>
  </x:cols>
  <x:sheetData>
    <x:row r="1" ht="32" customHeight="1">
      <x:c r="A1" s="61" t="str">
        <x:v>Institute Code</x:v>
      </x:c>
      <x:c r="B1" s="61" t="str">
        <x:v>Institute Name</x:v>
      </x:c>
      <x:c r="C1" s="61" t="str">
        <x:v>District / City</x:v>
      </x:c>
      <x:c r="D1" s="61" t="str">
        <x:v>Fee Year</x:v>
      </x:c>
      <x:c r="E1" s="61" t="str">
        <x:v>Tuition Fee</x:v>
      </x:c>
      <x:c r="F1" s="61" t="str">
        <x:v>Development Fee</x:v>
      </x:c>
      <x:c r="G1" s="61" t="str">
        <x:v>Total Approved Fee</x:v>
      </x:c>
      <x:c r="H1" s="61" t="str">
        <x:v>Verification Status</x:v>
      </x:c>
      <x:c r="I1" s="61" t="str">
        <x:v>Seat-Type Interpretation</x:v>
      </x:c>
      <x:c r="J1" s="61" t="str">
        <x:v>College Reference Source</x:v>
      </x:c>
    </x:row>
    <x:row r="2">
      <x:c r="A2" s="63" t="n">
        <x:v>1002</x:v>
      </x:c>
      <x:c r="B2" s="49" t="str">
        <x:v>Government College of Engineering, Amravati</x:v>
      </x:c>
      <x:c r="C2" s="49" t="str">
        <x:v>Amravati</x:v>
      </x:c>
      <x:c r="D2" s="49"/>
      <x:c r="E2" s="64"/>
      <x:c r="F2" s="64"/>
      <x:c r="G2" s="64"/>
      <x:c r="H2" s="49" t="str">
        <x:v>No verified FRA match in extracted history</x:v>
      </x:c>
      <x:c r="I2" s="49" t="str">
        <x:v>Normal annual approved fee; not category/seat-type payable amount</x:v>
      </x:c>
      <x:c r="J2" s="49" t="str">
        <x:v>https://fe2025.mahacet.org/StaticPages/frmInstituteSummary.aspx?InstituteCode=01002</x:v>
      </x:c>
    </x:row>
    <x:row r="3">
      <x:c r="A3" s="63" t="n">
        <x:v>1005</x:v>
      </x:c>
      <x:c r="B3" s="49" t="str">
        <x:v>Sant Gadge Baba Amravati University,Amravati</x:v>
      </x:c>
      <x:c r="C3" s="49" t="str">
        <x:v>Amravati</x:v>
      </x:c>
      <x:c r="D3" s="49"/>
      <x:c r="E3" s="64"/>
      <x:c r="F3" s="64"/>
      <x:c r="G3" s="64"/>
      <x:c r="H3" s="49" t="str">
        <x:v>No verified FRA match in extracted history</x:v>
      </x:c>
      <x:c r="I3" s="49" t="str">
        <x:v>Normal annual approved fee; not category/seat-type payable amount</x:v>
      </x:c>
      <x:c r="J3" s="49" t="str">
        <x:v>https://fe2025.mahacet.org/StaticPages/frmInstituteSummary.aspx?InstituteCode=01005</x:v>
      </x:c>
    </x:row>
    <x:row r="4">
      <x:c r="A4" s="63" t="n">
        <x:v>1012</x:v>
      </x:c>
      <x:c r="B4" s="49" t="str">
        <x:v>Government College of Engineering,Yavatmal</x:v>
      </x:c>
      <x:c r="C4" s="49" t="str">
        <x:v>Yavatmal</x:v>
      </x:c>
      <x:c r="D4" s="49"/>
      <x:c r="E4" s="64"/>
      <x:c r="F4" s="64"/>
      <x:c r="G4" s="64"/>
      <x:c r="H4" s="49" t="str">
        <x:v>No verified FRA match in extracted history</x:v>
      </x:c>
      <x:c r="I4" s="49" t="str">
        <x:v>Normal annual approved fee; not category/seat-type payable amount</x:v>
      </x:c>
      <x:c r="J4" s="49" t="str">
        <x:v>https://fe2025.mahacet.org/StaticPages/frmInstituteSummary.aspx?InstituteCode=01012</x:v>
      </x:c>
    </x:row>
    <x:row r="5">
      <x:c r="A5" s="63" t="n">
        <x:v>1101</x:v>
      </x:c>
      <x:c r="B5" s="49" t="str">
        <x:v>Shri Sant Gajanan Maharaj College of Engineering,Shegaon</x:v>
      </x:c>
      <x:c r="C5" s="49" t="str">
        <x:v>Buldhana</x:v>
      </x:c>
      <x:c r="D5" s="49" t="str">
        <x:v>2024-25</x:v>
      </x:c>
      <x:c r="E5" s="64" t="n">
        <x:v>106087</x:v>
      </x:c>
      <x:c r="F5" s="64" t="n">
        <x:v>15913</x:v>
      </x:c>
      <x:c r="G5" s="64" t="n">
        <x:v>122000</x:v>
      </x:c>
      <x:c r="H5" s="49" t="str">
        <x:v>Verified FRA annual tuition + development fee</x:v>
      </x:c>
      <x:c r="I5" s="49" t="str">
        <x:v>Normal annual approved fee; not category/seat-type payable amount</x:v>
      </x:c>
      <x:c r="J5" s="49" t="str">
        <x:v>https://fe2025.mahacet.org/StaticPages/frmInstituteSummary.aspx?InstituteCode=01101</x:v>
      </x:c>
    </x:row>
    <x:row r="6">
      <x:c r="A6" s="63" t="n">
        <x:v>1105</x:v>
      </x:c>
      <x:c r="B6" s="49" t="str">
        <x:v>Prof. Ram Meghe Institute of Technology &amp; Research, Amravati</x:v>
      </x:c>
      <x:c r="C6" s="49" t="str">
        <x:v>Amravati</x:v>
      </x:c>
      <x:c r="D6" s="49" t="str">
        <x:v>2024-25</x:v>
      </x:c>
      <x:c r="E6" s="64" t="n">
        <x:v>115147</x:v>
      </x:c>
      <x:c r="F6" s="64" t="n">
        <x:v>16353</x:v>
      </x:c>
      <x:c r="G6" s="64" t="n">
        <x:v>131500</x:v>
      </x:c>
      <x:c r="H6" s="49" t="str">
        <x:v>Verified FRA annual tuition + development fee</x:v>
      </x:c>
      <x:c r="I6" s="49" t="str">
        <x:v>Normal annual approved fee; not category/seat-type payable amount</x:v>
      </x:c>
      <x:c r="J6" s="49" t="str">
        <x:v>https://fe2025.mahacet.org/StaticPages/frmInstituteSummary.aspx?InstituteCode=01105</x:v>
      </x:c>
    </x:row>
    <x:row r="7">
      <x:c r="A7" s="63" t="n">
        <x:v>1107</x:v>
      </x:c>
      <x:c r="B7" s="49" t="str">
        <x:v>P. R. Pote Patil College of Engineering &amp; Management, Amravati</x:v>
      </x:c>
      <x:c r="C7" s="49" t="str">
        <x:v>Amravati</x:v>
      </x:c>
      <x:c r="D7" s="49" t="str">
        <x:v>2024-25</x:v>
      </x:c>
      <x:c r="E7" s="64" t="n">
        <x:v>94132</x:v>
      </x:c>
      <x:c r="F7" s="64" t="n">
        <x:v>13368</x:v>
      </x:c>
      <x:c r="G7" s="64" t="n">
        <x:v>107500</x:v>
      </x:c>
      <x:c r="H7" s="49" t="str">
        <x:v>Verified FRA annual tuition + development fee</x:v>
      </x:c>
      <x:c r="I7" s="49" t="str">
        <x:v>Normal annual approved fee; not category/seat-type payable amount</x:v>
      </x:c>
      <x:c r="J7" s="49" t="str">
        <x:v>https://fe2025.mahacet.org/StaticPages/frmInstituteSummary.aspx?InstituteCode=01107</x:v>
      </x:c>
    </x:row>
    <x:row r="8">
      <x:c r="A8" s="63" t="n">
        <x:v>1114</x:v>
      </x:c>
      <x:c r="B8" s="49" t="str">
        <x:v>Sipna Shikshan Prasarak Mandal College of Engineering &amp; Technology, Amravati</x:v>
      </x:c>
      <x:c r="C8" s="49" t="str">
        <x:v>Amravati</x:v>
      </x:c>
      <x:c r="D8" s="49" t="str">
        <x:v>2024-25</x:v>
      </x:c>
      <x:c r="E8" s="64" t="n">
        <x:v>78603</x:v>
      </x:c>
      <x:c r="F8" s="64" t="n">
        <x:v>11397</x:v>
      </x:c>
      <x:c r="G8" s="64" t="n">
        <x:v>90000</x:v>
      </x:c>
      <x:c r="H8" s="49" t="str">
        <x:v>Verified FRA annual tuition + development fee</x:v>
      </x:c>
      <x:c r="I8" s="49" t="str">
        <x:v>Normal annual approved fee; not category/seat-type payable amount</x:v>
      </x:c>
      <x:c r="J8" s="49" t="str">
        <x:v>https://fe2025.mahacet.org/StaticPages/frmInstituteSummary.aspx?InstituteCode=01114</x:v>
      </x:c>
    </x:row>
    <x:row r="9">
      <x:c r="A9" s="63" t="n">
        <x:v>1116</x:v>
      </x:c>
      <x:c r="B9" s="49" t="str">
        <x:v>Shri Shivaji Education Society's College of Engineering and Technology, Akola</x:v>
      </x:c>
      <x:c r="C9" s="49" t="str">
        <x:v>Akola</x:v>
      </x:c>
      <x:c r="D9" s="49" t="str">
        <x:v>2024-25</x:v>
      </x:c>
      <x:c r="E9" s="64" t="n">
        <x:v>93420</x:v>
      </x:c>
      <x:c r="F9" s="64" t="n">
        <x:v>13080</x:v>
      </x:c>
      <x:c r="G9" s="64" t="n">
        <x:v>106500</x:v>
      </x:c>
      <x:c r="H9" s="49" t="str">
        <x:v>Verified FRA annual tuition + development fee</x:v>
      </x:c>
      <x:c r="I9" s="49" t="str">
        <x:v>Normal annual approved fee; not category/seat-type payable amount</x:v>
      </x:c>
      <x:c r="J9" s="49" t="str">
        <x:v>https://fe2025.mahacet.org/StaticPages/frmInstituteSummary.aspx?InstituteCode=01116</x:v>
      </x:c>
    </x:row>
    <x:row r="10">
      <x:c r="A10" s="63" t="n">
        <x:v>1117</x:v>
      </x:c>
      <x:c r="B10" s="49" t="str">
        <x:v>Janata Shikshan Prasarak Mandals Babasaheb Naik College Of Engineering, Pusad</x:v>
      </x:c>
      <x:c r="C10" s="49" t="str">
        <x:v>Yavatmal</x:v>
      </x:c>
      <x:c r="D10" s="49" t="str">
        <x:v>2024-25</x:v>
      </x:c>
      <x:c r="E10" s="64" t="n">
        <x:v>59610</x:v>
      </x:c>
      <x:c r="F10" s="64" t="n">
        <x:v>7390</x:v>
      </x:c>
      <x:c r="G10" s="64" t="n">
        <x:v>67000</x:v>
      </x:c>
      <x:c r="H10" s="49" t="str">
        <x:v>Verified FRA annual tuition + development fee</x:v>
      </x:c>
      <x:c r="I10" s="49" t="str">
        <x:v>Normal annual approved fee; not category/seat-type payable amount</x:v>
      </x:c>
      <x:c r="J10" s="49" t="str">
        <x:v>https://fe2025.mahacet.org/StaticPages/frmInstituteSummary.aspx?InstituteCode=01117</x:v>
      </x:c>
    </x:row>
    <x:row r="11">
      <x:c r="A11" s="63" t="n">
        <x:v>1119</x:v>
      </x:c>
      <x:c r="B11" s="49" t="str">
        <x:v>ANURADHA COLLEGE OF ENGINEERING &amp; TECHNOLOGY</x:v>
      </x:c>
      <x:c r="C11" s="49" t="str">
        <x:v>Buldhana</x:v>
      </x:c>
      <x:c r="D11" s="49" t="str">
        <x:v>2024-25</x:v>
      </x:c>
      <x:c r="E11" s="64" t="n">
        <x:v>68304</x:v>
      </x:c>
      <x:c r="F11" s="64" t="n">
        <x:v>8196</x:v>
      </x:c>
      <x:c r="G11" s="64" t="n">
        <x:v>76500</x:v>
      </x:c>
      <x:c r="H11" s="49" t="str">
        <x:v>Verified FRA annual tuition + development fee</x:v>
      </x:c>
      <x:c r="I11" s="49" t="str">
        <x:v>Normal annual approved fee; not category/seat-type payable amount</x:v>
      </x:c>
      <x:c r="J11" s="49" t="str">
        <x:v>https://fe2025.mahacet.org/StaticPages/frmInstituteSummary.aspx?InstituteCode=01119</x:v>
      </x:c>
    </x:row>
    <x:row r="12">
      <x:c r="A12" s="63" t="n">
        <x:v>1120</x:v>
      </x:c>
      <x:c r="B12" s="49" t="str">
        <x:v>Jawaharlal Darda Institute of Engineering and Technology, Yavatmal</x:v>
      </x:c>
      <x:c r="C12" s="49" t="str">
        <x:v>Yavatmal</x:v>
      </x:c>
      <x:c r="D12" s="49" t="str">
        <x:v>2024-25</x:v>
      </x:c>
      <x:c r="E12" s="64" t="n">
        <x:v>72368</x:v>
      </x:c>
      <x:c r="F12" s="64" t="n">
        <x:v>10132</x:v>
      </x:c>
      <x:c r="G12" s="64" t="n">
        <x:v>82500</x:v>
      </x:c>
      <x:c r="H12" s="49" t="str">
        <x:v>Verified FRA annual tuition + development fee</x:v>
      </x:c>
      <x:c r="I12" s="49" t="str">
        <x:v>Normal annual approved fee; not category/seat-type payable amount</x:v>
      </x:c>
      <x:c r="J12" s="49" t="str">
        <x:v>https://fe2025.mahacet.org/StaticPages/frmInstituteSummary.aspx?InstituteCode=01120</x:v>
      </x:c>
    </x:row>
    <x:row r="13">
      <x:c r="A13" s="63" t="n">
        <x:v>1121</x:v>
      </x:c>
      <x:c r="B13" s="49" t="str">
        <x:v>Shri Hanuman Vyayam Prasarak Mandals College of Engineering &amp; Technology, Amravati</x:v>
      </x:c>
      <x:c r="C13" s="49" t="str">
        <x:v>Amravati</x:v>
      </x:c>
      <x:c r="D13" s="49" t="str">
        <x:v>2024-25</x:v>
      </x:c>
      <x:c r="E13" s="64" t="n">
        <x:v>74318</x:v>
      </x:c>
      <x:c r="F13" s="64" t="n">
        <x:v>10182</x:v>
      </x:c>
      <x:c r="G13" s="64" t="n">
        <x:v>84500</x:v>
      </x:c>
      <x:c r="H13" s="49" t="str">
        <x:v>Verified FRA annual tuition + development fee</x:v>
      </x:c>
      <x:c r="I13" s="49" t="str">
        <x:v>Normal annual approved fee; not category/seat-type payable amount</x:v>
      </x:c>
      <x:c r="J13" s="49" t="str">
        <x:v>https://fe2025.mahacet.org/StaticPages/frmInstituteSummary.aspx?InstituteCode=01121</x:v>
      </x:c>
    </x:row>
    <x:row r="14">
      <x:c r="A14" s="63" t="n">
        <x:v>1123</x:v>
      </x:c>
      <x:c r="B14" s="49" t="str">
        <x:v>Dr.Rajendra Gode Institute of Technology &amp; Research, Amravati</x:v>
      </x:c>
      <x:c r="C14" s="49" t="str">
        <x:v>Amravati</x:v>
      </x:c>
      <x:c r="D14" s="49" t="str">
        <x:v>2024-25</x:v>
      </x:c>
      <x:c r="E14" s="64" t="n">
        <x:v>84144</x:v>
      </x:c>
      <x:c r="F14" s="64" t="n">
        <x:v>10856</x:v>
      </x:c>
      <x:c r="G14" s="64" t="n">
        <x:v>95000</x:v>
      </x:c>
      <x:c r="H14" s="49" t="str">
        <x:v>Verified FRA annual tuition + development fee</x:v>
      </x:c>
      <x:c r="I14" s="49" t="str">
        <x:v>Normal annual approved fee; not category/seat-type payable amount</x:v>
      </x:c>
      <x:c r="J14" s="49" t="str">
        <x:v>https://fe2025.mahacet.org/StaticPages/frmInstituteSummary.aspx?InstituteCode=01123</x:v>
      </x:c>
    </x:row>
    <x:row r="15">
      <x:c r="A15" s="63" t="n">
        <x:v>1125</x:v>
      </x:c>
      <x:c r="B15" s="49" t="str">
        <x:v>Dwarka Bahu Uddeshiya Gramin Vikas Foundation, Rajarshi Shahu College of Engineering, Buldhana</x:v>
      </x:c>
      <x:c r="C15" s="49" t="str">
        <x:v>Buldhana</x:v>
      </x:c>
      <x:c r="D15" s="49" t="str">
        <x:v>2024-25</x:v>
      </x:c>
      <x:c r="E15" s="64" t="n">
        <x:v>40271</x:v>
      </x:c>
      <x:c r="F15" s="64" t="n">
        <x:v>4229</x:v>
      </x:c>
      <x:c r="G15" s="64" t="n">
        <x:v>44500</x:v>
      </x:c>
      <x:c r="H15" s="49" t="str">
        <x:v>Verified FRA annual tuition + development fee</x:v>
      </x:c>
      <x:c r="I15" s="49" t="str">
        <x:v>Normal annual approved fee; not category/seat-type payable amount</x:v>
      </x:c>
      <x:c r="J15" s="49" t="str">
        <x:v>https://fe2025.mahacet.org/StaticPages/frmInstituteSummary.aspx?InstituteCode=01125</x:v>
      </x:c>
    </x:row>
    <x:row r="16">
      <x:c r="A16" s="63" t="n">
        <x:v>1126</x:v>
      </x:c>
      <x:c r="B16" s="49" t="str">
        <x:v>Takshashila Institute of Engineering &amp; Technology, Darapur, Amravati</x:v>
      </x:c>
      <x:c r="C16" s="49" t="str">
        <x:v>Amravati</x:v>
      </x:c>
      <x:c r="D16" s="49" t="str">
        <x:v>2024-25</x:v>
      </x:c>
      <x:c r="E16" s="64" t="n">
        <x:v>66222</x:v>
      </x:c>
      <x:c r="F16" s="64" t="n">
        <x:v>8278</x:v>
      </x:c>
      <x:c r="G16" s="64" t="n">
        <x:v>74500</x:v>
      </x:c>
      <x:c r="H16" s="49" t="str">
        <x:v>Verified FRA annual tuition + development fee</x:v>
      </x:c>
      <x:c r="I16" s="49" t="str">
        <x:v>Normal annual approved fee; not category/seat-type payable amount</x:v>
      </x:c>
      <x:c r="J16" s="49" t="str">
        <x:v>https://fe2025.mahacet.org/StaticPages/frmInstituteSummary.aspx?InstituteCode=01126</x:v>
      </x:c>
    </x:row>
    <x:row r="17">
      <x:c r="A17" s="63" t="n">
        <x:v>1127</x:v>
      </x:c>
      <x:c r="B17" s="49" t="str">
        <x:v>Jagadambha Bahuuddeshiya Gramin Vikas Sanstha's Jagdambha College of Engineering and Technology, Yavatmal</x:v>
      </x:c>
      <x:c r="C17" s="49" t="str">
        <x:v>Yavatmal</x:v>
      </x:c>
      <x:c r="D17" s="49" t="str">
        <x:v>2024-25</x:v>
      </x:c>
      <x:c r="E17" s="64" t="n">
        <x:v>91304</x:v>
      </x:c>
      <x:c r="F17" s="64" t="n">
        <x:v>13696</x:v>
      </x:c>
      <x:c r="G17" s="64" t="n">
        <x:v>105000</x:v>
      </x:c>
      <x:c r="H17" s="49" t="str">
        <x:v>Verified FRA annual tuition + development fee</x:v>
      </x:c>
      <x:c r="I17" s="49" t="str">
        <x:v>Normal annual approved fee; not category/seat-type payable amount</x:v>
      </x:c>
      <x:c r="J17" s="49" t="str">
        <x:v>https://fe2025.mahacet.org/StaticPages/frmInstituteSummary.aspx?InstituteCode=01127</x:v>
      </x:c>
    </x:row>
    <x:row r="18">
      <x:c r="A18" s="63" t="n">
        <x:v>1128</x:v>
      </x:c>
      <x:c r="B18" s="49" t="str">
        <x:v>Prof Ram Meghe College of Engineering and Management, Badnera</x:v>
      </x:c>
      <x:c r="C18" s="49" t="str">
        <x:v>Amravati</x:v>
      </x:c>
      <x:c r="D18" s="49" t="str">
        <x:v>2024-25</x:v>
      </x:c>
      <x:c r="E18" s="64" t="n">
        <x:v>73913</x:v>
      </x:c>
      <x:c r="F18" s="64" t="n">
        <x:v>11087</x:v>
      </x:c>
      <x:c r="G18" s="64" t="n">
        <x:v>85000</x:v>
      </x:c>
      <x:c r="H18" s="49" t="str">
        <x:v>Verified FRA annual tuition + development fee</x:v>
      </x:c>
      <x:c r="I18" s="49" t="str">
        <x:v>Normal annual approved fee; not category/seat-type payable amount</x:v>
      </x:c>
      <x:c r="J18" s="49" t="str">
        <x:v>https://fe2025.mahacet.org/StaticPages/frmInstituteSummary.aspx?InstituteCode=01128</x:v>
      </x:c>
    </x:row>
    <x:row r="19">
      <x:c r="A19" s="63" t="n">
        <x:v>1130</x:v>
      </x:c>
      <x:c r="B19" s="49" t="str">
        <x:v>Vision Buldhana Educational &amp; Welfare Society's Pankaj Laddhad Institute of Technology &amp; Management Studies, Yelgaon</x:v>
      </x:c>
      <x:c r="C19" s="49" t="str">
        <x:v>Buldhana</x:v>
      </x:c>
      <x:c r="D19" s="49" t="str">
        <x:v>2024-25</x:v>
      </x:c>
      <x:c r="E19" s="64" t="n">
        <x:v>48000</x:v>
      </x:c>
      <x:c r="F19" s="64" t="n">
        <x:v>6000</x:v>
      </x:c>
      <x:c r="G19" s="64" t="n">
        <x:v>54000</x:v>
      </x:c>
      <x:c r="H19" s="49" t="str">
        <x:v>Verified FRA annual tuition + development fee</x:v>
      </x:c>
      <x:c r="I19" s="49" t="str">
        <x:v>Normal annual approved fee; not category/seat-type payable amount</x:v>
      </x:c>
      <x:c r="J19" s="49" t="str">
        <x:v>https://fe2025.mahacet.org/StaticPages/frmInstituteSummary.aspx?InstituteCode=01130</x:v>
      </x:c>
    </x:row>
    <x:row r="20">
      <x:c r="A20" s="63" t="n">
        <x:v>1180</x:v>
      </x:c>
      <x:c r="B20" s="49" t="str">
        <x:v>Sanmati Engineering College, Sawargaon Barde, Washim</x:v>
      </x:c>
      <x:c r="C20" s="49" t="str">
        <x:v>Washim</x:v>
      </x:c>
      <x:c r="D20" s="49" t="str">
        <x:v>2024-25</x:v>
      </x:c>
      <x:c r="E20" s="64" t="n">
        <x:v>83036</x:v>
      </x:c>
      <x:c r="F20" s="64" t="n">
        <x:v>9964</x:v>
      </x:c>
      <x:c r="G20" s="64" t="n">
        <x:v>93000</x:v>
      </x:c>
      <x:c r="H20" s="49" t="str">
        <x:v>Verified FRA annual tuition + development fee</x:v>
      </x:c>
      <x:c r="I20" s="49" t="str">
        <x:v>Normal annual approved fee; not category/seat-type payable amount</x:v>
      </x:c>
      <x:c r="J20" s="49" t="str">
        <x:v>https://fe2025.mahacet.org/StaticPages/frmInstituteSummary.aspx?InstituteCode=01180</x:v>
      </x:c>
    </x:row>
    <x:row r="21">
      <x:c r="A21" s="63" t="n">
        <x:v>1182</x:v>
      </x:c>
      <x:c r="B21" s="49" t="str">
        <x:v>Padmashri Dr. V.B. Kolte College of Engineering, Malkapur, Buldhana</x:v>
      </x:c>
      <x:c r="C21" s="49" t="str">
        <x:v>Buldhana</x:v>
      </x:c>
      <x:c r="D21" s="49" t="str">
        <x:v>2024-25</x:v>
      </x:c>
      <x:c r="E21" s="64" t="n">
        <x:v>57932</x:v>
      </x:c>
      <x:c r="F21" s="64" t="n">
        <x:v>7068</x:v>
      </x:c>
      <x:c r="G21" s="64" t="n">
        <x:v>65000</x:v>
      </x:c>
      <x:c r="H21" s="49" t="str">
        <x:v>Verified FRA annual tuition + development fee</x:v>
      </x:c>
      <x:c r="I21" s="49" t="str">
        <x:v>Normal annual approved fee; not category/seat-type payable amount</x:v>
      </x:c>
      <x:c r="J21" s="49" t="str">
        <x:v>https://fe2025.mahacet.org/StaticPages/frmInstituteSummary.aspx?InstituteCode=01182</x:v>
      </x:c>
    </x:row>
    <x:row r="22">
      <x:c r="A22" s="63" t="n">
        <x:v>1265</x:v>
      </x:c>
      <x:c r="B22" s="49" t="str">
        <x:v>Mauli Group of Institutions, College of Engineering and Technology, Shegaon.</x:v>
      </x:c>
      <x:c r="C22" s="49" t="str">
        <x:v>Buldhana</x:v>
      </x:c>
      <x:c r="D22" s="49" t="str">
        <x:v>2024-25</x:v>
      </x:c>
      <x:c r="E22" s="64" t="n">
        <x:v>63044</x:v>
      </x:c>
      <x:c r="F22" s="64" t="n">
        <x:v>9456</x:v>
      </x:c>
      <x:c r="G22" s="64" t="n">
        <x:v>72500</x:v>
      </x:c>
      <x:c r="H22" s="49" t="str">
        <x:v>Verified FRA annual tuition + development fee</x:v>
      </x:c>
      <x:c r="I22" s="49" t="str">
        <x:v>Normal annual approved fee; not category/seat-type payable amount</x:v>
      </x:c>
      <x:c r="J22" s="49" t="str">
        <x:v>https://fe2025.mahacet.org/StaticPages/frmInstituteSummary.aspx?InstituteCode=01265</x:v>
      </x:c>
    </x:row>
    <x:row r="23">
      <x:c r="A23" s="63" t="n">
        <x:v>1268</x:v>
      </x:c>
      <x:c r="B23" s="49" t="str">
        <x:v>Siddhivinayak Technical Campus, School of Engineering &amp; Research Technology, Shirasgon, Nile</x:v>
      </x:c>
      <x:c r="C23" s="49" t="str">
        <x:v>Buldhana</x:v>
      </x:c>
      <x:c r="D23" s="49"/>
      <x:c r="E23" s="64"/>
      <x:c r="F23" s="64"/>
      <x:c r="G23" s="64"/>
      <x:c r="H23" s="49" t="str">
        <x:v>No verified FRA match in extracted history</x:v>
      </x:c>
      <x:c r="I23" s="49" t="str">
        <x:v>Normal annual approved fee; not category/seat-type payable amount</x:v>
      </x:c>
      <x:c r="J23" s="49" t="str">
        <x:v>https://fe2025.mahacet.org/StaticPages/frmInstituteSummary.aspx?InstituteCode=01268</x:v>
      </x:c>
    </x:row>
    <x:row r="24">
      <x:c r="A24" s="63" t="n">
        <x:v>1276</x:v>
      </x:c>
      <x:c r="B24" s="49" t="str">
        <x:v>Manav School of Engineering &amp; Technology, Gut No. 1035 Nagpur Surat Highway, NH No. 6 Tal.Vyala, Balapur, Akola, 444302</x:v>
      </x:c>
      <x:c r="C24" s="49" t="str">
        <x:v>Akola</x:v>
      </x:c>
      <x:c r="D24" s="49" t="str">
        <x:v>2024-25</x:v>
      </x:c>
      <x:c r="E24" s="64" t="n">
        <x:v>52174</x:v>
      </x:c>
      <x:c r="F24" s="64" t="n">
        <x:v>7826</x:v>
      </x:c>
      <x:c r="G24" s="64" t="n">
        <x:v>60000</x:v>
      </x:c>
      <x:c r="H24" s="49" t="str">
        <x:v>Verified FRA annual tuition + development fee</x:v>
      </x:c>
      <x:c r="I24" s="49" t="str">
        <x:v>Normal annual approved fee; not category/seat-type payable amount</x:v>
      </x:c>
      <x:c r="J24" s="49" t="str">
        <x:v>https://fe2025.mahacet.org/StaticPages/frmInstituteSummary.aspx?InstituteCode=01276</x:v>
      </x:c>
    </x:row>
    <x:row r="25">
      <x:c r="A25" s="63" t="n">
        <x:v>2008</x:v>
      </x:c>
      <x:c r="B25" s="49" t="str">
        <x:v>Government College of Engineering, Chhatrapati Sambhajinagar</x:v>
      </x:c>
      <x:c r="C25" s="49" t="str">
        <x:v>Chhatrapati Sambhajinagar</x:v>
      </x:c>
      <x:c r="D25" s="49"/>
      <x:c r="E25" s="64"/>
      <x:c r="F25" s="64"/>
      <x:c r="G25" s="64"/>
      <x:c r="H25" s="49" t="str">
        <x:v>No verified FRA match in extracted history</x:v>
      </x:c>
      <x:c r="I25" s="49" t="str">
        <x:v>Normal annual approved fee; not category/seat-type payable amount</x:v>
      </x:c>
      <x:c r="J25" s="49" t="str">
        <x:v>https://fe2025.mahacet.org/StaticPages/frmInstituteSummary.aspx?InstituteCode=02008</x:v>
      </x:c>
    </x:row>
    <x:row r="26">
      <x:c r="A26" s="63" t="n">
        <x:v>2020</x:v>
      </x:c>
      <x:c r="B26" s="49" t="str">
        <x:v>Shri Guru Gobind Singhji Institute of Engineering and Technology, Nanded</x:v>
      </x:c>
      <x:c r="C26" s="49" t="str">
        <x:v>Nanded</x:v>
      </x:c>
      <x:c r="D26" s="49"/>
      <x:c r="E26" s="64"/>
      <x:c r="F26" s="64"/>
      <x:c r="G26" s="64"/>
      <x:c r="H26" s="49" t="str">
        <x:v>No verified FRA match in extracted history</x:v>
      </x:c>
      <x:c r="I26" s="49" t="str">
        <x:v>Normal annual approved fee; not category/seat-type payable amount</x:v>
      </x:c>
      <x:c r="J26" s="49" t="str">
        <x:v>https://fe2025.mahacet.org/StaticPages/frmInstituteSummary.aspx?InstituteCode=02020</x:v>
      </x:c>
    </x:row>
    <x:row r="27">
      <x:c r="A27" s="63" t="n">
        <x:v>2021</x:v>
      </x:c>
      <x:c r="B27" s="49" t="str">
        <x:v>University Department of Chemical Technology, Aurangabad</x:v>
      </x:c>
      <x:c r="C27" s="49" t="str">
        <x:v>Chhatrapati Sambhajinagar</x:v>
      </x:c>
      <x:c r="D27" s="49"/>
      <x:c r="E27" s="64"/>
      <x:c r="F27" s="64"/>
      <x:c r="G27" s="64"/>
      <x:c r="H27" s="49" t="str">
        <x:v>No verified FRA match in extracted history</x:v>
      </x:c>
      <x:c r="I27" s="49" t="str">
        <x:v>Normal annual approved fee; not category/seat-type payable amount</x:v>
      </x:c>
      <x:c r="J27" s="49" t="str">
        <x:v>https://fe2025.mahacet.org/StaticPages/frmInstituteSummary.aspx?InstituteCode=02021</x:v>
      </x:c>
    </x:row>
    <x:row r="28">
      <x:c r="A28" s="63" t="n">
        <x:v>2111</x:v>
      </x:c>
      <x:c r="B28" s="49" t="str">
        <x:v>Everest Education Society, Group of Institutions (Integrated Campus), Ohar</x:v>
      </x:c>
      <x:c r="C28" s="49" t="str">
        <x:v>Chhatrapati Sambhajinagar</x:v>
      </x:c>
      <x:c r="D28" s="49" t="str">
        <x:v>2024-25</x:v>
      </x:c>
      <x:c r="E28" s="64" t="n">
        <x:v>40625</x:v>
      </x:c>
      <x:c r="F28" s="64" t="n">
        <x:v>4875</x:v>
      </x:c>
      <x:c r="G28" s="64" t="n">
        <x:v>45500</x:v>
      </x:c>
      <x:c r="H28" s="49" t="str">
        <x:v>Verified FRA annual tuition + development fee</x:v>
      </x:c>
      <x:c r="I28" s="49" t="str">
        <x:v>Normal annual approved fee; not category/seat-type payable amount</x:v>
      </x:c>
      <x:c r="J28" s="49" t="str">
        <x:v>https://fe2025.mahacet.org/StaticPages/frmInstituteSummary.aspx?InstituteCode=02111</x:v>
      </x:c>
    </x:row>
    <x:row r="29">
      <x:c r="A29" s="63" t="n">
        <x:v>2112</x:v>
      </x:c>
      <x:c r="B29" s="49" t="str">
        <x:v>Shree Yash Pratishthan, Shreeyash College of Engineering and Technology, Aurangabad</x:v>
      </x:c>
      <x:c r="C29" s="49" t="str">
        <x:v>Chhatrapati Sambhajinagar</x:v>
      </x:c>
      <x:c r="D29" s="49" t="str">
        <x:v>2024-25</x:v>
      </x:c>
      <x:c r="E29" s="64" t="n">
        <x:v>71620</x:v>
      </x:c>
      <x:c r="F29" s="64" t="n">
        <x:v>8380</x:v>
      </x:c>
      <x:c r="G29" s="64" t="n">
        <x:v>80000</x:v>
      </x:c>
      <x:c r="H29" s="49" t="str">
        <x:v>Verified FRA annual tuition + development fee</x:v>
      </x:c>
      <x:c r="I29" s="49" t="str">
        <x:v>Normal annual approved fee; not category/seat-type payable amount</x:v>
      </x:c>
      <x:c r="J29" s="49" t="str">
        <x:v>https://fe2025.mahacet.org/StaticPages/frmInstituteSummary.aspx?InstituteCode=02112</x:v>
      </x:c>
    </x:row>
    <x:row r="30">
      <x:c r="A30" s="63" t="n">
        <x:v>2113</x:v>
      </x:c>
      <x:c r="B30" s="49" t="str">
        <x:v>G. S. Mandal's Maharashtra Institute of Technology, Aurangabad</x:v>
      </x:c>
      <x:c r="C30" s="49" t="str">
        <x:v>Chhatrapati Sambhajinagar</x:v>
      </x:c>
      <x:c r="D30" s="49" t="str">
        <x:v>2024-25</x:v>
      </x:c>
      <x:c r="E30" s="64" t="n">
        <x:v>103043</x:v>
      </x:c>
      <x:c r="F30" s="64" t="n">
        <x:v>15457</x:v>
      </x:c>
      <x:c r="G30" s="64" t="n">
        <x:v>118500</x:v>
      </x:c>
      <x:c r="H30" s="49" t="str">
        <x:v>Verified FRA annual tuition + development fee</x:v>
      </x:c>
      <x:c r="I30" s="49" t="str">
        <x:v>Normal annual approved fee; not category/seat-type payable amount</x:v>
      </x:c>
      <x:c r="J30" s="49" t="str">
        <x:v>https://fe2025.mahacet.org/StaticPages/frmInstituteSummary.aspx?InstituteCode=02113</x:v>
      </x:c>
    </x:row>
    <x:row r="31">
      <x:c r="A31" s="63" t="n">
        <x:v>2114</x:v>
      </x:c>
      <x:c r="B31" s="49" t="str">
        <x:v>Deogiri Institute of Engineering and Management Studies, Aurangabad</x:v>
      </x:c>
      <x:c r="C31" s="49" t="str">
        <x:v>Chhatrapati Sambhajinagar</x:v>
      </x:c>
      <x:c r="D31" s="49" t="str">
        <x:v>2024-25</x:v>
      </x:c>
      <x:c r="E31" s="64" t="n">
        <x:v>81224</x:v>
      </x:c>
      <x:c r="F31" s="64" t="n">
        <x:v>11776</x:v>
      </x:c>
      <x:c r="G31" s="64" t="n">
        <x:v>93000</x:v>
      </x:c>
      <x:c r="H31" s="49" t="str">
        <x:v>Verified FRA annual tuition + development fee</x:v>
      </x:c>
      <x:c r="I31" s="49" t="str">
        <x:v>Normal annual approved fee; not category/seat-type payable amount</x:v>
      </x:c>
      <x:c r="J31" s="49" t="str">
        <x:v>https://fe2025.mahacet.org/StaticPages/frmInstituteSummary.aspx?InstituteCode=02114</x:v>
      </x:c>
    </x:row>
    <x:row r="32">
      <x:c r="A32" s="63" t="n">
        <x:v>2116</x:v>
      </x:c>
      <x:c r="B32" s="49" t="str">
        <x:v>Matoshri Pratishan's Group of Institutions (Integrated Campus), Kupsarwadi , Nanded</x:v>
      </x:c>
      <x:c r="C32" s="49" t="str">
        <x:v>Nanded</x:v>
      </x:c>
      <x:c r="D32" s="49" t="str">
        <x:v>2024-25</x:v>
      </x:c>
      <x:c r="E32" s="64" t="n">
        <x:v>49774</x:v>
      </x:c>
      <x:c r="F32" s="64" t="n">
        <x:v>5226</x:v>
      </x:c>
      <x:c r="G32" s="64" t="n">
        <x:v>55000</x:v>
      </x:c>
      <x:c r="H32" s="49" t="str">
        <x:v>Verified FRA annual tuition + development fee</x:v>
      </x:c>
      <x:c r="I32" s="49" t="str">
        <x:v>Normal annual approved fee; not category/seat-type payable amount</x:v>
      </x:c>
      <x:c r="J32" s="49" t="str">
        <x:v>https://fe2025.mahacet.org/StaticPages/frmInstituteSummary.aspx?InstituteCode=02116</x:v>
      </x:c>
    </x:row>
    <x:row r="33">
      <x:c r="A33" s="63" t="n">
        <x:v>2127</x:v>
      </x:c>
      <x:c r="B33" s="49" t="str">
        <x:v>Mahatma Gandhi Missions College of Engineering, Hingoli Rd, Nanded.</x:v>
      </x:c>
      <x:c r="C33" s="49" t="str">
        <x:v>Nanded</x:v>
      </x:c>
      <x:c r="D33" s="49" t="str">
        <x:v>2024-25</x:v>
      </x:c>
      <x:c r="E33" s="64" t="n">
        <x:v>97346</x:v>
      </x:c>
      <x:c r="F33" s="64" t="n">
        <x:v>12654</x:v>
      </x:c>
      <x:c r="G33" s="64" t="n">
        <x:v>110000</x:v>
      </x:c>
      <x:c r="H33" s="49" t="str">
        <x:v>Verified FRA annual tuition + development fee</x:v>
      </x:c>
      <x:c r="I33" s="49" t="str">
        <x:v>Normal annual approved fee; not category/seat-type payable amount</x:v>
      </x:c>
      <x:c r="J33" s="49" t="str">
        <x:v>https://fe2025.mahacet.org/StaticPages/frmInstituteSummary.aspx?InstituteCode=02127</x:v>
      </x:c>
    </x:row>
    <x:row r="34">
      <x:c r="A34" s="63" t="n">
        <x:v>2129</x:v>
      </x:c>
      <x:c r="B34" s="49" t="str">
        <x:v>M.S. Bidve Engineering College, Latur</x:v>
      </x:c>
      <x:c r="C34" s="49" t="str">
        <x:v>Latur</x:v>
      </x:c>
      <x:c r="D34" s="49" t="str">
        <x:v>2024-25</x:v>
      </x:c>
      <x:c r="E34" s="64" t="n">
        <x:v>80444</x:v>
      </x:c>
      <x:c r="F34" s="64" t="n">
        <x:v>10056</x:v>
      </x:c>
      <x:c r="G34" s="64" t="n">
        <x:v>90500</x:v>
      </x:c>
      <x:c r="H34" s="49" t="str">
        <x:v>Verified FRA annual tuition + development fee</x:v>
      </x:c>
      <x:c r="I34" s="49" t="str">
        <x:v>Normal annual approved fee; not category/seat-type payable amount</x:v>
      </x:c>
      <x:c r="J34" s="49" t="str">
        <x:v>https://fe2025.mahacet.org/StaticPages/frmInstituteSummary.aspx?InstituteCode=02129</x:v>
      </x:c>
    </x:row>
    <x:row r="35">
      <x:c r="A35" s="63" t="n">
        <x:v>2130</x:v>
      </x:c>
      <x:c r="B35" s="49" t="str">
        <x:v>Terna Public Charitable Trust's College of Engineering, Osmanabad</x:v>
      </x:c>
      <x:c r="C35" s="49" t="str">
        <x:v>Dharashiv</x:v>
      </x:c>
      <x:c r="D35" s="49" t="str">
        <x:v>2024-25</x:v>
      </x:c>
      <x:c r="E35" s="64" t="n">
        <x:v>81301</x:v>
      </x:c>
      <x:c r="F35" s="64" t="n">
        <x:v>8699</x:v>
      </x:c>
      <x:c r="G35" s="64" t="n">
        <x:v>90000</x:v>
      </x:c>
      <x:c r="H35" s="49" t="str">
        <x:v>Verified FRA annual tuition + development fee</x:v>
      </x:c>
      <x:c r="I35" s="49" t="str">
        <x:v>Normal annual approved fee; not category/seat-type payable amount</x:v>
      </x:c>
      <x:c r="J35" s="49" t="str">
        <x:v>https://fe2025.mahacet.org/StaticPages/frmInstituteSummary.aspx?InstituteCode=02130</x:v>
      </x:c>
    </x:row>
    <x:row r="36">
      <x:c r="A36" s="63" t="n">
        <x:v>2131</x:v>
      </x:c>
      <x:c r="B36" s="49" t="str">
        <x:v>Shree Tuljabhavani College of Engineering, Tuljapur</x:v>
      </x:c>
      <x:c r="C36" s="49" t="str">
        <x:v>Dharashiv</x:v>
      </x:c>
      <x:c r="D36" s="49" t="str">
        <x:v>2024-25</x:v>
      </x:c>
      <x:c r="E36" s="64" t="n">
        <x:v>68162</x:v>
      </x:c>
      <x:c r="F36" s="64" t="n">
        <x:v>7838</x:v>
      </x:c>
      <x:c r="G36" s="64" t="n">
        <x:v>76000</x:v>
      </x:c>
      <x:c r="H36" s="49" t="str">
        <x:v>Verified FRA annual tuition + development fee</x:v>
      </x:c>
      <x:c r="I36" s="49" t="str">
        <x:v>Normal annual approved fee; not category/seat-type payable amount</x:v>
      </x:c>
      <x:c r="J36" s="49" t="str">
        <x:v>https://fe2025.mahacet.org/StaticPages/frmInstituteSummary.aspx?InstituteCode=02131</x:v>
      </x:c>
    </x:row>
    <x:row r="37">
      <x:c r="A37" s="63" t="n">
        <x:v>2133</x:v>
      </x:c>
      <x:c r="B37" s="49" t="str">
        <x:v>Mahatma Basaweshwar Education Society's College of Engineering, Ambejogai</x:v>
      </x:c>
      <x:c r="C37" s="49" t="str">
        <x:v>Beed</x:v>
      </x:c>
      <x:c r="D37" s="49" t="str">
        <x:v>2024-25</x:v>
      </x:c>
      <x:c r="E37" s="64" t="n">
        <x:v>50455</x:v>
      </x:c>
      <x:c r="F37" s="64" t="n">
        <x:v>5045</x:v>
      </x:c>
      <x:c r="G37" s="64" t="n">
        <x:v>55500</x:v>
      </x:c>
      <x:c r="H37" s="49" t="str">
        <x:v>Verified FRA annual tuition + development fee</x:v>
      </x:c>
      <x:c r="I37" s="49" t="str">
        <x:v>Normal annual approved fee; not category/seat-type payable amount</x:v>
      </x:c>
      <x:c r="J37" s="49" t="str">
        <x:v>https://fe2025.mahacet.org/StaticPages/frmInstituteSummary.aspx?InstituteCode=02133</x:v>
      </x:c>
    </x:row>
    <x:row r="38">
      <x:c r="A38" s="63" t="n">
        <x:v>2134</x:v>
      </x:c>
      <x:c r="B38" s="49" t="str">
        <x:v>Peoples Education Society's College of Engineering, Aurangabad</x:v>
      </x:c>
      <x:c r="C38" s="49" t="str">
        <x:v>Chhatrapati Sambhajinagar</x:v>
      </x:c>
      <x:c r="D38" s="49" t="str">
        <x:v>2024-25</x:v>
      </x:c>
      <x:c r="E38" s="64" t="n">
        <x:v>75421</x:v>
      </x:c>
      <x:c r="F38" s="64" t="n">
        <x:v>9579</x:v>
      </x:c>
      <x:c r="G38" s="64" t="n">
        <x:v>85000</x:v>
      </x:c>
      <x:c r="H38" s="49" t="str">
        <x:v>Verified FRA annual tuition + development fee</x:v>
      </x:c>
      <x:c r="I38" s="49" t="str">
        <x:v>Normal annual approved fee; not category/seat-type payable amount</x:v>
      </x:c>
      <x:c r="J38" s="49" t="str">
        <x:v>https://fe2025.mahacet.org/StaticPages/frmInstituteSummary.aspx?InstituteCode=02134</x:v>
      </x:c>
    </x:row>
    <x:row r="39">
      <x:c r="A39" s="63" t="n">
        <x:v>2135</x:v>
      </x:c>
      <x:c r="B39" s="49" t="str">
        <x:v>Hi-Tech Institute of Technology, Aurangabad</x:v>
      </x:c>
      <x:c r="C39" s="49" t="str">
        <x:v>Chhatrapati Sambhajinagar</x:v>
      </x:c>
      <x:c r="D39" s="49" t="str">
        <x:v>2024-25</x:v>
      </x:c>
      <x:c r="E39" s="64" t="n">
        <x:v>72267</x:v>
      </x:c>
      <x:c r="F39" s="64" t="n">
        <x:v>7733</x:v>
      </x:c>
      <x:c r="G39" s="64" t="n">
        <x:v>80000</x:v>
      </x:c>
      <x:c r="H39" s="49" t="str">
        <x:v>Verified FRA annual tuition + development fee</x:v>
      </x:c>
      <x:c r="I39" s="49" t="str">
        <x:v>Normal annual approved fee; not category/seat-type payable amount</x:v>
      </x:c>
      <x:c r="J39" s="49" t="str">
        <x:v>https://fe2025.mahacet.org/StaticPages/frmInstituteSummary.aspx?InstituteCode=02135</x:v>
      </x:c>
    </x:row>
    <x:row r="40">
      <x:c r="A40" s="63" t="n">
        <x:v>2136</x:v>
      </x:c>
      <x:c r="B40" s="49" t="str">
        <x:v>Aditya Engineering College , Beed</x:v>
      </x:c>
      <x:c r="C40" s="49" t="str">
        <x:v>Beed</x:v>
      </x:c>
      <x:c r="D40" s="49" t="str">
        <x:v>2024-25</x:v>
      </x:c>
      <x:c r="E40" s="64" t="n">
        <x:v>107463</x:v>
      </x:c>
      <x:c r="F40" s="64" t="n">
        <x:v>12037</x:v>
      </x:c>
      <x:c r="G40" s="64" t="n">
        <x:v>119500</x:v>
      </x:c>
      <x:c r="H40" s="49" t="str">
        <x:v>Verified FRA annual tuition + development fee</x:v>
      </x:c>
      <x:c r="I40" s="49" t="str">
        <x:v>Normal annual approved fee; not category/seat-type payable amount</x:v>
      </x:c>
      <x:c r="J40" s="49" t="str">
        <x:v>https://fe2025.mahacet.org/StaticPages/frmInstituteSummary.aspx?InstituteCode=02136</x:v>
      </x:c>
    </x:row>
    <x:row r="41">
      <x:c r="A41" s="63" t="n">
        <x:v>2137</x:v>
      </x:c>
      <x:c r="B41" s="49" t="str">
        <x:v>Nagnathappa Halge Engineering College, Parli, Beed</x:v>
      </x:c>
      <x:c r="C41" s="49" t="str">
        <x:v>Beed</x:v>
      </x:c>
      <x:c r="D41" s="49" t="str">
        <x:v>2024-25</x:v>
      </x:c>
      <x:c r="E41" s="64" t="n">
        <x:v>47187</x:v>
      </x:c>
      <x:c r="F41" s="64" t="n">
        <x:v>4813</x:v>
      </x:c>
      <x:c r="G41" s="64" t="n">
        <x:v>52000</x:v>
      </x:c>
      <x:c r="H41" s="49" t="str">
        <x:v>Verified FRA annual tuition + development fee</x:v>
      </x:c>
      <x:c r="I41" s="49" t="str">
        <x:v>Normal annual approved fee; not category/seat-type payable amount</x:v>
      </x:c>
      <x:c r="J41" s="49" t="str">
        <x:v>https://fe2025.mahacet.org/StaticPages/frmInstituteSummary.aspx?InstituteCode=02137</x:v>
      </x:c>
    </x:row>
    <x:row r="42">
      <x:c r="A42" s="63" t="n">
        <x:v>2138</x:v>
      </x:c>
      <x:c r="B42" s="49" t="str">
        <x:v>Matsyodari Shikshan Sansatha's College of Engineering and Technology, Jalna</x:v>
      </x:c>
      <x:c r="C42" s="49" t="str">
        <x:v>Jalna</x:v>
      </x:c>
      <x:c r="D42" s="49" t="str">
        <x:v>2024-25</x:v>
      </x:c>
      <x:c r="E42" s="64" t="n">
        <x:v>68000</x:v>
      </x:c>
      <x:c r="F42" s="64" t="n">
        <x:v>8500</x:v>
      </x:c>
      <x:c r="G42" s="64" t="n">
        <x:v>76500</x:v>
      </x:c>
      <x:c r="H42" s="49" t="str">
        <x:v>Verified FRA annual tuition + development fee</x:v>
      </x:c>
      <x:c r="I42" s="49" t="str">
        <x:v>Normal annual approved fee; not category/seat-type payable amount</x:v>
      </x:c>
      <x:c r="J42" s="49" t="str">
        <x:v>https://fe2025.mahacet.org/StaticPages/frmInstituteSummary.aspx?InstituteCode=02138</x:v>
      </x:c>
    </x:row>
    <x:row r="43">
      <x:c r="A43" s="63" t="n">
        <x:v>2146</x:v>
      </x:c>
      <x:c r="B43" s="49" t="str">
        <x:v>Adarsh Shikshan Prasarak Mandal's K. T. Patil College of Engineering and Technology, Osmanabad</x:v>
      </x:c>
      <x:c r="C43" s="49" t="str">
        <x:v>Dharashiv</x:v>
      </x:c>
      <x:c r="D43" s="49" t="str">
        <x:v>2024-25</x:v>
      </x:c>
      <x:c r="E43" s="64" t="n">
        <x:v>33968</x:v>
      </x:c>
      <x:c r="F43" s="64" t="n">
        <x:v>3532</x:v>
      </x:c>
      <x:c r="G43" s="64" t="n">
        <x:v>37500</x:v>
      </x:c>
      <x:c r="H43" s="49" t="str">
        <x:v>Verified FRA annual tuition + development fee</x:v>
      </x:c>
      <x:c r="I43" s="49" t="str">
        <x:v>Normal annual approved fee; not category/seat-type payable amount</x:v>
      </x:c>
      <x:c r="J43" s="49" t="str">
        <x:v>https://fe2025.mahacet.org/StaticPages/frmInstituteSummary.aspx?InstituteCode=02146</x:v>
      </x:c>
    </x:row>
    <x:row r="44">
      <x:c r="A44" s="63" t="n">
        <x:v>2250</x:v>
      </x:c>
      <x:c r="B44" s="49" t="str">
        <x:v>Aurangabad College of Engineering, Naygaon Savangi, Aurangabad</x:v>
      </x:c>
      <x:c r="C44" s="49" t="str">
        <x:v>Chhatrapati Sambhajinagar</x:v>
      </x:c>
      <x:c r="D44" s="49" t="str">
        <x:v>2024-25</x:v>
      </x:c>
      <x:c r="E44" s="64" t="n">
        <x:v>61539</x:v>
      </x:c>
      <x:c r="F44" s="64" t="n">
        <x:v>6461</x:v>
      </x:c>
      <x:c r="G44" s="64" t="n">
        <x:v>68000</x:v>
      </x:c>
      <x:c r="H44" s="49" t="str">
        <x:v>Verified FRA annual tuition + development fee</x:v>
      </x:c>
      <x:c r="I44" s="49" t="str">
        <x:v>Normal annual approved fee; not category/seat-type payable amount</x:v>
      </x:c>
      <x:c r="J44" s="49" t="str">
        <x:v>https://fe2025.mahacet.org/StaticPages/frmInstituteSummary.aspx?InstituteCode=02250</x:v>
      </x:c>
    </x:row>
    <x:row r="45">
      <x:c r="A45" s="63" t="n">
        <x:v>2252</x:v>
      </x:c>
      <x:c r="B45" s="49" t="str">
        <x:v>Marathwada Shikshan Prasarak Mandal's Shri Shivaji Institute of Engineering and Management Studies, Parbhani</x:v>
      </x:c>
      <x:c r="C45" s="49" t="str">
        <x:v>Parbhani</x:v>
      </x:c>
      <x:c r="D45" s="49" t="str">
        <x:v>2024-25</x:v>
      </x:c>
      <x:c r="E45" s="64" t="n">
        <x:v>35455</x:v>
      </x:c>
      <x:c r="F45" s="64" t="n">
        <x:v>3545</x:v>
      </x:c>
      <x:c r="G45" s="64" t="n">
        <x:v>39000</x:v>
      </x:c>
      <x:c r="H45" s="49" t="str">
        <x:v>Verified FRA annual tuition + development fee</x:v>
      </x:c>
      <x:c r="I45" s="49" t="str">
        <x:v>Normal annual approved fee; not category/seat-type payable amount</x:v>
      </x:c>
      <x:c r="J45" s="49" t="str">
        <x:v>https://fe2025.mahacet.org/StaticPages/frmInstituteSummary.aspx?InstituteCode=02252</x:v>
      </x:c>
    </x:row>
    <x:row r="46">
      <x:c r="A46" s="63" t="n">
        <x:v>2254</x:v>
      </x:c>
      <x:c r="B46" s="49" t="str">
        <x:v>Vilasrao Deshmukh Foundation Group of Institutions, Latur</x:v>
      </x:c>
      <x:c r="C46" s="49" t="str">
        <x:v>Latur</x:v>
      </x:c>
      <x:c r="D46" s="49" t="str">
        <x:v>2024-25</x:v>
      </x:c>
      <x:c r="E46" s="64" t="n">
        <x:v>48241</x:v>
      </x:c>
      <x:c r="F46" s="64" t="n">
        <x:v>5259</x:v>
      </x:c>
      <x:c r="G46" s="64" t="n">
        <x:v>53500</x:v>
      </x:c>
      <x:c r="H46" s="49" t="str">
        <x:v>Verified FRA annual tuition + development fee</x:v>
      </x:c>
      <x:c r="I46" s="49" t="str">
        <x:v>Normal annual approved fee; not category/seat-type payable amount</x:v>
      </x:c>
      <x:c r="J46" s="49" t="str">
        <x:v>https://fe2025.mahacet.org/StaticPages/frmInstituteSummary.aspx?InstituteCode=02254</x:v>
      </x:c>
    </x:row>
    <x:row r="47">
      <x:c r="A47" s="63" t="n">
        <x:v>2282</x:v>
      </x:c>
      <x:c r="B47" s="49" t="str">
        <x:v>Mitthulalji Sarada Institute Of Technology, Nalwandi Road, Beed</x:v>
      </x:c>
      <x:c r="C47" s="49" t="str">
        <x:v>Beed</x:v>
      </x:c>
      <x:c r="D47" s="49"/>
      <x:c r="E47" s="64"/>
      <x:c r="F47" s="64"/>
      <x:c r="G47" s="64"/>
      <x:c r="H47" s="49" t="str">
        <x:v>No verified FRA match in extracted history</x:v>
      </x:c>
      <x:c r="I47" s="49" t="str">
        <x:v>Normal annual approved fee; not category/seat-type payable amount</x:v>
      </x:c>
      <x:c r="J47" s="49" t="str">
        <x:v>https://fe2025.mahacet.org/StaticPages/frmInstituteSummary.aspx?InstituteCode=02282</x:v>
      </x:c>
    </x:row>
    <x:row r="48">
      <x:c r="A48" s="63" t="n">
        <x:v>2508</x:v>
      </x:c>
      <x:c r="B48" s="49" t="str">
        <x:v>GRAMIN TECHNICAL AND MANAGEMENT CAMPUS NANDED.</x:v>
      </x:c>
      <x:c r="C48" s="49" t="str">
        <x:v>Nanded</x:v>
      </x:c>
      <x:c r="D48" s="49"/>
      <x:c r="E48" s="64"/>
      <x:c r="F48" s="64"/>
      <x:c r="G48" s="64"/>
      <x:c r="H48" s="49" t="str">
        <x:v>No verified FRA match in extracted history</x:v>
      </x:c>
      <x:c r="I48" s="49" t="str">
        <x:v>Normal annual approved fee; not category/seat-type payable amount</x:v>
      </x:c>
      <x:c r="J48" s="49" t="str">
        <x:v>https://fe2025.mahacet.org/StaticPages/frmInstituteSummary.aspx?InstituteCode=02508</x:v>
      </x:c>
    </x:row>
    <x:row r="49">
      <x:c r="A49" s="63" t="n">
        <x:v>2516</x:v>
      </x:c>
      <x:c r="B49" s="49" t="str">
        <x:v>International Centre Of Excellence In Engineering and Management (ICEEM)</x:v>
      </x:c>
      <x:c r="C49" s="49" t="str">
        <x:v>Chhatrapati Sambhajinagar</x:v>
      </x:c>
      <x:c r="D49" s="49" t="str">
        <x:v>2024-25</x:v>
      </x:c>
      <x:c r="E49" s="64" t="n">
        <x:v>46429</x:v>
      </x:c>
      <x:c r="F49" s="64" t="n">
        <x:v>5571</x:v>
      </x:c>
      <x:c r="G49" s="64" t="n">
        <x:v>52000</x:v>
      </x:c>
      <x:c r="H49" s="49" t="str">
        <x:v>Verified FRA annual tuition + development fee</x:v>
      </x:c>
      <x:c r="I49" s="49" t="str">
        <x:v>Normal annual approved fee; not category/seat-type payable amount</x:v>
      </x:c>
      <x:c r="J49" s="49" t="str">
        <x:v>https://fe2025.mahacet.org/StaticPages/frmInstituteSummary.aspx?InstituteCode=02516</x:v>
      </x:c>
    </x:row>
    <x:row r="50">
      <x:c r="A50" s="63" t="n">
        <x:v>2522</x:v>
      </x:c>
      <x:c r="B50" s="49" t="str">
        <x:v>STMEI's Sandipani Technical Campus-Faculty of Engineering, Latur.</x:v>
      </x:c>
      <x:c r="C50" s="49" t="str">
        <x:v>Latur</x:v>
      </x:c>
      <x:c r="D50" s="49" t="str">
        <x:v>2024-25</x:v>
      </x:c>
      <x:c r="E50" s="64" t="n">
        <x:v>79372</x:v>
      </x:c>
      <x:c r="F50" s="64" t="n">
        <x:v>9128</x:v>
      </x:c>
      <x:c r="G50" s="64" t="n">
        <x:v>88500</x:v>
      </x:c>
      <x:c r="H50" s="49" t="str">
        <x:v>Verified FRA annual tuition + development fee</x:v>
      </x:c>
      <x:c r="I50" s="49" t="str">
        <x:v>Normal annual approved fee; not category/seat-type payable amount</x:v>
      </x:c>
      <x:c r="J50" s="49" t="str">
        <x:v>https://fe2025.mahacet.org/StaticPages/frmInstituteSummary.aspx?InstituteCode=02522</x:v>
      </x:c>
    </x:row>
    <x:row r="51">
      <x:c r="A51" s="63" t="n">
        <x:v>2533</x:v>
      </x:c>
      <x:c r="B51" s="49" t="str">
        <x:v>CSMSS Chh. Shahu College of Engineering, Aurangabad</x:v>
      </x:c>
      <x:c r="C51" s="49" t="str">
        <x:v>Chhatrapati Sambhajinagar</x:v>
      </x:c>
      <x:c r="D51" s="49" t="str">
        <x:v>2024-25</x:v>
      </x:c>
      <x:c r="E51" s="64" t="n">
        <x:v>81448</x:v>
      </x:c>
      <x:c r="F51" s="64" t="n">
        <x:v>8552</x:v>
      </x:c>
      <x:c r="G51" s="64" t="n">
        <x:v>90000</x:v>
      </x:c>
      <x:c r="H51" s="49" t="str">
        <x:v>Verified FRA annual tuition + development fee</x:v>
      </x:c>
      <x:c r="I51" s="49" t="str">
        <x:v>Normal annual approved fee; not category/seat-type payable amount</x:v>
      </x:c>
      <x:c r="J51" s="49" t="str">
        <x:v>https://fe2025.mahacet.org/StaticPages/frmInstituteSummary.aspx?InstituteCode=02533</x:v>
      </x:c>
    </x:row>
    <x:row r="52">
      <x:c r="A52" s="63" t="n">
        <x:v>2637</x:v>
      </x:c>
      <x:c r="B52" s="49" t="str">
        <x:v>Jijau Institute of Engineering Technology and Management, Khandgaon (Bendri), Taluka Naigaon, District Nanded</x:v>
      </x:c>
      <x:c r="C52" s="49" t="str">
        <x:v>Nanded</x:v>
      </x:c>
      <x:c r="D52" s="49"/>
      <x:c r="E52" s="64"/>
      <x:c r="F52" s="64"/>
      <x:c r="G52" s="64"/>
      <x:c r="H52" s="49" t="str">
        <x:v>No verified FRA match in extracted history</x:v>
      </x:c>
      <x:c r="I52" s="49" t="str">
        <x:v>Normal annual approved fee; not category/seat-type payable amount</x:v>
      </x:c>
      <x:c r="J52" s="49" t="str">
        <x:v>https://fe2025.mahacet.org/StaticPages/frmInstituteSummary.aspx?InstituteCode=02637</x:v>
      </x:c>
    </x:row>
    <x:row r="53">
      <x:c r="A53" s="63" t="n">
        <x:v>2641</x:v>
      </x:c>
      <x:c r="B53" s="49" t="str">
        <x:v>Dr. V.K. Patil College of Engineering &amp; Technology</x:v>
      </x:c>
      <x:c r="C53" s="49" t="str">
        <x:v>Dharashiv</x:v>
      </x:c>
      <x:c r="D53" s="49"/>
      <x:c r="E53" s="64"/>
      <x:c r="F53" s="64"/>
      <x:c r="G53" s="64"/>
      <x:c r="H53" s="49" t="str">
        <x:v>No verified FRA match in extracted history</x:v>
      </x:c>
      <x:c r="I53" s="49" t="str">
        <x:v>Normal annual approved fee; not category/seat-type payable amount</x:v>
      </x:c>
      <x:c r="J53" s="49" t="str">
        <x:v>https://fe2025.mahacet.org/StaticPages/frmInstituteSummary.aspx?InstituteCode=02641</x:v>
      </x:c>
    </x:row>
    <x:row r="54">
      <x:c r="A54" s="63" t="n">
        <x:v>2666</x:v>
      </x:c>
      <x:c r="B54" s="49" t="str">
        <x:v>Mangaldeep College of Engineering</x:v>
      </x:c>
      <x:c r="C54" s="49" t="str">
        <x:v>Chhatrapati Sambhajinagar</x:v>
      </x:c>
      <x:c r="D54" s="49"/>
      <x:c r="E54" s="64"/>
      <x:c r="F54" s="64"/>
      <x:c r="G54" s="64"/>
      <x:c r="H54" s="49" t="str">
        <x:v>No verified FRA match in extracted history</x:v>
      </x:c>
      <x:c r="I54" s="49" t="str">
        <x:v>Normal annual approved fee; not category/seat-type payable amount</x:v>
      </x:c>
      <x:c r="J54" s="49" t="str">
        <x:v>https://fe2025.mahacet.org/StaticPages/frmInstituteSummary.aspx?InstituteCode=02666</x:v>
      </x:c>
    </x:row>
    <x:row r="55">
      <x:c r="A55" s="63" t="n">
        <x:v>2758</x:v>
      </x:c>
      <x:c r="B55" s="49" t="str">
        <x:v>Sant Eknath College of Engineering</x:v>
      </x:c>
      <x:c r="C55" s="49" t="str">
        <x:v>Chhatrapati Sambhajinagar</x:v>
      </x:c>
      <x:c r="D55" s="49"/>
      <x:c r="E55" s="64"/>
      <x:c r="F55" s="64"/>
      <x:c r="G55" s="64"/>
      <x:c r="H55" s="49" t="str">
        <x:v>No verified FRA match in extracted history</x:v>
      </x:c>
      <x:c r="I55" s="49" t="str">
        <x:v>Normal annual approved fee; not category/seat-type payable amount</x:v>
      </x:c>
      <x:c r="J55" s="49" t="str">
        <x:v>https://fe2025.mahacet.org/StaticPages/frmInstituteSummary.aspx?InstituteCode=02758</x:v>
      </x:c>
    </x:row>
    <x:row r="56">
      <x:c r="A56" s="63" t="n">
        <x:v>3012</x:v>
      </x:c>
      <x:c r="B56" s="49" t="str">
        <x:v>Veermata Jijabai Technological Institute(VJTI), Matunga, Mumbai</x:v>
      </x:c>
      <x:c r="C56" s="49" t="str">
        <x:v>Mumbai City</x:v>
      </x:c>
      <x:c r="D56" s="49"/>
      <x:c r="E56" s="64"/>
      <x:c r="F56" s="64"/>
      <x:c r="G56" s="64"/>
      <x:c r="H56" s="49" t="str">
        <x:v>No verified FRA match in extracted history</x:v>
      </x:c>
      <x:c r="I56" s="49" t="str">
        <x:v>Normal annual approved fee; not category/seat-type payable amount</x:v>
      </x:c>
      <x:c r="J56" s="49" t="str">
        <x:v>https://fe2025.mahacet.org/StaticPages/frmInstituteSummary.aspx?InstituteCode=03012</x:v>
      </x:c>
    </x:row>
    <x:row r="57">
      <x:c r="A57" s="63" t="n">
        <x:v>3014</x:v>
      </x:c>
      <x:c r="B57" s="49" t="str">
        <x:v>Sardar Patel College of Engineering, Andheri</x:v>
      </x:c>
      <x:c r="C57" s="49" t="str">
        <x:v>Mumbai Suburban</x:v>
      </x:c>
      <x:c r="D57" s="49"/>
      <x:c r="E57" s="64"/>
      <x:c r="F57" s="64"/>
      <x:c r="G57" s="64"/>
      <x:c r="H57" s="49" t="str">
        <x:v>No verified FRA match in extracted history</x:v>
      </x:c>
      <x:c r="I57" s="49" t="str">
        <x:v>Normal annual approved fee; not category/seat-type payable amount</x:v>
      </x:c>
      <x:c r="J57" s="49" t="str">
        <x:v>https://fe2025.mahacet.org/StaticPages/frmInstituteSummary.aspx?InstituteCode=03014</x:v>
      </x:c>
    </x:row>
    <x:row r="58">
      <x:c r="A58" s="63" t="n">
        <x:v>3025</x:v>
      </x:c>
      <x:c r="B58" s="49" t="str">
        <x:v>Svkm's Shri Bhagubhai Mafatlal Polytechnic &amp; College of Engineering</x:v>
      </x:c>
      <x:c r="C58" s="49" t="str">
        <x:v>Mumbai City</x:v>
      </x:c>
      <x:c r="D58" s="49"/>
      <x:c r="E58" s="64"/>
      <x:c r="F58" s="64"/>
      <x:c r="G58" s="64"/>
      <x:c r="H58" s="49" t="str">
        <x:v>No verified FRA match in extracted history</x:v>
      </x:c>
      <x:c r="I58" s="49" t="str">
        <x:v>Normal annual approved fee; not category/seat-type payable amount</x:v>
      </x:c>
      <x:c r="J58" s="49" t="str">
        <x:v>https://fe2025.mahacet.org/StaticPages/frmInstituteSummary.aspx?InstituteCode=03025</x:v>
      </x:c>
    </x:row>
    <x:row r="59">
      <x:c r="A59" s="63" t="n">
        <x:v>3033</x:v>
      </x:c>
      <x:c r="B59" s="49" t="str">
        <x:v>Dr. Babasaheb Ambedkar Technological University, Lonere</x:v>
      </x:c>
      <x:c r="C59" s="49" t="str">
        <x:v>Raigad</x:v>
      </x:c>
      <x:c r="D59" s="49"/>
      <x:c r="E59" s="64"/>
      <x:c r="F59" s="64"/>
      <x:c r="G59" s="64"/>
      <x:c r="H59" s="49" t="str">
        <x:v>No verified FRA match in extracted history</x:v>
      </x:c>
      <x:c r="I59" s="49" t="str">
        <x:v>Normal annual approved fee; not category/seat-type payable amount</x:v>
      </x:c>
      <x:c r="J59" s="49" t="str">
        <x:v>https://fe2025.mahacet.org/StaticPages/frmInstituteSummary.aspx?InstituteCode=03033</x:v>
      </x:c>
    </x:row>
    <x:row r="60">
      <x:c r="A60" s="63" t="n">
        <x:v>3042</x:v>
      </x:c>
      <x:c r="B60" s="49" t="str">
        <x:v>Loknete Shamrao Peje Government College of Engineering, Ratnagiri</x:v>
      </x:c>
      <x:c r="C60" s="49" t="str">
        <x:v>Ratnagiri</x:v>
      </x:c>
      <x:c r="D60" s="49"/>
      <x:c r="E60" s="64"/>
      <x:c r="F60" s="64"/>
      <x:c r="G60" s="64"/>
      <x:c r="H60" s="49" t="str">
        <x:v>No verified FRA match in extracted history</x:v>
      </x:c>
      <x:c r="I60" s="49" t="str">
        <x:v>Normal annual approved fee; not category/seat-type payable amount</x:v>
      </x:c>
      <x:c r="J60" s="49" t="str">
        <x:v>https://fe2025.mahacet.org/StaticPages/frmInstituteSummary.aspx?InstituteCode=03042</x:v>
      </x:c>
    </x:row>
    <x:row r="61">
      <x:c r="A61" s="63" t="n">
        <x:v>3135</x:v>
      </x:c>
      <x:c r="B61" s="49" t="str">
        <x:v>Manjara Charitable Trust's Rajiv Gandhi Institute of Technology, Mumbai</x:v>
      </x:c>
      <x:c r="C61" s="49" t="str">
        <x:v>Mumbai Suburban</x:v>
      </x:c>
      <x:c r="D61" s="49" t="str">
        <x:v>2024-25</x:v>
      </x:c>
      <x:c r="E61" s="64" t="n">
        <x:v>106060</x:v>
      </x:c>
      <x:c r="F61" s="64" t="n">
        <x:v>12940</x:v>
      </x:c>
      <x:c r="G61" s="64" t="n">
        <x:v>119000</x:v>
      </x:c>
      <x:c r="H61" s="49" t="str">
        <x:v>Verified FRA annual tuition + development fee</x:v>
      </x:c>
      <x:c r="I61" s="49" t="str">
        <x:v>Normal annual approved fee; not category/seat-type payable amount</x:v>
      </x:c>
      <x:c r="J61" s="49" t="str">
        <x:v>https://fe2025.mahacet.org/StaticPages/frmInstituteSummary.aspx?InstituteCode=03135</x:v>
      </x:c>
    </x:row>
    <x:row r="62">
      <x:c r="A62" s="63" t="n">
        <x:v>3139</x:v>
      </x:c>
      <x:c r="B62" s="49" t="str">
        <x:v>Vidyalankar Institute of Technology,Wadala, Mumbai</x:v>
      </x:c>
      <x:c r="C62" s="49" t="str">
        <x:v>Mumbai City</x:v>
      </x:c>
      <x:c r="D62" s="49" t="str">
        <x:v>2024-25</x:v>
      </x:c>
      <x:c r="E62" s="64" t="n">
        <x:v>132609</x:v>
      </x:c>
      <x:c r="F62" s="64" t="n">
        <x:v>19891</x:v>
      </x:c>
      <x:c r="G62" s="64" t="n">
        <x:v>152500</x:v>
      </x:c>
      <x:c r="H62" s="49" t="str">
        <x:v>Verified FRA annual tuition + development fee</x:v>
      </x:c>
      <x:c r="I62" s="49" t="str">
        <x:v>Normal annual approved fee; not category/seat-type payable amount</x:v>
      </x:c>
      <x:c r="J62" s="49" t="str">
        <x:v>https://fe2025.mahacet.org/StaticPages/frmInstituteSummary.aspx?InstituteCode=03139</x:v>
      </x:c>
    </x:row>
    <x:row r="63">
      <x:c r="A63" s="63" t="n">
        <x:v>3143</x:v>
      </x:c>
      <x:c r="B63" s="49" t="str">
        <x:v>Thakur Shyamnarayan Engineering College, Mumbai</x:v>
      </x:c>
      <x:c r="C63" s="49" t="str">
        <x:v>Mumbai Suburban</x:v>
      </x:c>
      <x:c r="D63" s="49"/>
      <x:c r="E63" s="64"/>
      <x:c r="F63" s="64"/>
      <x:c r="G63" s="64"/>
      <x:c r="H63" s="49" t="str">
        <x:v>No verified FRA match in extracted history</x:v>
      </x:c>
      <x:c r="I63" s="49" t="str">
        <x:v>Normal annual approved fee; not category/seat-type payable amount</x:v>
      </x:c>
      <x:c r="J63" s="49" t="str">
        <x:v>https://fe2025.mahacet.org/StaticPages/frmInstituteSummary.aspx?InstituteCode=03143</x:v>
      </x:c>
    </x:row>
    <x:row r="64">
      <x:c r="A64" s="63" t="n">
        <x:v>3146</x:v>
      </x:c>
      <x:c r="B64" s="49" t="str">
        <x:v>Jawahar Education Society's Annasaheb Chudaman Patil College of Engineering,Kharghar, Navi Mumbai</x:v>
      </x:c>
      <x:c r="C64" s="49" t="str">
        <x:v>Raigad</x:v>
      </x:c>
      <x:c r="D64" s="49" t="str">
        <x:v>2024-25</x:v>
      </x:c>
      <x:c r="E64" s="64" t="n">
        <x:v>101423</x:v>
      </x:c>
      <x:c r="F64" s="64" t="n">
        <x:v>12577</x:v>
      </x:c>
      <x:c r="G64" s="64" t="n">
        <x:v>114000</x:v>
      </x:c>
      <x:c r="H64" s="49" t="str">
        <x:v>Verified FRA annual tuition + development fee</x:v>
      </x:c>
      <x:c r="I64" s="49" t="str">
        <x:v>Normal annual approved fee; not category/seat-type payable amount</x:v>
      </x:c>
      <x:c r="J64" s="49" t="str">
        <x:v>https://fe2025.mahacet.org/StaticPages/frmInstituteSummary.aspx?InstituteCode=03146</x:v>
      </x:c>
    </x:row>
    <x:row r="65">
      <x:c r="A65" s="63" t="n">
        <x:v>3147</x:v>
      </x:c>
      <x:c r="B65" s="49" t="str">
        <x:v>Saraswati Education Society, Yadavrao Tasgaonkar Institute of Engineering &amp; Technology, Karjat</x:v>
      </x:c>
      <x:c r="C65" s="49" t="str">
        <x:v>Raigad</x:v>
      </x:c>
      <x:c r="D65" s="49" t="str">
        <x:v>2024-25</x:v>
      </x:c>
      <x:c r="E65" s="64" t="n">
        <x:v>47273</x:v>
      </x:c>
      <x:c r="F65" s="64" t="n">
        <x:v>4727</x:v>
      </x:c>
      <x:c r="G65" s="64" t="n">
        <x:v>52000</x:v>
      </x:c>
      <x:c r="H65" s="49" t="str">
        <x:v>Verified FRA annual tuition + development fee</x:v>
      </x:c>
      <x:c r="I65" s="49" t="str">
        <x:v>Normal annual approved fee; not category/seat-type payable amount</x:v>
      </x:c>
      <x:c r="J65" s="49" t="str">
        <x:v>https://fe2025.mahacet.org/StaticPages/frmInstituteSummary.aspx?InstituteCode=03147</x:v>
      </x:c>
    </x:row>
    <x:row r="66">
      <x:c r="A66" s="63" t="n">
        <x:v>3148</x:v>
      </x:c>
      <x:c r="B66" s="49" t="str">
        <x:v>Mahavir Education Trust's Shah &amp; Anchor Kutchhi Engineering College, Mumbai</x:v>
      </x:c>
      <x:c r="C66" s="49" t="str">
        <x:v>Mumbai Suburban</x:v>
      </x:c>
      <x:c r="D66" s="49" t="str">
        <x:v>2024-25</x:v>
      </x:c>
      <x:c r="E66" s="64" t="n">
        <x:v>132314</x:v>
      </x:c>
      <x:c r="F66" s="64" t="n">
        <x:v>19186</x:v>
      </x:c>
      <x:c r="G66" s="64" t="n">
        <x:v>151500</x:v>
      </x:c>
      <x:c r="H66" s="49" t="str">
        <x:v>Verified FRA annual tuition + development fee</x:v>
      </x:c>
      <x:c r="I66" s="49" t="str">
        <x:v>Normal annual approved fee; not category/seat-type payable amount</x:v>
      </x:c>
      <x:c r="J66" s="49" t="str">
        <x:v>https://fe2025.mahacet.org/StaticPages/frmInstituteSummary.aspx?InstituteCode=03148</x:v>
      </x:c>
    </x:row>
    <x:row r="67">
      <x:c r="A67" s="63" t="n">
        <x:v>3154</x:v>
      </x:c>
      <x:c r="B67" s="49" t="str">
        <x:v>Saraswati Education Society's Saraswati College of Engineering,Kharghar Navi Mumbai</x:v>
      </x:c>
      <x:c r="C67" s="49" t="str">
        <x:v>Raigad</x:v>
      </x:c>
      <x:c r="D67" s="49" t="str">
        <x:v>2024-25</x:v>
      </x:c>
      <x:c r="E67" s="64" t="n">
        <x:v>85005</x:v>
      </x:c>
      <x:c r="F67" s="64" t="n">
        <x:v>12495</x:v>
      </x:c>
      <x:c r="G67" s="64" t="n">
        <x:v>97500</x:v>
      </x:c>
      <x:c r="H67" s="49" t="str">
        <x:v>Verified FRA annual tuition + development fee</x:v>
      </x:c>
      <x:c r="I67" s="49" t="str">
        <x:v>Normal annual approved fee; not category/seat-type payable amount</x:v>
      </x:c>
      <x:c r="J67" s="49" t="str">
        <x:v>https://fe2025.mahacet.org/StaticPages/frmInstituteSummary.aspx?InstituteCode=03154</x:v>
      </x:c>
    </x:row>
    <x:row r="68">
      <x:c r="A68" s="63" t="n">
        <x:v>3175</x:v>
      </x:c>
      <x:c r="B68" s="49" t="str">
        <x:v>M.G.M.'s College of Engineering and Technology, Kamothe, Navi Mumbai</x:v>
      </x:c>
      <x:c r="C68" s="49" t="str">
        <x:v>Raigad</x:v>
      </x:c>
      <x:c r="D68" s="49" t="str">
        <x:v>2024-25</x:v>
      </x:c>
      <x:c r="E68" s="64" t="n">
        <x:v>82597</x:v>
      </x:c>
      <x:c r="F68" s="64" t="n">
        <x:v>10903</x:v>
      </x:c>
      <x:c r="G68" s="64" t="n">
        <x:v>93500</x:v>
      </x:c>
      <x:c r="H68" s="49" t="str">
        <x:v>Verified FRA annual tuition + development fee</x:v>
      </x:c>
      <x:c r="I68" s="49" t="str">
        <x:v>Normal annual approved fee; not category/seat-type payable amount</x:v>
      </x:c>
      <x:c r="J68" s="49" t="str">
        <x:v>https://fe2025.mahacet.org/StaticPages/frmInstituteSummary.aspx?InstituteCode=03175</x:v>
      </x:c>
    </x:row>
    <x:row r="69">
      <x:c r="A69" s="63" t="n">
        <x:v>3176</x:v>
      </x:c>
      <x:c r="B69" s="49" t="str">
        <x:v>Thakur College of Engineering and Technology, Kandivali, Mumbai</x:v>
      </x:c>
      <x:c r="C69" s="49" t="str">
        <x:v>Mumbai Suburban</x:v>
      </x:c>
      <x:c r="D69" s="49" t="str">
        <x:v>2024-25</x:v>
      </x:c>
      <x:c r="E69" s="64" t="n">
        <x:v>134348</x:v>
      </x:c>
      <x:c r="F69" s="64" t="n">
        <x:v>20152</x:v>
      </x:c>
      <x:c r="G69" s="64" t="n">
        <x:v>154500</x:v>
      </x:c>
      <x:c r="H69" s="49" t="str">
        <x:v>Verified FRA annual tuition + development fee</x:v>
      </x:c>
      <x:c r="I69" s="49" t="str">
        <x:v>Normal annual approved fee; not category/seat-type payable amount</x:v>
      </x:c>
      <x:c r="J69" s="49" t="str">
        <x:v>https://fe2025.mahacet.org/StaticPages/frmInstituteSummary.aspx?InstituteCode=03176</x:v>
      </x:c>
    </x:row>
    <x:row r="70">
      <x:c r="A70" s="63" t="n">
        <x:v>3182</x:v>
      </x:c>
      <x:c r="B70" s="49" t="str">
        <x:v>Thadomal Shahani Engineering College, Bandra, Mumbai</x:v>
      </x:c>
      <x:c r="C70" s="49" t="str">
        <x:v>Mumbai Suburban</x:v>
      </x:c>
      <x:c r="D70" s="49" t="str">
        <x:v>2024-25</x:v>
      </x:c>
      <x:c r="E70" s="64" t="n">
        <x:v>174782</x:v>
      </x:c>
      <x:c r="F70" s="64" t="n">
        <x:v>26218</x:v>
      </x:c>
      <x:c r="G70" s="64" t="n">
        <x:v>201000</x:v>
      </x:c>
      <x:c r="H70" s="49" t="str">
        <x:v>Verified FRA annual tuition + development fee</x:v>
      </x:c>
      <x:c r="I70" s="49" t="str">
        <x:v>Normal annual approved fee; not category/seat-type payable amount</x:v>
      </x:c>
      <x:c r="J70" s="49" t="str">
        <x:v>https://fe2025.mahacet.org/StaticPages/frmInstituteSummary.aspx?InstituteCode=03182</x:v>
      </x:c>
    </x:row>
    <x:row r="71">
      <x:c r="A71" s="63" t="n">
        <x:v>3183</x:v>
      </x:c>
      <x:c r="B71" s="49" t="str">
        <x:v>Anjuman-I-Islam's M.H. Saboo Siddik College of Engineering, Byculla, Mumbai</x:v>
      </x:c>
      <x:c r="C71" s="49" t="str">
        <x:v>Mumbai City</x:v>
      </x:c>
      <x:c r="D71" s="49" t="str">
        <x:v>2024-25</x:v>
      </x:c>
      <x:c r="E71" s="64" t="n">
        <x:v>125564</x:v>
      </x:c>
      <x:c r="F71" s="64" t="n">
        <x:v>13436</x:v>
      </x:c>
      <x:c r="G71" s="64" t="n">
        <x:v>139000</x:v>
      </x:c>
      <x:c r="H71" s="49" t="str">
        <x:v>Verified FRA annual tuition + development fee</x:v>
      </x:c>
      <x:c r="I71" s="49" t="str">
        <x:v>Normal annual approved fee; not category/seat-type payable amount</x:v>
      </x:c>
      <x:c r="J71" s="49" t="str">
        <x:v>https://fe2025.mahacet.org/StaticPages/frmInstituteSummary.aspx?InstituteCode=03183</x:v>
      </x:c>
    </x:row>
    <x:row r="72">
      <x:c r="A72" s="63" t="n">
        <x:v>3184</x:v>
      </x:c>
      <x:c r="B72" s="49" t="str">
        <x:v>Fr. Conceicao Rodrigues College of Engineering, Bandra,Mumbai</x:v>
      </x:c>
      <x:c r="C72" s="49" t="str">
        <x:v>Mumbai Suburban</x:v>
      </x:c>
      <x:c r="D72" s="49" t="str">
        <x:v>2024-25</x:v>
      </x:c>
      <x:c r="E72" s="64" t="n">
        <x:v>158077</x:v>
      </x:c>
      <x:c r="F72" s="64" t="n">
        <x:v>22923</x:v>
      </x:c>
      <x:c r="G72" s="64" t="n">
        <x:v>181000</x:v>
      </x:c>
      <x:c r="H72" s="49" t="str">
        <x:v>Verified FRA annual tuition + development fee</x:v>
      </x:c>
      <x:c r="I72" s="49" t="str">
        <x:v>Normal annual approved fee; not category/seat-type payable amount</x:v>
      </x:c>
      <x:c r="J72" s="49" t="str">
        <x:v>https://fe2025.mahacet.org/StaticPages/frmInstituteSummary.aspx?InstituteCode=03184</x:v>
      </x:c>
    </x:row>
    <x:row r="73">
      <x:c r="A73" s="63" t="n">
        <x:v>3185</x:v>
      </x:c>
      <x:c r="B73" s="49" t="str">
        <x:v>Vivekanand Education Society's Institute of Technology, Chembur, Mumbai</x:v>
      </x:c>
      <x:c r="C73" s="49" t="str">
        <x:v>Mumbai Suburban</x:v>
      </x:c>
      <x:c r="D73" s="49" t="str">
        <x:v>2024-25</x:v>
      </x:c>
      <x:c r="E73" s="64" t="n">
        <x:v>123684</x:v>
      </x:c>
      <x:c r="F73" s="64" t="n">
        <x:v>17316</x:v>
      </x:c>
      <x:c r="G73" s="64" t="n">
        <x:v>141000</x:v>
      </x:c>
      <x:c r="H73" s="49" t="str">
        <x:v>Verified FRA annual tuition + development fee</x:v>
      </x:c>
      <x:c r="I73" s="49" t="str">
        <x:v>Normal annual approved fee; not category/seat-type payable amount</x:v>
      </x:c>
      <x:c r="J73" s="49" t="str">
        <x:v>https://fe2025.mahacet.org/StaticPages/frmInstituteSummary.aspx?InstituteCode=03185</x:v>
      </x:c>
    </x:row>
    <x:row r="74">
      <x:c r="A74" s="63" t="n">
        <x:v>3187</x:v>
      </x:c>
      <x:c r="B74" s="49" t="str">
        <x:v>N.Y.S.S.'s Datta Meghe College of Engineering, Airoli, Navi Mumbai</x:v>
      </x:c>
      <x:c r="C74" s="49" t="str">
        <x:v>Thane</x:v>
      </x:c>
      <x:c r="D74" s="49" t="str">
        <x:v>2024-25</x:v>
      </x:c>
      <x:c r="E74" s="64" t="n">
        <x:v>78601</x:v>
      </x:c>
      <x:c r="F74" s="64" t="n">
        <x:v>11399</x:v>
      </x:c>
      <x:c r="G74" s="64" t="n">
        <x:v>90000</x:v>
      </x:c>
      <x:c r="H74" s="49" t="str">
        <x:v>Verified FRA annual tuition + development fee</x:v>
      </x:c>
      <x:c r="I74" s="49" t="str">
        <x:v>Normal annual approved fee; not category/seat-type payable amount</x:v>
      </x:c>
      <x:c r="J74" s="49" t="str">
        <x:v>https://fe2025.mahacet.org/StaticPages/frmInstituteSummary.aspx?InstituteCode=03187</x:v>
      </x:c>
    </x:row>
    <x:row r="75">
      <x:c r="A75" s="63" t="n">
        <x:v>3188</x:v>
      </x:c>
      <x:c r="B75" s="49" t="str">
        <x:v>Vasantdada Patil Pratishthan's College Of Engineering and Visual Arts, Sion, Mumbai</x:v>
      </x:c>
      <x:c r="C75" s="49" t="str">
        <x:v>Mumbai City</x:v>
      </x:c>
      <x:c r="D75" s="49" t="str">
        <x:v>2024-25</x:v>
      </x:c>
      <x:c r="E75" s="64" t="n">
        <x:v>116166</x:v>
      </x:c>
      <x:c r="F75" s="64" t="n">
        <x:v>15334</x:v>
      </x:c>
      <x:c r="G75" s="64" t="n">
        <x:v>131500</x:v>
      </x:c>
      <x:c r="H75" s="49" t="str">
        <x:v>Verified FRA annual tuition + development fee</x:v>
      </x:c>
      <x:c r="I75" s="49" t="str">
        <x:v>Normal annual approved fee; not category/seat-type payable amount</x:v>
      </x:c>
      <x:c r="J75" s="49" t="str">
        <x:v>https://fe2025.mahacet.org/StaticPages/frmInstituteSummary.aspx?InstituteCode=03188</x:v>
      </x:c>
    </x:row>
    <x:row r="76">
      <x:c r="A76" s="63" t="n">
        <x:v>3189</x:v>
      </x:c>
      <x:c r="B76" s="49" t="str">
        <x:v>Bharati Vidyapeeth College of Engineering, Navi Mumbai</x:v>
      </x:c>
      <x:c r="C76" s="49" t="str">
        <x:v>Thane</x:v>
      </x:c>
      <x:c r="D76" s="49" t="str">
        <x:v>2024-25</x:v>
      </x:c>
      <x:c r="E76" s="64" t="n">
        <x:v>97391</x:v>
      </x:c>
      <x:c r="F76" s="64" t="n">
        <x:v>14609</x:v>
      </x:c>
      <x:c r="G76" s="64" t="n">
        <x:v>112000</x:v>
      </x:c>
      <x:c r="H76" s="49" t="str">
        <x:v>Verified FRA annual tuition + development fee</x:v>
      </x:c>
      <x:c r="I76" s="49" t="str">
        <x:v>Normal annual approved fee; not category/seat-type payable amount</x:v>
      </x:c>
      <x:c r="J76" s="49" t="str">
        <x:v>https://fe2025.mahacet.org/StaticPages/frmInstituteSummary.aspx?InstituteCode=03189</x:v>
      </x:c>
    </x:row>
    <x:row r="77">
      <x:c r="A77" s="63" t="n">
        <x:v>3190</x:v>
      </x:c>
      <x:c r="B77" s="49" t="str">
        <x:v>Terna Engineering College, Nerul, Navi Mumbai</x:v>
      </x:c>
      <x:c r="C77" s="49" t="str">
        <x:v>Thane</x:v>
      </x:c>
      <x:c r="D77" s="49" t="str">
        <x:v>2024-25</x:v>
      </x:c>
      <x:c r="E77" s="64" t="n">
        <x:v>128829</x:v>
      </x:c>
      <x:c r="F77" s="64" t="n">
        <x:v>14171</x:v>
      </x:c>
      <x:c r="G77" s="64" t="n">
        <x:v>143000</x:v>
      </x:c>
      <x:c r="H77" s="49" t="str">
        <x:v>Verified FRA annual tuition + development fee</x:v>
      </x:c>
      <x:c r="I77" s="49" t="str">
        <x:v>Normal annual approved fee; not category/seat-type payable amount</x:v>
      </x:c>
      <x:c r="J77" s="49" t="str">
        <x:v>https://fe2025.mahacet.org/StaticPages/frmInstituteSummary.aspx?InstituteCode=03190</x:v>
      </x:c>
    </x:row>
    <x:row r="78">
      <x:c r="A78" s="63" t="n">
        <x:v>3192</x:v>
      </x:c>
      <x:c r="B78" s="49" t="str">
        <x:v>Smt. Indira Gandhi College of Engineering, Navi Mumbai</x:v>
      </x:c>
      <x:c r="C78" s="49" t="str">
        <x:v>Thane</x:v>
      </x:c>
      <x:c r="D78" s="49" t="str">
        <x:v>2024-25</x:v>
      </x:c>
      <x:c r="E78" s="64" t="n">
        <x:v>86919</x:v>
      </x:c>
      <x:c r="F78" s="64" t="n">
        <x:v>12081</x:v>
      </x:c>
      <x:c r="G78" s="64" t="n">
        <x:v>99000</x:v>
      </x:c>
      <x:c r="H78" s="49" t="str">
        <x:v>Verified FRA annual tuition + development fee</x:v>
      </x:c>
      <x:c r="I78" s="49" t="str">
        <x:v>Normal annual approved fee; not category/seat-type payable amount</x:v>
      </x:c>
      <x:c r="J78" s="49" t="str">
        <x:v>https://fe2025.mahacet.org/StaticPages/frmInstituteSummary.aspx?InstituteCode=03192</x:v>
      </x:c>
    </x:row>
    <x:row r="79">
      <x:c r="A79" s="63" t="n">
        <x:v>3193</x:v>
      </x:c>
      <x:c r="B79" s="49" t="str">
        <x:v>Shivajirao S. Jondhale College of Engineering, Dombivali,Mumbai</x:v>
      </x:c>
      <x:c r="C79" s="49" t="str">
        <x:v>Thane</x:v>
      </x:c>
      <x:c r="D79" s="49" t="str">
        <x:v>2024-25</x:v>
      </x:c>
      <x:c r="E79" s="64" t="n">
        <x:v>90747</x:v>
      </x:c>
      <x:c r="F79" s="64" t="n">
        <x:v>11253</x:v>
      </x:c>
      <x:c r="G79" s="64" t="n">
        <x:v>102000</x:v>
      </x:c>
      <x:c r="H79" s="49" t="str">
        <x:v>Verified FRA annual tuition + development fee</x:v>
      </x:c>
      <x:c r="I79" s="49" t="str">
        <x:v>Normal annual approved fee; not category/seat-type payable amount</x:v>
      </x:c>
      <x:c r="J79" s="49" t="str">
        <x:v>https://fe2025.mahacet.org/StaticPages/frmInstituteSummary.aspx?InstituteCode=03193</x:v>
      </x:c>
    </x:row>
    <x:row r="80">
      <x:c r="A80" s="63" t="n">
        <x:v>3194</x:v>
      </x:c>
      <x:c r="B80" s="49" t="str">
        <x:v>Vidyavardhini's College of Engineering and Technology, Vasai</x:v>
      </x:c>
      <x:c r="C80" s="49" t="str">
        <x:v>Palghar</x:v>
      </x:c>
      <x:c r="D80" s="49" t="str">
        <x:v>2024-25</x:v>
      </x:c>
      <x:c r="E80" s="64" t="n">
        <x:v>108619</x:v>
      </x:c>
      <x:c r="F80" s="64" t="n">
        <x:v>14881</x:v>
      </x:c>
      <x:c r="G80" s="64" t="n">
        <x:v>123500</x:v>
      </x:c>
      <x:c r="H80" s="49" t="str">
        <x:v>Verified FRA annual tuition + development fee</x:v>
      </x:c>
      <x:c r="I80" s="49" t="str">
        <x:v>Normal annual approved fee; not category/seat-type payable amount</x:v>
      </x:c>
      <x:c r="J80" s="49" t="str">
        <x:v>https://fe2025.mahacet.org/StaticPages/frmInstituteSummary.aspx?InstituteCode=03194</x:v>
      </x:c>
    </x:row>
    <x:row r="81">
      <x:c r="A81" s="63" t="n">
        <x:v>3196</x:v>
      </x:c>
      <x:c r="B81" s="49" t="str">
        <x:v>Lokmanya Tilak College of Engineering, Kopar Khairane, Navi Mumbai</x:v>
      </x:c>
      <x:c r="C81" s="49" t="str">
        <x:v>Thane</x:v>
      </x:c>
      <x:c r="D81" s="49" t="str">
        <x:v>2024-25</x:v>
      </x:c>
      <x:c r="E81" s="64" t="n">
        <x:v>122270</x:v>
      </x:c>
      <x:c r="F81" s="64" t="n">
        <x:v>17730</x:v>
      </x:c>
      <x:c r="G81" s="64" t="n">
        <x:v>140000</x:v>
      </x:c>
      <x:c r="H81" s="49" t="str">
        <x:v>Verified FRA annual tuition + development fee</x:v>
      </x:c>
      <x:c r="I81" s="49" t="str">
        <x:v>Normal annual approved fee; not category/seat-type payable amount</x:v>
      </x:c>
      <x:c r="J81" s="49" t="str">
        <x:v>https://fe2025.mahacet.org/StaticPages/frmInstituteSummary.aspx?InstituteCode=03196</x:v>
      </x:c>
    </x:row>
    <x:row r="82">
      <x:c r="A82" s="63" t="n">
        <x:v>3197</x:v>
      </x:c>
      <x:c r="B82" s="49" t="str">
        <x:v>Agnel Charities' FR. C. Rodrigues Institute of Technology, Vashi, Navi Mumbai</x:v>
      </x:c>
      <x:c r="C82" s="49" t="str">
        <x:v>Thane</x:v>
      </x:c>
      <x:c r="D82" s="49" t="str">
        <x:v>2024-25</x:v>
      </x:c>
      <x:c r="E82" s="64" t="n">
        <x:v>133913</x:v>
      </x:c>
      <x:c r="F82" s="64" t="n">
        <x:v>20087</x:v>
      </x:c>
      <x:c r="G82" s="64" t="n">
        <x:v>154000</x:v>
      </x:c>
      <x:c r="H82" s="49" t="str">
        <x:v>Verified FRA annual tuition + development fee</x:v>
      </x:c>
      <x:c r="I82" s="49" t="str">
        <x:v>Normal annual approved fee; not category/seat-type payable amount</x:v>
      </x:c>
      <x:c r="J82" s="49" t="str">
        <x:v>https://fe2025.mahacet.org/StaticPages/frmInstituteSummary.aspx?InstituteCode=03197</x:v>
      </x:c>
    </x:row>
    <x:row r="83">
      <x:c r="A83" s="63" t="n">
        <x:v>3198</x:v>
      </x:c>
      <x:c r="B83" s="49" t="str">
        <x:v>Konkan Gyanpeeth College of Engineering, Karjat</x:v>
      </x:c>
      <x:c r="C83" s="49" t="str">
        <x:v>Raigad</x:v>
      </x:c>
      <x:c r="D83" s="49" t="str">
        <x:v>2024-25</x:v>
      </x:c>
      <x:c r="E83" s="64" t="n">
        <x:v>84821</x:v>
      </x:c>
      <x:c r="F83" s="64" t="n">
        <x:v>10179</x:v>
      </x:c>
      <x:c r="G83" s="64" t="n">
        <x:v>95000</x:v>
      </x:c>
      <x:c r="H83" s="49" t="str">
        <x:v>Verified FRA annual tuition + development fee</x:v>
      </x:c>
      <x:c r="I83" s="49" t="str">
        <x:v>Normal annual approved fee; not category/seat-type payable amount</x:v>
      </x:c>
      <x:c r="J83" s="49" t="str">
        <x:v>https://fe2025.mahacet.org/StaticPages/frmInstituteSummary.aspx?InstituteCode=03198</x:v>
      </x:c>
    </x:row>
    <x:row r="84">
      <x:c r="A84" s="63" t="n">
        <x:v>3199</x:v>
      </x:c>
      <x:c r="B84" s="49" t="str">
        <x:v>Shri Vile Parle Kelvani Mandal's Dwarkadas J. Sanghvi College of Engineering, Vile Parle,Mumbai</x:v>
      </x:c>
      <x:c r="C84" s="49" t="str">
        <x:v>Mumbai Suburban</x:v>
      </x:c>
      <x:c r="D84" s="49" t="str">
        <x:v>2024-25</x:v>
      </x:c>
      <x:c r="E84" s="64" t="n">
        <x:v>191304</x:v>
      </x:c>
      <x:c r="F84" s="64" t="n">
        <x:v>28696</x:v>
      </x:c>
      <x:c r="G84" s="64" t="n">
        <x:v>220000</x:v>
      </x:c>
      <x:c r="H84" s="49" t="str">
        <x:v>Verified FRA annual tuition + development fee</x:v>
      </x:c>
      <x:c r="I84" s="49" t="str">
        <x:v>Normal annual approved fee; not category/seat-type payable amount</x:v>
      </x:c>
      <x:c r="J84" s="49" t="str">
        <x:v>https://fe2025.mahacet.org/StaticPages/frmInstituteSummary.aspx?InstituteCode=03199</x:v>
      </x:c>
    </x:row>
    <x:row r="85">
      <x:c r="A85" s="63" t="n">
        <x:v>3200</x:v>
      </x:c>
      <x:c r="B85" s="49" t="str">
        <x:v>Hope Foundation and research center's Finolex Academy of Management and Technology, Ratnagiri</x:v>
      </x:c>
      <x:c r="C85" s="49" t="str">
        <x:v>Ratnagiri</x:v>
      </x:c>
      <x:c r="D85" s="49" t="str">
        <x:v>2024-25</x:v>
      </x:c>
      <x:c r="E85" s="64" t="n">
        <x:v>91872</x:v>
      </x:c>
      <x:c r="F85" s="64" t="n">
        <x:v>12128</x:v>
      </x:c>
      <x:c r="G85" s="64" t="n">
        <x:v>104000</x:v>
      </x:c>
      <x:c r="H85" s="49" t="str">
        <x:v>Verified FRA annual tuition + development fee</x:v>
      </x:c>
      <x:c r="I85" s="49" t="str">
        <x:v>Normal annual approved fee; not category/seat-type payable amount</x:v>
      </x:c>
      <x:c r="J85" s="49" t="str">
        <x:v>https://fe2025.mahacet.org/StaticPages/frmInstituteSummary.aspx?InstituteCode=03200</x:v>
      </x:c>
    </x:row>
    <x:row r="86">
      <x:c r="A86" s="63" t="n">
        <x:v>3201</x:v>
      </x:c>
      <x:c r="B86" s="49" t="str">
        <x:v>Rizvi Education Society's Rizvi College of Engineering, Bandra,Mumbai</x:v>
      </x:c>
      <x:c r="C86" s="49" t="str">
        <x:v>Mumbai Suburban</x:v>
      </x:c>
      <x:c r="D86" s="49" t="str">
        <x:v>2024-25</x:v>
      </x:c>
      <x:c r="E86" s="64" t="n">
        <x:v>99378</x:v>
      </x:c>
      <x:c r="F86" s="64" t="n">
        <x:v>12622</x:v>
      </x:c>
      <x:c r="G86" s="64" t="n">
        <x:v>112000</x:v>
      </x:c>
      <x:c r="H86" s="49" t="str">
        <x:v>Verified FRA annual tuition + development fee</x:v>
      </x:c>
      <x:c r="I86" s="49" t="str">
        <x:v>Normal annual approved fee; not category/seat-type payable amount</x:v>
      </x:c>
      <x:c r="J86" s="49" t="str">
        <x:v>https://fe2025.mahacet.org/StaticPages/frmInstituteSummary.aspx?InstituteCode=03201</x:v>
      </x:c>
    </x:row>
    <x:row r="87">
      <x:c r="A87" s="63" t="n">
        <x:v>3202</x:v>
      </x:c>
      <x:c r="B87" s="49" t="str">
        <x:v>Rajendra Mane College of Engineering &amp; Technology Ambav Deorukh</x:v>
      </x:c>
      <x:c r="C87" s="49" t="str">
        <x:v>Ratnagiri</x:v>
      </x:c>
      <x:c r="D87" s="49" t="str">
        <x:v>2024-25</x:v>
      </x:c>
      <x:c r="E87" s="64" t="n">
        <x:v>61943</x:v>
      </x:c>
      <x:c r="F87" s="64" t="n">
        <x:v>7557</x:v>
      </x:c>
      <x:c r="G87" s="64" t="n">
        <x:v>69500</x:v>
      </x:c>
      <x:c r="H87" s="49" t="str">
        <x:v>Verified FRA annual tuition + development fee</x:v>
      </x:c>
      <x:c r="I87" s="49" t="str">
        <x:v>Normal annual approved fee; not category/seat-type payable amount</x:v>
      </x:c>
      <x:c r="J87" s="49" t="str">
        <x:v>https://fe2025.mahacet.org/StaticPages/frmInstituteSummary.aspx?InstituteCode=03202</x:v>
      </x:c>
    </x:row>
    <x:row r="88">
      <x:c r="A88" s="63" t="n">
        <x:v>3203</x:v>
      </x:c>
      <x:c r="B88" s="49" t="str">
        <x:v>Atharva College of Engineering,Malad(West),Mumbai</x:v>
      </x:c>
      <x:c r="C88" s="49" t="str">
        <x:v>Mumbai Suburban</x:v>
      </x:c>
      <x:c r="D88" s="49" t="str">
        <x:v>2024-25</x:v>
      </x:c>
      <x:c r="E88" s="64" t="n">
        <x:v>79565</x:v>
      </x:c>
      <x:c r="F88" s="64" t="n">
        <x:v>11935</x:v>
      </x:c>
      <x:c r="G88" s="64" t="n">
        <x:v>91500</x:v>
      </x:c>
      <x:c r="H88" s="49" t="str">
        <x:v>Verified FRA annual tuition + development fee</x:v>
      </x:c>
      <x:c r="I88" s="49" t="str">
        <x:v>Normal annual approved fee; not category/seat-type payable amount</x:v>
      </x:c>
      <x:c r="J88" s="49" t="str">
        <x:v>https://fe2025.mahacet.org/StaticPages/frmInstituteSummary.aspx?InstituteCode=03203</x:v>
      </x:c>
    </x:row>
    <x:row r="89">
      <x:c r="A89" s="63" t="n">
        <x:v>3204</x:v>
      </x:c>
      <x:c r="B89" s="49" t="str">
        <x:v>St. Francis Institute of Technology,Borivali, Mumbai</x:v>
      </x:c>
      <x:c r="C89" s="49" t="str">
        <x:v>Mumbai Suburban</x:v>
      </x:c>
      <x:c r="D89" s="49" t="str">
        <x:v>2024-25</x:v>
      </x:c>
      <x:c r="E89" s="64" t="n">
        <x:v>120870</x:v>
      </x:c>
      <x:c r="F89" s="64" t="n">
        <x:v>18130</x:v>
      </x:c>
      <x:c r="G89" s="64" t="n">
        <x:v>139000</x:v>
      </x:c>
      <x:c r="H89" s="49" t="str">
        <x:v>Verified FRA annual tuition + development fee</x:v>
      </x:c>
      <x:c r="I89" s="49" t="str">
        <x:v>Normal annual approved fee; not category/seat-type payable amount</x:v>
      </x:c>
      <x:c r="J89" s="49" t="str">
        <x:v>https://fe2025.mahacet.org/StaticPages/frmInstituteSummary.aspx?InstituteCode=03204</x:v>
      </x:c>
    </x:row>
    <x:row r="90">
      <x:c r="A90" s="63" t="n">
        <x:v>3206</x:v>
      </x:c>
      <x:c r="B90" s="49" t="str">
        <x:v>S.S.P.M.'s College of Engineering, Kankavli</x:v>
      </x:c>
      <x:c r="C90" s="49" t="str">
        <x:v>Sindhudurg</x:v>
      </x:c>
      <x:c r="D90" s="49" t="str">
        <x:v>2024-25</x:v>
      </x:c>
      <x:c r="E90" s="64" t="n">
        <x:v>63612</x:v>
      </x:c>
      <x:c r="F90" s="64" t="n">
        <x:v>7888</x:v>
      </x:c>
      <x:c r="G90" s="64" t="n">
        <x:v>71500</x:v>
      </x:c>
      <x:c r="H90" s="49" t="str">
        <x:v>Verified FRA annual tuition + development fee</x:v>
      </x:c>
      <x:c r="I90" s="49" t="str">
        <x:v>Normal annual approved fee; not category/seat-type payable amount</x:v>
      </x:c>
      <x:c r="J90" s="49" t="str">
        <x:v>https://fe2025.mahacet.org/StaticPages/frmInstituteSummary.aspx?InstituteCode=03206</x:v>
      </x:c>
    </x:row>
    <x:row r="91">
      <x:c r="A91" s="63" t="n">
        <x:v>3207</x:v>
      </x:c>
      <x:c r="B91" s="49" t="str">
        <x:v>Mahatma Education Society's Pillai College of Engineering, New Panvel</x:v>
      </x:c>
      <x:c r="C91" s="49" t="str">
        <x:v>Raigad</x:v>
      </x:c>
      <x:c r="D91" s="49" t="str">
        <x:v>2024-25</x:v>
      </x:c>
      <x:c r="E91" s="64" t="n">
        <x:v>115652</x:v>
      </x:c>
      <x:c r="F91" s="64" t="n">
        <x:v>17348</x:v>
      </x:c>
      <x:c r="G91" s="64" t="n">
        <x:v>133000</x:v>
      </x:c>
      <x:c r="H91" s="49" t="str">
        <x:v>Verified FRA annual tuition + development fee</x:v>
      </x:c>
      <x:c r="I91" s="49" t="str">
        <x:v>Normal annual approved fee; not category/seat-type payable amount</x:v>
      </x:c>
      <x:c r="J91" s="49" t="str">
        <x:v>https://fe2025.mahacet.org/StaticPages/frmInstituteSummary.aspx?InstituteCode=03207</x:v>
      </x:c>
    </x:row>
    <x:row r="92">
      <x:c r="A92" s="63" t="n">
        <x:v>3208</x:v>
      </x:c>
      <x:c r="B92" s="49" t="str">
        <x:v>Don Bosco Institute of Technology, Mumbai</x:v>
      </x:c>
      <x:c r="C92" s="49" t="str">
        <x:v>Mumbai Suburban</x:v>
      </x:c>
      <x:c r="D92" s="49" t="str">
        <x:v>2024-25</x:v>
      </x:c>
      <x:c r="E92" s="64" t="n">
        <x:v>128091</x:v>
      </x:c>
      <x:c r="F92" s="64" t="n">
        <x:v>16909</x:v>
      </x:c>
      <x:c r="G92" s="64" t="n">
        <x:v>145000</x:v>
      </x:c>
      <x:c r="H92" s="49" t="str">
        <x:v>Verified FRA annual tuition + development fee</x:v>
      </x:c>
      <x:c r="I92" s="49" t="str">
        <x:v>Normal annual approved fee; not category/seat-type payable amount</x:v>
      </x:c>
      <x:c r="J92" s="49" t="str">
        <x:v>https://fe2025.mahacet.org/StaticPages/frmInstituteSummary.aspx?InstituteCode=03208</x:v>
      </x:c>
    </x:row>
    <x:row r="93">
      <x:c r="A93" s="63" t="n">
        <x:v>3209</x:v>
      </x:c>
      <x:c r="B93" s="49" t="str">
        <x:v>K J Somaiya Institute of Technology</x:v>
      </x:c>
      <x:c r="C93" s="49" t="str">
        <x:v>Mumbai Suburban</x:v>
      </x:c>
      <x:c r="D93" s="49" t="str">
        <x:v>2024-25</x:v>
      </x:c>
      <x:c r="E93" s="64" t="n">
        <x:v>165217</x:v>
      </x:c>
      <x:c r="F93" s="64" t="n">
        <x:v>24783</x:v>
      </x:c>
      <x:c r="G93" s="64" t="n">
        <x:v>190000</x:v>
      </x:c>
      <x:c r="H93" s="49" t="str">
        <x:v>Verified FRA annual tuition + development fee</x:v>
      </x:c>
      <x:c r="I93" s="49" t="str">
        <x:v>Normal annual approved fee; not category/seat-type payable amount</x:v>
      </x:c>
      <x:c r="J93" s="49" t="str">
        <x:v>https://fe2025.mahacet.org/StaticPages/frmInstituteSummary.aspx?InstituteCode=03209</x:v>
      </x:c>
    </x:row>
    <x:row r="94">
      <x:c r="A94" s="63" t="n">
        <x:v>3210</x:v>
      </x:c>
      <x:c r="B94" s="49" t="str">
        <x:v>Excelsior Education Society's K.C. College of Engineering and Management Studies and Research, Kopri, Thane (E)</x:v>
      </x:c>
      <x:c r="C94" s="49" t="str">
        <x:v>Thane</x:v>
      </x:c>
      <x:c r="D94" s="49" t="str">
        <x:v>2024-25</x:v>
      </x:c>
      <x:c r="E94" s="64" t="n">
        <x:v>107391</x:v>
      </x:c>
      <x:c r="F94" s="64" t="n">
        <x:v>16109</x:v>
      </x:c>
      <x:c r="G94" s="64" t="n">
        <x:v>123500</x:v>
      </x:c>
      <x:c r="H94" s="49" t="str">
        <x:v>Verified FRA annual tuition + development fee</x:v>
      </x:c>
      <x:c r="I94" s="49" t="str">
        <x:v>Normal annual approved fee; not category/seat-type payable amount</x:v>
      </x:c>
      <x:c r="J94" s="49" t="str">
        <x:v>https://fe2025.mahacet.org/StaticPages/frmInstituteSummary.aspx?InstituteCode=03210</x:v>
      </x:c>
    </x:row>
    <x:row r="95">
      <x:c r="A95" s="63" t="n">
        <x:v>3211</x:v>
      </x:c>
      <x:c r="B95" s="49" t="str">
        <x:v>S.I.E.S. Graduate School of Technology, Nerul, Navi Mumbai</x:v>
      </x:c>
      <x:c r="C95" s="49" t="str">
        <x:v>Thane</x:v>
      </x:c>
      <x:c r="D95" s="49" t="str">
        <x:v>2024-25</x:v>
      </x:c>
      <x:c r="E95" s="64" t="n">
        <x:v>105218</x:v>
      </x:c>
      <x:c r="F95" s="64" t="n">
        <x:v>15782</x:v>
      </x:c>
      <x:c r="G95" s="64" t="n">
        <x:v>121000</x:v>
      </x:c>
      <x:c r="H95" s="49" t="str">
        <x:v>Verified FRA annual tuition + development fee</x:v>
      </x:c>
      <x:c r="I95" s="49" t="str">
        <x:v>Normal annual approved fee; not category/seat-type payable amount</x:v>
      </x:c>
      <x:c r="J95" s="49" t="str">
        <x:v>https://fe2025.mahacet.org/StaticPages/frmInstituteSummary.aspx?InstituteCode=03211</x:v>
      </x:c>
    </x:row>
    <x:row r="96">
      <x:c r="A96" s="63" t="n">
        <x:v>3212</x:v>
      </x:c>
      <x:c r="B96" s="49" t="str">
        <x:v>Watumull Institute of Engineering &amp; Technology, Ulhasnagar</x:v>
      </x:c>
      <x:c r="C96" s="49" t="str">
        <x:v>Thane</x:v>
      </x:c>
      <x:c r="D96" s="49" t="str">
        <x:v>2024-25</x:v>
      </x:c>
      <x:c r="E96" s="64" t="n">
        <x:v>154546</x:v>
      </x:c>
      <x:c r="F96" s="64" t="n">
        <x:v>15454</x:v>
      </x:c>
      <x:c r="G96" s="64" t="n">
        <x:v>170000</x:v>
      </x:c>
      <x:c r="H96" s="49" t="str">
        <x:v>Verified FRA annual tuition + development fee</x:v>
      </x:c>
      <x:c r="I96" s="49" t="str">
        <x:v>Normal annual approved fee; not category/seat-type payable amount</x:v>
      </x:c>
      <x:c r="J96" s="49" t="str">
        <x:v>https://fe2025.mahacet.org/StaticPages/frmInstituteSummary.aspx?InstituteCode=03212</x:v>
      </x:c>
    </x:row>
    <x:row r="97">
      <x:c r="A97" s="63" t="n">
        <x:v>3214</x:v>
      </x:c>
      <x:c r="B97" s="49" t="str">
        <x:v>Xavier Institute Of Engineering C/O Xavier Technical Institute,Mahim,Mumbai</x:v>
      </x:c>
      <x:c r="C97" s="49" t="str">
        <x:v>Mumbai City</x:v>
      </x:c>
      <x:c r="D97" s="49" t="str">
        <x:v>2024-25</x:v>
      </x:c>
      <x:c r="E97" s="64" t="n">
        <x:v>138421</x:v>
      </x:c>
      <x:c r="F97" s="64" t="n">
        <x:v>17579</x:v>
      </x:c>
      <x:c r="G97" s="64" t="n">
        <x:v>156000</x:v>
      </x:c>
      <x:c r="H97" s="49" t="str">
        <x:v>Verified FRA annual tuition + development fee</x:v>
      </x:c>
      <x:c r="I97" s="49" t="str">
        <x:v>Normal annual approved fee; not category/seat-type payable amount</x:v>
      </x:c>
      <x:c r="J97" s="49" t="str">
        <x:v>https://fe2025.mahacet.org/StaticPages/frmInstituteSummary.aspx?InstituteCode=03214</x:v>
      </x:c>
    </x:row>
    <x:row r="98">
      <x:c r="A98" s="63" t="n">
        <x:v>3215</x:v>
      </x:c>
      <x:c r="B98" s="49" t="str">
        <x:v>Bhartiya Vidya Bhavan's Sardar Patel Institute of Technology , Andheri, Mumbai</x:v>
      </x:c>
      <x:c r="C98" s="49" t="str">
        <x:v>Mumbai Suburban</x:v>
      </x:c>
      <x:c r="D98" s="49" t="str">
        <x:v>2024-25</x:v>
      </x:c>
      <x:c r="E98" s="64" t="n">
        <x:v>170435</x:v>
      </x:c>
      <x:c r="F98" s="64" t="n">
        <x:v>25565</x:v>
      </x:c>
      <x:c r="G98" s="64" t="n">
        <x:v>196000</x:v>
      </x:c>
      <x:c r="H98" s="49" t="str">
        <x:v>Verified FRA annual tuition + development fee</x:v>
      </x:c>
      <x:c r="I98" s="49" t="str">
        <x:v>Normal annual approved fee; not category/seat-type payable amount</x:v>
      </x:c>
      <x:c r="J98" s="49" t="str">
        <x:v>https://fe2025.mahacet.org/StaticPages/frmInstituteSummary.aspx?InstituteCode=03215</x:v>
      </x:c>
    </x:row>
    <x:row r="99">
      <x:c r="A99" s="63" t="n">
        <x:v>3216</x:v>
      </x:c>
      <x:c r="B99" s="49" t="str">
        <x:v>Gharda Foundation's Gharda Institute of Technology,Khed, Ratnagiri</x:v>
      </x:c>
      <x:c r="C99" s="49" t="str">
        <x:v>Ratnagiri</x:v>
      </x:c>
      <x:c r="D99" s="49" t="str">
        <x:v>2024-25</x:v>
      </x:c>
      <x:c r="E99" s="64" t="n">
        <x:v>114711</x:v>
      </x:c>
      <x:c r="F99" s="64" t="n">
        <x:v>16289</x:v>
      </x:c>
      <x:c r="G99" s="64" t="n">
        <x:v>131000</x:v>
      </x:c>
      <x:c r="H99" s="49" t="str">
        <x:v>Verified FRA annual tuition + development fee</x:v>
      </x:c>
      <x:c r="I99" s="49" t="str">
        <x:v>Normal annual approved fee; not category/seat-type payable amount</x:v>
      </x:c>
      <x:c r="J99" s="49" t="str">
        <x:v>https://fe2025.mahacet.org/StaticPages/frmInstituteSummary.aspx?InstituteCode=03216</x:v>
      </x:c>
    </x:row>
    <x:row r="100">
      <x:c r="A100" s="63" t="n">
        <x:v>3217</x:v>
      </x:c>
      <x:c r="B100" s="49" t="str">
        <x:v>Vighnaharata Trust's Shivajirao S. Jondhale College of Engineering &amp; Technology, Shahapur, Asangaon, Dist Thane</x:v>
      </x:c>
      <x:c r="C100" s="49" t="str">
        <x:v>Thane</x:v>
      </x:c>
      <x:c r="D100" s="49" t="str">
        <x:v>2024-25</x:v>
      </x:c>
      <x:c r="E100" s="64" t="n">
        <x:v>62222</x:v>
      </x:c>
      <x:c r="F100" s="64" t="n">
        <x:v>7778</x:v>
      </x:c>
      <x:c r="G100" s="64" t="n">
        <x:v>70000</x:v>
      </x:c>
      <x:c r="H100" s="49" t="str">
        <x:v>Verified FRA annual tuition + development fee</x:v>
      </x:c>
      <x:c r="I100" s="49" t="str">
        <x:v>Normal annual approved fee; not category/seat-type payable amount</x:v>
      </x:c>
      <x:c r="J100" s="49" t="str">
        <x:v>https://fe2025.mahacet.org/StaticPages/frmInstituteSummary.aspx?InstituteCode=03217</x:v>
      </x:c>
    </x:row>
    <x:row r="101">
      <x:c r="A101" s="63" t="n">
        <x:v>3218</x:v>
      </x:c>
      <x:c r="B101" s="49" t="str">
        <x:v>Aldel Education Trust's St. John College of Engineering &amp; Management, Vevoor, Palghar</x:v>
      </x:c>
      <x:c r="C101" s="49" t="str">
        <x:v>Palghar</x:v>
      </x:c>
      <x:c r="D101" s="49" t="str">
        <x:v>2024-25</x:v>
      </x:c>
      <x:c r="E101" s="64" t="n">
        <x:v>78329</x:v>
      </x:c>
      <x:c r="F101" s="64" t="n">
        <x:v>11671</x:v>
      </x:c>
      <x:c r="G101" s="64" t="n">
        <x:v>90000</x:v>
      </x:c>
      <x:c r="H101" s="49" t="str">
        <x:v>Verified FRA annual tuition + development fee</x:v>
      </x:c>
      <x:c r="I101" s="49" t="str">
        <x:v>Normal annual approved fee; not category/seat-type payable amount</x:v>
      </x:c>
      <x:c r="J101" s="49" t="str">
        <x:v>https://fe2025.mahacet.org/StaticPages/frmInstituteSummary.aspx?InstituteCode=03218</x:v>
      </x:c>
    </x:row>
    <x:row r="102">
      <x:c r="A102" s="63" t="n">
        <x:v>3219</x:v>
      </x:c>
      <x:c r="B102" s="49" t="str">
        <x:v>Koti Vidya Charitable Trust's Smt. Alamuri Ratnamala Institute of Engineering and Technology, Sapgaon, Tal. Shahapur</x:v>
      </x:c>
      <x:c r="C102" s="49" t="str">
        <x:v>Thane</x:v>
      </x:c>
      <x:c r="D102" s="49" t="str">
        <x:v>2024-25</x:v>
      </x:c>
      <x:c r="E102" s="64" t="n">
        <x:v>66696</x:v>
      </x:c>
      <x:c r="F102" s="64" t="n">
        <x:v>8804</x:v>
      </x:c>
      <x:c r="G102" s="64" t="n">
        <x:v>75500</x:v>
      </x:c>
      <x:c r="H102" s="49" t="str">
        <x:v>Verified FRA annual tuition + development fee</x:v>
      </x:c>
      <x:c r="I102" s="49" t="str">
        <x:v>Normal annual approved fee; not category/seat-type payable amount</x:v>
      </x:c>
      <x:c r="J102" s="49" t="str">
        <x:v>https://fe2025.mahacet.org/StaticPages/frmInstituteSummary.aspx?InstituteCode=03219</x:v>
      </x:c>
    </x:row>
    <x:row r="103">
      <x:c r="A103" s="63" t="n">
        <x:v>3220</x:v>
      </x:c>
      <x:c r="B103" s="49" t="str">
        <x:v>Yadavrao Tasgaonkar College of Engineering &amp; Management</x:v>
      </x:c>
      <x:c r="C103" s="49" t="str">
        <x:v>Raigad</x:v>
      </x:c>
      <x:c r="D103" s="49" t="str">
        <x:v>2024-25</x:v>
      </x:c>
      <x:c r="E103" s="64" t="n">
        <x:v>43049</x:v>
      </x:c>
      <x:c r="F103" s="64" t="n">
        <x:v>4951</x:v>
      </x:c>
      <x:c r="G103" s="64" t="n">
        <x:v>48000</x:v>
      </x:c>
      <x:c r="H103" s="49" t="str">
        <x:v>Verified FRA annual tuition + development fee</x:v>
      </x:c>
      <x:c r="I103" s="49" t="str">
        <x:v>Normal annual approved fee; not category/seat-type payable amount</x:v>
      </x:c>
      <x:c r="J103" s="49" t="str">
        <x:v>https://fe2025.mahacet.org/StaticPages/frmInstituteSummary.aspx?InstituteCode=03220</x:v>
      </x:c>
    </x:row>
    <x:row r="104">
      <x:c r="A104" s="63" t="n">
        <x:v>3221</x:v>
      </x:c>
      <x:c r="B104" s="49" t="str">
        <x:v>Vishnu Waman Thakur Charitable Trust's VIVA Institute of Technology, Virar</x:v>
      </x:c>
      <x:c r="C104" s="49" t="str">
        <x:v>Palghar</x:v>
      </x:c>
      <x:c r="D104" s="49" t="str">
        <x:v>2024-25</x:v>
      </x:c>
      <x:c r="E104" s="64" t="n">
        <x:v>65962</x:v>
      </x:c>
      <x:c r="F104" s="64" t="n">
        <x:v>9038</x:v>
      </x:c>
      <x:c r="G104" s="64" t="n">
        <x:v>75000</x:v>
      </x:c>
      <x:c r="H104" s="49" t="str">
        <x:v>Verified FRA annual tuition + development fee</x:v>
      </x:c>
      <x:c r="I104" s="49" t="str">
        <x:v>Normal annual approved fee; not category/seat-type payable amount</x:v>
      </x:c>
      <x:c r="J104" s="49" t="str">
        <x:v>https://fe2025.mahacet.org/StaticPages/frmInstituteSummary.aspx?InstituteCode=03221</x:v>
      </x:c>
    </x:row>
    <x:row r="105">
      <x:c r="A105" s="63" t="n">
        <x:v>3222</x:v>
      </x:c>
      <x:c r="B105" s="49" t="str">
        <x:v>Haji Jamaluddin Thim Trust's Theem College of Engineering, At. Villege Betegaon, Boisar</x:v>
      </x:c>
      <x:c r="C105" s="49" t="str">
        <x:v>Palghar</x:v>
      </x:c>
      <x:c r="D105" s="49" t="str">
        <x:v>2024-25</x:v>
      </x:c>
      <x:c r="E105" s="64" t="n">
        <x:v>56638</x:v>
      </x:c>
      <x:c r="F105" s="64" t="n">
        <x:v>7362</x:v>
      </x:c>
      <x:c r="G105" s="64" t="n">
        <x:v>64000</x:v>
      </x:c>
      <x:c r="H105" s="49" t="str">
        <x:v>Verified FRA annual tuition + development fee</x:v>
      </x:c>
      <x:c r="I105" s="49" t="str">
        <x:v>Normal annual approved fee; not category/seat-type payable amount</x:v>
      </x:c>
      <x:c r="J105" s="49" t="str">
        <x:v>https://fe2025.mahacet.org/StaticPages/frmInstituteSummary.aspx?InstituteCode=03222</x:v>
      </x:c>
    </x:row>
    <x:row r="106">
      <x:c r="A106" s="63" t="n">
        <x:v>3223</x:v>
      </x:c>
      <x:c r="B106" s="49" t="str">
        <x:v>Mahatma Education Society's Pillai HOC College of Engineering &amp; Technology, Tal. Khalapur. Dist. Raigad</x:v>
      </x:c>
      <x:c r="C106" s="49" t="str">
        <x:v>Raigad</x:v>
      </x:c>
      <x:c r="D106" s="49" t="str">
        <x:v>2024-25</x:v>
      </x:c>
      <x:c r="E106" s="64" t="n">
        <x:v>84285</x:v>
      </x:c>
      <x:c r="F106" s="64" t="n">
        <x:v>11715</x:v>
      </x:c>
      <x:c r="G106" s="64" t="n">
        <x:v>96000</x:v>
      </x:c>
      <x:c r="H106" s="49" t="str">
        <x:v>Verified FRA annual tuition + development fee</x:v>
      </x:c>
      <x:c r="I106" s="49" t="str">
        <x:v>Normal annual approved fee; not category/seat-type payable amount</x:v>
      </x:c>
      <x:c r="J106" s="49" t="str">
        <x:v>https://fe2025.mahacet.org/StaticPages/frmInstituteSummary.aspx?InstituteCode=03223</x:v>
      </x:c>
    </x:row>
    <x:row r="107">
      <x:c r="A107" s="63" t="n">
        <x:v>3224</x:v>
      </x:c>
      <x:c r="B107" s="49" t="str">
        <x:v>Leela Education Society, G.V. Acharya Institute of Engineering and Technology, Shelu, Karjat</x:v>
      </x:c>
      <x:c r="C107" s="49" t="str">
        <x:v>Raigad</x:v>
      </x:c>
      <x:c r="D107" s="49" t="str">
        <x:v>2024-25</x:v>
      </x:c>
      <x:c r="E107" s="64" t="n">
        <x:v>49683</x:v>
      </x:c>
      <x:c r="F107" s="64" t="n">
        <x:v>5317</x:v>
      </x:c>
      <x:c r="G107" s="64" t="n">
        <x:v>55000</x:v>
      </x:c>
      <x:c r="H107" s="49" t="str">
        <x:v>Verified FRA annual tuition + development fee</x:v>
      </x:c>
      <x:c r="I107" s="49" t="str">
        <x:v>Normal annual approved fee; not category/seat-type payable amount</x:v>
      </x:c>
      <x:c r="J107" s="49" t="str">
        <x:v>https://fe2025.mahacet.org/StaticPages/frmInstituteSummary.aspx?InstituteCode=03224</x:v>
      </x:c>
    </x:row>
    <x:row r="108">
      <x:c r="A108" s="63" t="n">
        <x:v>3257</x:v>
      </x:c>
      <x:c r="B108" s="49" t="str">
        <x:v>Vidya Prasarak Mandal's College of Engineering, Thane</x:v>
      </x:c>
      <x:c r="C108" s="49" t="str">
        <x:v>Thane</x:v>
      </x:c>
      <x:c r="D108" s="49"/>
      <x:c r="E108" s="64"/>
      <x:c r="F108" s="64"/>
      <x:c r="G108" s="64"/>
      <x:c r="H108" s="49" t="str">
        <x:v>No verified FRA match in extracted history</x:v>
      </x:c>
      <x:c r="I108" s="49" t="str">
        <x:v>Normal annual approved fee; not category/seat-type payable amount</x:v>
      </x:c>
      <x:c r="J108" s="49" t="str">
        <x:v>https://fe2025.mahacet.org/StaticPages/frmInstituteSummary.aspx?InstituteCode=03257</x:v>
      </x:c>
    </x:row>
    <x:row r="109">
      <x:c r="A109" s="63" t="n">
        <x:v>3277</x:v>
      </x:c>
      <x:c r="B109" s="49" t="str">
        <x:v>Pravin Rohidas Patil College of Engineering &amp; Technology</x:v>
      </x:c>
      <x:c r="C109" s="49" t="str">
        <x:v>Thane</x:v>
      </x:c>
      <x:c r="D109" s="49" t="str">
        <x:v>2024-25</x:v>
      </x:c>
      <x:c r="E109" s="64" t="n">
        <x:v>77132</x:v>
      </x:c>
      <x:c r="F109" s="64" t="n">
        <x:v>7868</x:v>
      </x:c>
      <x:c r="G109" s="64" t="n">
        <x:v>85000</x:v>
      </x:c>
      <x:c r="H109" s="49" t="str">
        <x:v>Verified FRA annual tuition + development fee</x:v>
      </x:c>
      <x:c r="I109" s="49" t="str">
        <x:v>Normal annual approved fee; not category/seat-type payable amount</x:v>
      </x:c>
      <x:c r="J109" s="49" t="str">
        <x:v>https://fe2025.mahacet.org/StaticPages/frmInstituteSummary.aspx?InstituteCode=03277</x:v>
      </x:c>
    </x:row>
    <x:row r="110">
      <x:c r="A110" s="63" t="n">
        <x:v>3351</x:v>
      </x:c>
      <x:c r="B110" s="49" t="str">
        <x:v>Bharat College of Engineering, Kanhor, Badlapur(W)</x:v>
      </x:c>
      <x:c r="C110" s="49" t="str">
        <x:v>Thane</x:v>
      </x:c>
      <x:c r="D110" s="49" t="str">
        <x:v>2024-25</x:v>
      </x:c>
      <x:c r="E110" s="64" t="n">
        <x:v>72972</x:v>
      </x:c>
      <x:c r="F110" s="64" t="n">
        <x:v>8028</x:v>
      </x:c>
      <x:c r="G110" s="64" t="n">
        <x:v>81000</x:v>
      </x:c>
      <x:c r="H110" s="49" t="str">
        <x:v>Verified FRA annual tuition + development fee</x:v>
      </x:c>
      <x:c r="I110" s="49" t="str">
        <x:v>Normal annual approved fee; not category/seat-type payable amount</x:v>
      </x:c>
      <x:c r="J110" s="49" t="str">
        <x:v>https://fe2025.mahacet.org/StaticPages/frmInstituteSummary.aspx?InstituteCode=03351</x:v>
      </x:c>
    </x:row>
    <x:row r="111">
      <x:c r="A111" s="63" t="n">
        <x:v>3353</x:v>
      </x:c>
      <x:c r="B111" s="49" t="str">
        <x:v>Dilkap Research Institute Of Engineering and Management Studies, At.Mamdapur, Post- Neral, Tal- Karjat, Mumbai</x:v>
      </x:c>
      <x:c r="C111" s="49" t="str">
        <x:v>Raigad</x:v>
      </x:c>
      <x:c r="D111" s="49" t="str">
        <x:v>2024-25</x:v>
      </x:c>
      <x:c r="E111" s="64" t="n">
        <x:v>58901</x:v>
      </x:c>
      <x:c r="F111" s="64" t="n">
        <x:v>7599</x:v>
      </x:c>
      <x:c r="G111" s="64" t="n">
        <x:v>66500</x:v>
      </x:c>
      <x:c r="H111" s="49" t="str">
        <x:v>Verified FRA annual tuition + development fee</x:v>
      </x:c>
      <x:c r="I111" s="49" t="str">
        <x:v>Normal annual approved fee; not category/seat-type payable amount</x:v>
      </x:c>
      <x:c r="J111" s="49" t="str">
        <x:v>https://fe2025.mahacet.org/StaticPages/frmInstituteSummary.aspx?InstituteCode=03353</x:v>
      </x:c>
    </x:row>
    <x:row r="112">
      <x:c r="A112" s="63" t="n">
        <x:v>3423</x:v>
      </x:c>
      <x:c r="B112" s="49" t="str">
        <x:v>Shree L.R. Tiwari College of Engineering, Mira Road, Mumbai</x:v>
      </x:c>
      <x:c r="C112" s="49" t="str">
        <x:v>Thane</x:v>
      </x:c>
      <x:c r="D112" s="49" t="str">
        <x:v>2024-25</x:v>
      </x:c>
      <x:c r="E112" s="64" t="n">
        <x:v>96428</x:v>
      </x:c>
      <x:c r="F112" s="64" t="n">
        <x:v>11572</x:v>
      </x:c>
      <x:c r="G112" s="64" t="n">
        <x:v>108000</x:v>
      </x:c>
      <x:c r="H112" s="49" t="str">
        <x:v>Verified FRA annual tuition + development fee</x:v>
      </x:c>
      <x:c r="I112" s="49" t="str">
        <x:v>Normal annual approved fee; not category/seat-type payable amount</x:v>
      </x:c>
      <x:c r="J112" s="49" t="str">
        <x:v>https://fe2025.mahacet.org/StaticPages/frmInstituteSummary.aspx?InstituteCode=03423</x:v>
      </x:c>
    </x:row>
    <x:row r="113">
      <x:c r="A113" s="63" t="n">
        <x:v>3436</x:v>
      </x:c>
      <x:c r="B113" s="49" t="str">
        <x:v>B.R. Harne College of Engineering &amp; Technology, Karav, Tal-Ambernath.</x:v>
      </x:c>
      <x:c r="C113" s="49" t="str">
        <x:v>Thane</x:v>
      </x:c>
      <x:c r="D113" s="49" t="str">
        <x:v>2024-25</x:v>
      </x:c>
      <x:c r="E113" s="64" t="n">
        <x:v>70984</x:v>
      </x:c>
      <x:c r="F113" s="64" t="n">
        <x:v>9016</x:v>
      </x:c>
      <x:c r="G113" s="64" t="n">
        <x:v>80000</x:v>
      </x:c>
      <x:c r="H113" s="49" t="str">
        <x:v>Verified FRA annual tuition + development fee</x:v>
      </x:c>
      <x:c r="I113" s="49" t="str">
        <x:v>Normal annual approved fee; not category/seat-type payable amount</x:v>
      </x:c>
      <x:c r="J113" s="49" t="str">
        <x:v>https://fe2025.mahacet.org/StaticPages/frmInstituteSummary.aspx?InstituteCode=03436</x:v>
      </x:c>
    </x:row>
    <x:row r="114">
      <x:c r="A114" s="63" t="n">
        <x:v>3439</x:v>
      </x:c>
      <x:c r="B114" s="49" t="str">
        <x:v>Anjuman-I-Islam's Kalsekar Technical Campus, Panvel</x:v>
      </x:c>
      <x:c r="C114" s="49" t="str">
        <x:v>Raigad</x:v>
      </x:c>
      <x:c r="D114" s="49"/>
      <x:c r="E114" s="64"/>
      <x:c r="F114" s="64"/>
      <x:c r="G114" s="64"/>
      <x:c r="H114" s="49" t="str">
        <x:v>No verified FRA match in extracted history</x:v>
      </x:c>
      <x:c r="I114" s="49" t="str">
        <x:v>Normal annual approved fee; not category/seat-type payable amount</x:v>
      </x:c>
      <x:c r="J114" s="49" t="str">
        <x:v>https://fe2025.mahacet.org/StaticPages/frmInstituteSummary.aspx?InstituteCode=03439</x:v>
      </x:c>
    </x:row>
    <x:row r="115">
      <x:c r="A115" s="63" t="n">
        <x:v>3440</x:v>
      </x:c>
      <x:c r="B115" s="49" t="str">
        <x:v>Metropolitan Institute of Technology &amp; Management, Sukhalwad, Sindhudurg.</x:v>
      </x:c>
      <x:c r="C115" s="49" t="str">
        <x:v>Sindhudurg</x:v>
      </x:c>
      <x:c r="D115" s="49" t="str">
        <x:v>2024-25</x:v>
      </x:c>
      <x:c r="E115" s="64" t="n">
        <x:v>53571</x:v>
      </x:c>
      <x:c r="F115" s="64" t="n">
        <x:v>6429</x:v>
      </x:c>
      <x:c r="G115" s="64" t="n">
        <x:v>60000</x:v>
      </x:c>
      <x:c r="H115" s="49" t="str">
        <x:v>Verified FRA annual tuition + development fee</x:v>
      </x:c>
      <x:c r="I115" s="49" t="str">
        <x:v>Normal annual approved fee; not category/seat-type payable amount</x:v>
      </x:c>
      <x:c r="J115" s="49" t="str">
        <x:v>https://fe2025.mahacet.org/StaticPages/frmInstituteSummary.aspx?InstituteCode=03440</x:v>
      </x:c>
    </x:row>
    <x:row r="116">
      <x:c r="A116" s="63" t="n">
        <x:v>3445</x:v>
      </x:c>
      <x:c r="B116" s="49" t="str">
        <x:v>Vishwatmak Jangli Maharaj Ashram Trust (Kokamthan), Atma Malik Institute Of Technology &amp; Research</x:v>
      </x:c>
      <x:c r="C116" s="49" t="str">
        <x:v>Thane</x:v>
      </x:c>
      <x:c r="D116" s="49" t="str">
        <x:v>2024-25</x:v>
      </x:c>
      <x:c r="E116" s="64" t="n">
        <x:v>68966</x:v>
      </x:c>
      <x:c r="F116" s="64" t="n">
        <x:v>7034</x:v>
      </x:c>
      <x:c r="G116" s="64" t="n">
        <x:v>76000</x:v>
      </x:c>
      <x:c r="H116" s="49" t="str">
        <x:v>Verified FRA annual tuition + development fee</x:v>
      </x:c>
      <x:c r="I116" s="49" t="str">
        <x:v>Normal annual approved fee; not category/seat-type payable amount</x:v>
      </x:c>
      <x:c r="J116" s="49" t="str">
        <x:v>https://fe2025.mahacet.org/StaticPages/frmInstituteSummary.aspx?InstituteCode=03445</x:v>
      </x:c>
    </x:row>
    <x:row r="117">
      <x:c r="A117" s="63" t="n">
        <x:v>3447</x:v>
      </x:c>
      <x:c r="B117" s="49" t="str">
        <x:v>G.M.Vedak Institute of Technology, Tala, Raigad.</x:v>
      </x:c>
      <x:c r="C117" s="49" t="str">
        <x:v>Raigad</x:v>
      </x:c>
      <x:c r="D117" s="49" t="str">
        <x:v>2024-25</x:v>
      </x:c>
      <x:c r="E117" s="64" t="n">
        <x:v>55058</x:v>
      </x:c>
      <x:c r="F117" s="64" t="n">
        <x:v>6442</x:v>
      </x:c>
      <x:c r="G117" s="64" t="n">
        <x:v>61500</x:v>
      </x:c>
      <x:c r="H117" s="49" t="str">
        <x:v>Verified FRA annual tuition + development fee</x:v>
      </x:c>
      <x:c r="I117" s="49" t="str">
        <x:v>Normal annual approved fee; not category/seat-type payable amount</x:v>
      </x:c>
      <x:c r="J117" s="49" t="str">
        <x:v>https://fe2025.mahacet.org/StaticPages/frmInstituteSummary.aspx?InstituteCode=03447</x:v>
      </x:c>
    </x:row>
    <x:row r="118">
      <x:c r="A118" s="63" t="n">
        <x:v>3460</x:v>
      </x:c>
      <x:c r="B118" s="49" t="str">
        <x:v>Universal College of Engineering,Kaman Dist. Palghar</x:v>
      </x:c>
      <x:c r="C118" s="49"/>
      <x:c r="D118" s="49" t="str">
        <x:v>2023-24</x:v>
      </x:c>
      <x:c r="E118" s="64" t="n">
        <x:v>70909</x:v>
      </x:c>
      <x:c r="F118" s="64" t="n">
        <x:v>7091</x:v>
      </x:c>
      <x:c r="G118" s="64" t="n">
        <x:v>78000</x:v>
      </x:c>
      <x:c r="H118" s="49" t="str">
        <x:v>Verified FRA annual tuition + development fee</x:v>
      </x:c>
      <x:c r="I118" s="49" t="str">
        <x:v>Normal annual approved fee; not category/seat-type payable amount</x:v>
      </x:c>
      <x:c r="J118" s="49" t="str">
        <x:v>https://fe2025.mahacet.org/StaticPages/frmInstituteList.aspx?did=1884</x:v>
      </x:c>
    </x:row>
    <x:row r="119">
      <x:c r="A119" s="63" t="n">
        <x:v>3462</x:v>
      </x:c>
      <x:c r="B119" s="49" t="str">
        <x:v>VPM's Maharshi Parshuram College of Engineering, Velneshwar, Ratnagiri.</x:v>
      </x:c>
      <x:c r="C119" s="49" t="str">
        <x:v>Ratnagiri</x:v>
      </x:c>
      <x:c r="D119" s="49" t="str">
        <x:v>2024-25</x:v>
      </x:c>
      <x:c r="E119" s="64" t="n">
        <x:v>57297</x:v>
      </x:c>
      <x:c r="F119" s="64" t="n">
        <x:v>6703</x:v>
      </x:c>
      <x:c r="G119" s="64" t="n">
        <x:v>64000</x:v>
      </x:c>
      <x:c r="H119" s="49" t="str">
        <x:v>Verified FRA annual tuition + development fee</x:v>
      </x:c>
      <x:c r="I119" s="49" t="str">
        <x:v>Normal annual approved fee; not category/seat-type payable amount</x:v>
      </x:c>
      <x:c r="J119" s="49" t="str">
        <x:v>https://fe2025.mahacet.org/StaticPages/frmInstituteSummary.aspx?InstituteCode=03462</x:v>
      </x:c>
    </x:row>
    <x:row r="120">
      <x:c r="A120" s="63" t="n">
        <x:v>3465</x:v>
      </x:c>
      <x:c r="B120" s="49" t="str">
        <x:v>Ideal Institute of Technology, Wada, Dist.Thane</x:v>
      </x:c>
      <x:c r="C120" s="49" t="str">
        <x:v>Palghar</x:v>
      </x:c>
      <x:c r="D120" s="49" t="str">
        <x:v>2024-25</x:v>
      </x:c>
      <x:c r="E120" s="64" t="n">
        <x:v>89188</x:v>
      </x:c>
      <x:c r="F120" s="64" t="n">
        <x:v>9812</x:v>
      </x:c>
      <x:c r="G120" s="64" t="n">
        <x:v>99000</x:v>
      </x:c>
      <x:c r="H120" s="49" t="str">
        <x:v>Verified FRA annual tuition + development fee</x:v>
      </x:c>
      <x:c r="I120" s="49" t="str">
        <x:v>Normal annual approved fee; not category/seat-type payable amount</x:v>
      </x:c>
      <x:c r="J120" s="49" t="str">
        <x:v>https://fe2025.mahacet.org/StaticPages/frmInstituteSummary.aspx?InstituteCode=03465</x:v>
      </x:c>
    </x:row>
    <x:row r="121">
      <x:c r="A121" s="63" t="n">
        <x:v>3467</x:v>
      </x:c>
      <x:c r="B121" s="49" t="str">
        <x:v>Vishwaniketan's Institute of Management Entrepreneurship and Engineering Technology(i MEET), Khalapur Dist Raigad</x:v>
      </x:c>
      <x:c r="C121" s="49" t="str">
        <x:v>Raigad</x:v>
      </x:c>
      <x:c r="D121" s="49" t="str">
        <x:v>2024-25</x:v>
      </x:c>
      <x:c r="E121" s="64" t="n">
        <x:v>69565</x:v>
      </x:c>
      <x:c r="F121" s="64" t="n">
        <x:v>10435</x:v>
      </x:c>
      <x:c r="G121" s="64" t="n">
        <x:v>80000</x:v>
      </x:c>
      <x:c r="H121" s="49" t="str">
        <x:v>Verified FRA annual tuition + development fee</x:v>
      </x:c>
      <x:c r="I121" s="49" t="str">
        <x:v>Normal annual approved fee; not category/seat-type payable amount</x:v>
      </x:c>
      <x:c r="J121" s="49" t="str">
        <x:v>https://fe2025.mahacet.org/StaticPages/frmInstituteSummary.aspx?InstituteCode=03467</x:v>
      </x:c>
    </x:row>
    <x:row r="122">
      <x:c r="A122" s="63" t="n">
        <x:v>3470</x:v>
      </x:c>
      <x:c r="B122" s="49" t="str">
        <x:v>YASHWANTRAO BHONSALE INSTITUTE OF TECHNOLOGY</x:v>
      </x:c>
      <x:c r="C122" s="49" t="str">
        <x:v>Sindhudurg</x:v>
      </x:c>
      <x:c r="D122" s="49"/>
      <x:c r="E122" s="64"/>
      <x:c r="F122" s="64"/>
      <x:c r="G122" s="64"/>
      <x:c r="H122" s="49" t="str">
        <x:v>No verified FRA match in extracted history</x:v>
      </x:c>
      <x:c r="I122" s="49" t="str">
        <x:v>Normal annual approved fee; not category/seat-type payable amount</x:v>
      </x:c>
      <x:c r="J122" s="49" t="str">
        <x:v>https://fe2025.mahacet.org/StaticPages/frmInstituteSummary.aspx?InstituteCode=03470</x:v>
      </x:c>
    </x:row>
    <x:row r="123">
      <x:c r="A123" s="63" t="n">
        <x:v>3471</x:v>
      </x:c>
      <x:c r="B123" s="49" t="str">
        <x:v>New Horizon Institute of Technology &amp; Management, Thane</x:v>
      </x:c>
      <x:c r="C123" s="49" t="str">
        <x:v>Thane</x:v>
      </x:c>
      <x:c r="D123" s="49" t="str">
        <x:v>2024-25</x:v>
      </x:c>
      <x:c r="E123" s="64" t="n">
        <x:v>68160</x:v>
      </x:c>
      <x:c r="F123" s="64" t="n">
        <x:v>7840</x:v>
      </x:c>
      <x:c r="G123" s="64" t="n">
        <x:v>76000</x:v>
      </x:c>
      <x:c r="H123" s="49" t="str">
        <x:v>Verified FRA annual tuition + development fee</x:v>
      </x:c>
      <x:c r="I123" s="49" t="str">
        <x:v>Normal annual approved fee; not category/seat-type payable amount</x:v>
      </x:c>
      <x:c r="J123" s="49" t="str">
        <x:v>https://fe2025.mahacet.org/StaticPages/frmInstituteSummary.aspx?InstituteCode=03471</x:v>
      </x:c>
    </x:row>
    <x:row r="124">
      <x:c r="A124" s="63" t="n">
        <x:v>3475</x:v>
      </x:c>
      <x:c r="B124" s="49" t="str">
        <x:v>A. P. Shah Institute of Technology, Thane</x:v>
      </x:c>
      <x:c r="C124" s="49" t="str">
        <x:v>Thane</x:v>
      </x:c>
      <x:c r="D124" s="49" t="str">
        <x:v>2024-25</x:v>
      </x:c>
      <x:c r="E124" s="64" t="n">
        <x:v>116157</x:v>
      </x:c>
      <x:c r="F124" s="64" t="n">
        <x:v>16843</x:v>
      </x:c>
      <x:c r="G124" s="64" t="n">
        <x:v>133000</x:v>
      </x:c>
      <x:c r="H124" s="49" t="str">
        <x:v>Verified FRA annual tuition + development fee</x:v>
      </x:c>
      <x:c r="I124" s="49" t="str">
        <x:v>Normal annual approved fee; not category/seat-type payable amount</x:v>
      </x:c>
      <x:c r="J124" s="49" t="str">
        <x:v>https://fe2025.mahacet.org/StaticPages/frmInstituteSummary.aspx?InstituteCode=03475</x:v>
      </x:c>
    </x:row>
    <x:row r="125">
      <x:c r="A125" s="63" t="n">
        <x:v>3477</x:v>
      </x:c>
      <x:c r="B125" s="49" t="str">
        <x:v>Chhartrapati Shivaji Maharaj Institute of Technology, Shedung, Panvel</x:v>
      </x:c>
      <x:c r="C125" s="49" t="str">
        <x:v>Raigad</x:v>
      </x:c>
      <x:c r="D125" s="49" t="str">
        <x:v>2024-25</x:v>
      </x:c>
      <x:c r="E125" s="64" t="n">
        <x:v>81670</x:v>
      </x:c>
      <x:c r="F125" s="64" t="n">
        <x:v>8330</x:v>
      </x:c>
      <x:c r="G125" s="64" t="n">
        <x:v>90000</x:v>
      </x:c>
      <x:c r="H125" s="49" t="str">
        <x:v>Verified FRA annual tuition + development fee</x:v>
      </x:c>
      <x:c r="I125" s="49" t="str">
        <x:v>Normal annual approved fee; not category/seat-type payable amount</x:v>
      </x:c>
      <x:c r="J125" s="49" t="str">
        <x:v>https://fe2025.mahacet.org/StaticPages/frmInstituteSummary.aspx?InstituteCode=03477</x:v>
      </x:c>
    </x:row>
    <x:row r="126">
      <x:c r="A126" s="63" t="n">
        <x:v>3503</x:v>
      </x:c>
      <x:c r="B126" s="49" t="str">
        <x:v>Indala College Of Engineering, Bapsai Tal.Kalyan</x:v>
      </x:c>
      <x:c r="C126" s="49" t="str">
        <x:v>Thane</x:v>
      </x:c>
      <x:c r="D126" s="49" t="str">
        <x:v>2024-25</x:v>
      </x:c>
      <x:c r="E126" s="64" t="n">
        <x:v>0</x:v>
      </x:c>
      <x:c r="F126" s="64" t="n">
        <x:v>0</x:v>
      </x:c>
      <x:c r="G126" s="64" t="n">
        <x:v>0</x:v>
      </x:c>
      <x:c r="H126" s="49" t="str">
        <x:v>No verified FRA match in extracted history</x:v>
      </x:c>
      <x:c r="I126" s="49" t="str">
        <x:v>Normal annual approved fee; not category/seat-type payable amount</x:v>
      </x:c>
      <x:c r="J126" s="49" t="str">
        <x:v>https://fe2025.mahacet.org/StaticPages/frmInstituteSummary.aspx?InstituteCode=03503</x:v>
      </x:c>
    </x:row>
    <x:row r="127">
      <x:c r="A127" s="63" t="n">
        <x:v>3546</x:v>
      </x:c>
      <x:c r="B127" s="49" t="str">
        <x:v>Devi Mahalaxmi College of Engineering and Technology</x:v>
      </x:c>
      <x:c r="C127" s="49" t="str">
        <x:v>Thane</x:v>
      </x:c>
      <x:c r="D127" s="49"/>
      <x:c r="E127" s="64"/>
      <x:c r="F127" s="64"/>
      <x:c r="G127" s="64"/>
      <x:c r="H127" s="49" t="str">
        <x:v>No verified FRA match in extracted history</x:v>
      </x:c>
      <x:c r="I127" s="49" t="str">
        <x:v>Normal annual approved fee; not category/seat-type payable amount</x:v>
      </x:c>
      <x:c r="J127" s="49" t="str">
        <x:v>https://fe2025.mahacet.org/StaticPages/frmInstituteSummary.aspx?InstituteCode=03546</x:v>
      </x:c>
    </x:row>
    <x:row r="128">
      <x:c r="A128" s="63" t="n">
        <x:v>4004</x:v>
      </x:c>
      <x:c r="B128" s="49" t="str">
        <x:v>Government College of Engineering, Chandrapur</x:v>
      </x:c>
      <x:c r="C128" s="49" t="str">
        <x:v>Chandrapur</x:v>
      </x:c>
      <x:c r="D128" s="49"/>
      <x:c r="E128" s="64"/>
      <x:c r="F128" s="64"/>
      <x:c r="G128" s="64"/>
      <x:c r="H128" s="49" t="str">
        <x:v>No verified FRA match in extracted history</x:v>
      </x:c>
      <x:c r="I128" s="49" t="str">
        <x:v>Normal annual approved fee; not category/seat-type payable amount</x:v>
      </x:c>
      <x:c r="J128" s="49" t="str">
        <x:v>https://fe2025.mahacet.org/StaticPages/frmInstituteSummary.aspx?InstituteCode=04004</x:v>
      </x:c>
    </x:row>
    <x:row r="129">
      <x:c r="A129" s="63" t="n">
        <x:v>4005</x:v>
      </x:c>
      <x:c r="B129" s="49" t="str">
        <x:v>Laxminarayan Institute of Technology, Nagpur</x:v>
      </x:c>
      <x:c r="C129" s="49"/>
      <x:c r="D129" s="49"/>
      <x:c r="E129" s="64"/>
      <x:c r="F129" s="64"/>
      <x:c r="G129" s="64"/>
      <x:c r="H129" s="49" t="str">
        <x:v>No verified FRA match in extracted history</x:v>
      </x:c>
      <x:c r="I129" s="49" t="str">
        <x:v>Normal annual approved fee; not category/seat-type payable amount</x:v>
      </x:c>
      <x:c r="J129" s="49" t="str">
        <x:v>https://fe2025.mahacet.org/StaticPages/frmInstituteList.aspx?did=1884</x:v>
      </x:c>
    </x:row>
    <x:row r="130">
      <x:c r="A130" s="63" t="n">
        <x:v>4025</x:v>
      </x:c>
      <x:c r="B130" s="49" t="str">
        <x:v>Government College of Engineering, Nagpur</x:v>
      </x:c>
      <x:c r="C130" s="49" t="str">
        <x:v>Nagpur</x:v>
      </x:c>
      <x:c r="D130" s="49"/>
      <x:c r="E130" s="64"/>
      <x:c r="F130" s="64"/>
      <x:c r="G130" s="64"/>
      <x:c r="H130" s="49" t="str">
        <x:v>No verified FRA match in extracted history</x:v>
      </x:c>
      <x:c r="I130" s="49" t="str">
        <x:v>Normal annual approved fee; not category/seat-type payable amount</x:v>
      </x:c>
      <x:c r="J130" s="49" t="str">
        <x:v>https://fe2025.mahacet.org/StaticPages/frmInstituteSummary.aspx?InstituteCode=04025</x:v>
      </x:c>
    </x:row>
    <x:row r="131">
      <x:c r="A131" s="63" t="n">
        <x:v>4104</x:v>
      </x:c>
      <x:c r="B131" s="49" t="str">
        <x:v>Kavi Kulguru Institute of Technology &amp; Science, Ramtek</x:v>
      </x:c>
      <x:c r="C131" s="49" t="str">
        <x:v>Nagpur</x:v>
      </x:c>
      <x:c r="D131" s="49"/>
      <x:c r="E131" s="64"/>
      <x:c r="F131" s="64"/>
      <x:c r="G131" s="64"/>
      <x:c r="H131" s="49" t="str">
        <x:v>No verified FRA match in extracted history</x:v>
      </x:c>
      <x:c r="I131" s="49" t="str">
        <x:v>Normal annual approved fee; not category/seat-type payable amount</x:v>
      </x:c>
      <x:c r="J131" s="49" t="str">
        <x:v>https://fe2025.mahacet.org/StaticPages/frmInstituteSummary.aspx?InstituteCode=04104</x:v>
      </x:c>
    </x:row>
    <x:row r="132">
      <x:c r="A132" s="63" t="n">
        <x:v>4115</x:v>
      </x:c>
      <x:c r="B132" s="49" t="str">
        <x:v>Shri Ramdeobaba College of Engineering and Management, Nagpur</x:v>
      </x:c>
      <x:c r="C132" s="49"/>
      <x:c r="D132" s="49" t="str">
        <x:v>2023-24</x:v>
      </x:c>
      <x:c r="E132" s="64" t="n">
        <x:v>152174</x:v>
      </x:c>
      <x:c r="F132" s="64" t="n">
        <x:v>22826</x:v>
      </x:c>
      <x:c r="G132" s="64" t="n">
        <x:v>175000</x:v>
      </x:c>
      <x:c r="H132" s="49" t="str">
        <x:v>Verified FRA annual tuition + development fee</x:v>
      </x:c>
      <x:c r="I132" s="49" t="str">
        <x:v>Normal annual approved fee; not category/seat-type payable amount</x:v>
      </x:c>
      <x:c r="J132" s="49" t="str">
        <x:v>https://fe2025.mahacet.org/StaticPages/frmInstituteList.aspx?did=1884</x:v>
      </x:c>
    </x:row>
    <x:row r="133">
      <x:c r="A133" s="63" t="n">
        <x:v>4116</x:v>
      </x:c>
      <x:c r="B133" s="49" t="str">
        <x:v>Ankush Shikshan Sanstha's G.H.Raisoni College of Engineering, Nagpur</x:v>
      </x:c>
      <x:c r="C133" s="49" t="str">
        <x:v>Nagpur</x:v>
      </x:c>
      <x:c r="D133" s="49" t="str">
        <x:v>2024-25</x:v>
      </x:c>
      <x:c r="E133" s="64" t="n">
        <x:v>125652</x:v>
      </x:c>
      <x:c r="F133" s="64" t="n">
        <x:v>18848</x:v>
      </x:c>
      <x:c r="G133" s="64" t="n">
        <x:v>144500</x:v>
      </x:c>
      <x:c r="H133" s="49" t="str">
        <x:v>Verified FRA annual tuition + development fee</x:v>
      </x:c>
      <x:c r="I133" s="49" t="str">
        <x:v>Normal annual approved fee; not category/seat-type payable amount</x:v>
      </x:c>
      <x:c r="J133" s="49" t="str">
        <x:v>https://fe2025.mahacet.org/StaticPages/frmInstituteSummary.aspx?InstituteCode=04116</x:v>
      </x:c>
    </x:row>
    <x:row r="134">
      <x:c r="A134" s="63" t="n">
        <x:v>4118</x:v>
      </x:c>
      <x:c r="B134" s="49" t="str">
        <x:v>Bapurao Deshmukh College of Engineering, Sevagram</x:v>
      </x:c>
      <x:c r="C134" s="49" t="str">
        <x:v>Wardha</x:v>
      </x:c>
      <x:c r="D134" s="49" t="str">
        <x:v>2024-25</x:v>
      </x:c>
      <x:c r="E134" s="64" t="n">
        <x:v>79295</x:v>
      </x:c>
      <x:c r="F134" s="64" t="n">
        <x:v>10705</x:v>
      </x:c>
      <x:c r="G134" s="64" t="n">
        <x:v>90000</x:v>
      </x:c>
      <x:c r="H134" s="49" t="str">
        <x:v>Verified FRA annual tuition + development fee</x:v>
      </x:c>
      <x:c r="I134" s="49" t="str">
        <x:v>Normal annual approved fee; not category/seat-type payable amount</x:v>
      </x:c>
      <x:c r="J134" s="49" t="str">
        <x:v>https://fe2025.mahacet.org/StaticPages/frmInstituteSummary.aspx?InstituteCode=04118</x:v>
      </x:c>
    </x:row>
    <x:row r="135">
      <x:c r="A135" s="63" t="n">
        <x:v>4123</x:v>
      </x:c>
      <x:c r="B135" s="49" t="str">
        <x:v>Lokmanya Tilak Jankalyan Shikshan Sanstha, Priyadarshani College of Engineering, Nagpur</x:v>
      </x:c>
      <x:c r="C135" s="49" t="str">
        <x:v>Nagpur</x:v>
      </x:c>
      <x:c r="D135" s="49" t="str">
        <x:v>2024-25</x:v>
      </x:c>
      <x:c r="E135" s="64" t="n">
        <x:v>107391</x:v>
      </x:c>
      <x:c r="F135" s="64" t="n">
        <x:v>16109</x:v>
      </x:c>
      <x:c r="G135" s="64" t="n">
        <x:v>123500</x:v>
      </x:c>
      <x:c r="H135" s="49" t="str">
        <x:v>Verified FRA annual tuition + development fee</x:v>
      </x:c>
      <x:c r="I135" s="49" t="str">
        <x:v>Normal annual approved fee; not category/seat-type payable amount</x:v>
      </x:c>
      <x:c r="J135" s="49" t="str">
        <x:v>https://fe2025.mahacet.org/StaticPages/frmInstituteSummary.aspx?InstituteCode=04123</x:v>
      </x:c>
    </x:row>
    <x:row r="136">
      <x:c r="A136" s="63" t="n">
        <x:v>4133</x:v>
      </x:c>
      <x:c r="B136" s="49" t="str">
        <x:v>Sanmarg Shikshan Sanstha's Smt. Radhikatai Pandav College of Engineering, Nagpur</x:v>
      </x:c>
      <x:c r="C136" s="49" t="str">
        <x:v>Nagpur</x:v>
      </x:c>
      <x:c r="D136" s="49" t="str">
        <x:v>2024-25</x:v>
      </x:c>
      <x:c r="E136" s="64" t="n">
        <x:v>74782</x:v>
      </x:c>
      <x:c r="F136" s="64" t="n">
        <x:v>11218</x:v>
      </x:c>
      <x:c r="G136" s="64" t="n">
        <x:v>86000</x:v>
      </x:c>
      <x:c r="H136" s="49" t="str">
        <x:v>Verified FRA annual tuition + development fee</x:v>
      </x:c>
      <x:c r="I136" s="49" t="str">
        <x:v>Normal annual approved fee; not category/seat-type payable amount</x:v>
      </x:c>
      <x:c r="J136" s="49" t="str">
        <x:v>https://fe2025.mahacet.org/StaticPages/frmInstituteSummary.aspx?InstituteCode=04133</x:v>
      </x:c>
    </x:row>
    <x:row r="137">
      <x:c r="A137" s="63" t="n">
        <x:v>4134</x:v>
      </x:c>
      <x:c r="B137" s="49" t="str">
        <x:v>Guru Nanak Institute of Engineering &amp; Technology,Kalmeshwar, Nagpur</x:v>
      </x:c>
      <x:c r="C137" s="49" t="str">
        <x:v>Nagpur</x:v>
      </x:c>
      <x:c r="D137" s="49" t="str">
        <x:v>2024-25</x:v>
      </x:c>
      <x:c r="E137" s="64" t="n">
        <x:v>54813</x:v>
      </x:c>
      <x:c r="F137" s="64" t="n">
        <x:v>6687</x:v>
      </x:c>
      <x:c r="G137" s="64" t="n">
        <x:v>61500</x:v>
      </x:c>
      <x:c r="H137" s="49" t="str">
        <x:v>Verified FRA annual tuition + development fee</x:v>
      </x:c>
      <x:c r="I137" s="49" t="str">
        <x:v>Normal annual approved fee; not category/seat-type payable amount</x:v>
      </x:c>
      <x:c r="J137" s="49" t="str">
        <x:v>https://fe2025.mahacet.org/StaticPages/frmInstituteSummary.aspx?InstituteCode=04134</x:v>
      </x:c>
    </x:row>
    <x:row r="138">
      <x:c r="A138" s="63" t="n">
        <x:v>4135</x:v>
      </x:c>
      <x:c r="B138" s="49" t="str">
        <x:v>Amar Seva Mandal's Shree Govindrao Vanjari College of Engineering &amp; Technology, Nagpur</x:v>
      </x:c>
      <x:c r="C138" s="49" t="str">
        <x:v>Nagpur</x:v>
      </x:c>
      <x:c r="D138" s="49" t="str">
        <x:v>2024-25</x:v>
      </x:c>
      <x:c r="E138" s="64" t="n">
        <x:v>89286</x:v>
      </x:c>
      <x:c r="F138" s="64" t="n">
        <x:v>10714</x:v>
      </x:c>
      <x:c r="G138" s="64" t="n">
        <x:v>100000</x:v>
      </x:c>
      <x:c r="H138" s="49" t="str">
        <x:v>Verified FRA annual tuition + development fee</x:v>
      </x:c>
      <x:c r="I138" s="49" t="str">
        <x:v>Normal annual approved fee; not category/seat-type payable amount</x:v>
      </x:c>
      <x:c r="J138" s="49" t="str">
        <x:v>https://fe2025.mahacet.org/StaticPages/frmInstituteSummary.aspx?InstituteCode=04135</x:v>
      </x:c>
    </x:row>
    <x:row r="139">
      <x:c r="A139" s="63" t="n">
        <x:v>4136</x:v>
      </x:c>
      <x:c r="B139" s="49" t="str">
        <x:v>Lokmanya Tilak Jankalyan Shikshan Sastha, Priyadarshini J. L. College Of Engineering, Nagpur</x:v>
      </x:c>
      <x:c r="C139" s="49" t="str">
        <x:v>Nagpur</x:v>
      </x:c>
      <x:c r="D139" s="49" t="str">
        <x:v>2024-25</x:v>
      </x:c>
      <x:c r="E139" s="64" t="n">
        <x:v>93913</x:v>
      </x:c>
      <x:c r="F139" s="64" t="n">
        <x:v>14087</x:v>
      </x:c>
      <x:c r="G139" s="64" t="n">
        <x:v>108000</x:v>
      </x:c>
      <x:c r="H139" s="49" t="str">
        <x:v>Verified FRA annual tuition + development fee</x:v>
      </x:c>
      <x:c r="I139" s="49" t="str">
        <x:v>Normal annual approved fee; not category/seat-type payable amount</x:v>
      </x:c>
      <x:c r="J139" s="49" t="str">
        <x:v>https://fe2025.mahacet.org/StaticPages/frmInstituteList.aspx?did=1884</x:v>
      </x:c>
    </x:row>
    <x:row r="140">
      <x:c r="A140" s="63" t="n">
        <x:v>4137</x:v>
      </x:c>
      <x:c r="B140" s="49" t="str">
        <x:v>Sir Shantilal Badjate Charitable Trust's S. B. Jain Institute of technology, Management &amp; Research, Nagpur</x:v>
      </x:c>
      <x:c r="C140" s="49" t="str">
        <x:v>Nagpur</x:v>
      </x:c>
      <x:c r="D140" s="49" t="str">
        <x:v>2024-25</x:v>
      </x:c>
      <x:c r="E140" s="64" t="n">
        <x:v>98696</x:v>
      </x:c>
      <x:c r="F140" s="64" t="n">
        <x:v>14804</x:v>
      </x:c>
      <x:c r="G140" s="64" t="n">
        <x:v>113500</x:v>
      </x:c>
      <x:c r="H140" s="49" t="str">
        <x:v>Verified FRA annual tuition + development fee</x:v>
      </x:c>
      <x:c r="I140" s="49" t="str">
        <x:v>Normal annual approved fee; not category/seat-type payable amount</x:v>
      </x:c>
      <x:c r="J140" s="49" t="str">
        <x:v>https://fe2025.mahacet.org/StaticPages/frmInstituteSummary.aspx?InstituteCode=04137</x:v>
      </x:c>
    </x:row>
    <x:row r="141">
      <x:c r="A141" s="63" t="n">
        <x:v>4138</x:v>
      </x:c>
      <x:c r="B141" s="49" t="str">
        <x:v>Jaidev Education Society, J D College of Engineering and Management, Nagpur</x:v>
      </x:c>
      <x:c r="C141" s="49" t="str">
        <x:v>Nagpur</x:v>
      </x:c>
      <x:c r="D141" s="49" t="str">
        <x:v>2024-25</x:v>
      </x:c>
      <x:c r="E141" s="64" t="n">
        <x:v>91305</x:v>
      </x:c>
      <x:c r="F141" s="64" t="n">
        <x:v>13695</x:v>
      </x:c>
      <x:c r="G141" s="64" t="n">
        <x:v>105000</x:v>
      </x:c>
      <x:c r="H141" s="49" t="str">
        <x:v>Verified FRA annual tuition + development fee</x:v>
      </x:c>
      <x:c r="I141" s="49" t="str">
        <x:v>Normal annual approved fee; not category/seat-type payable amount</x:v>
      </x:c>
      <x:c r="J141" s="49" t="str">
        <x:v>https://fe2025.mahacet.org/StaticPages/frmInstituteSummary.aspx?InstituteCode=04138</x:v>
      </x:c>
    </x:row>
    <x:row r="142">
      <x:c r="A142" s="63" t="n">
        <x:v>4139</x:v>
      </x:c>
      <x:c r="B142" s="49" t="str">
        <x:v>Samridhi Sarwajanik Charitable Trust, Jhulelal Institute of Technology, Nagpur</x:v>
      </x:c>
      <x:c r="C142" s="49" t="str">
        <x:v>Nagpur</x:v>
      </x:c>
      <x:c r="D142" s="49" t="str">
        <x:v>2024-25</x:v>
      </x:c>
      <x:c r="E142" s="64" t="n">
        <x:v>95652</x:v>
      </x:c>
      <x:c r="F142" s="64" t="n">
        <x:v>14348</x:v>
      </x:c>
      <x:c r="G142" s="64" t="n">
        <x:v>110000</x:v>
      </x:c>
      <x:c r="H142" s="49" t="str">
        <x:v>Verified FRA annual tuition + development fee</x:v>
      </x:c>
      <x:c r="I142" s="49" t="str">
        <x:v>Normal annual approved fee; not category/seat-type payable amount</x:v>
      </x:c>
      <x:c r="J142" s="49" t="str">
        <x:v>https://fe2025.mahacet.org/StaticPages/frmInstituteSummary.aspx?InstituteCode=04139</x:v>
      </x:c>
    </x:row>
    <x:row r="143">
      <x:c r="A143" s="63" t="n">
        <x:v>4141</x:v>
      </x:c>
      <x:c r="B143" s="49" t="str">
        <x:v>Shriram Gram Vikas Shikshan Sanstha, Vilasrao Deshmukh College of Engineering and Technology, Nagpur</x:v>
      </x:c>
      <x:c r="C143" s="49" t="str">
        <x:v>Nagpur</x:v>
      </x:c>
      <x:c r="D143" s="49" t="str">
        <x:v>2024-25</x:v>
      </x:c>
      <x:c r="E143" s="64" t="n">
        <x:v>66363</x:v>
      </x:c>
      <x:c r="F143" s="64" t="n">
        <x:v>6637</x:v>
      </x:c>
      <x:c r="G143" s="64" t="n">
        <x:v>73000</x:v>
      </x:c>
      <x:c r="H143" s="49" t="str">
        <x:v>Verified FRA annual tuition + development fee</x:v>
      </x:c>
      <x:c r="I143" s="49" t="str">
        <x:v>Normal annual approved fee; not category/seat-type payable amount</x:v>
      </x:c>
      <x:c r="J143" s="49" t="str">
        <x:v>https://fe2025.mahacet.org/StaticPages/frmInstituteSummary.aspx?InstituteCode=04141</x:v>
      </x:c>
    </x:row>
    <x:row r="144">
      <x:c r="A144" s="63" t="n">
        <x:v>4142</x:v>
      </x:c>
      <x:c r="B144" s="49" t="str">
        <x:v>G H Raisoni College of Engineering &amp; Management, Nagpur</x:v>
      </x:c>
      <x:c r="C144" s="49" t="str">
        <x:v>Nagpur</x:v>
      </x:c>
      <x:c r="D144" s="49" t="str">
        <x:v>2024-25</x:v>
      </x:c>
      <x:c r="E144" s="64" t="n">
        <x:v>107391</x:v>
      </x:c>
      <x:c r="F144" s="64" t="n">
        <x:v>16109</x:v>
      </x:c>
      <x:c r="G144" s="64" t="n">
        <x:v>123500</x:v>
      </x:c>
      <x:c r="H144" s="49" t="str">
        <x:v>Verified FRA annual tuition + development fee</x:v>
      </x:c>
      <x:c r="I144" s="49" t="str">
        <x:v>Normal annual approved fee; not category/seat-type payable amount</x:v>
      </x:c>
      <x:c r="J144" s="49" t="str">
        <x:v>https://fe2025.mahacet.org/StaticPages/frmInstituteSummary.aspx?InstituteCode=04142</x:v>
      </x:c>
    </x:row>
    <x:row r="145">
      <x:c r="A145" s="63" t="n">
        <x:v>4143</x:v>
      </x:c>
      <x:c r="B145" s="49" t="str">
        <x:v>Sanmarg Shikshan Sanstha, Mandukarrao Pandav College of Engineering, Bhandara</x:v>
      </x:c>
      <x:c r="C145" s="49" t="str">
        <x:v>Bhandara</x:v>
      </x:c>
      <x:c r="D145" s="49" t="str">
        <x:v>2024-25</x:v>
      </x:c>
      <x:c r="E145" s="64" t="n">
        <x:v>67273</x:v>
      </x:c>
      <x:c r="F145" s="64" t="n">
        <x:v>6727</x:v>
      </x:c>
      <x:c r="G145" s="64" t="n">
        <x:v>74000</x:v>
      </x:c>
      <x:c r="H145" s="49" t="str">
        <x:v>Verified FRA annual tuition + development fee</x:v>
      </x:c>
      <x:c r="I145" s="49" t="str">
        <x:v>Normal annual approved fee; not category/seat-type payable amount</x:v>
      </x:c>
      <x:c r="J145" s="49" t="str">
        <x:v>https://fe2025.mahacet.org/StaticPages/frmInstituteSummary.aspx?InstituteCode=04143</x:v>
      </x:c>
    </x:row>
    <x:row r="146">
      <x:c r="A146" s="63" t="n">
        <x:v>4144</x:v>
      </x:c>
      <x:c r="B146" s="49" t="str">
        <x:v>Shri. Sai Shikshan Sanstha, Nagpur Institute of Technology, Nagpur</x:v>
      </x:c>
      <x:c r="C146" s="49" t="str">
        <x:v>Nagpur</x:v>
      </x:c>
      <x:c r="D146" s="49" t="str">
        <x:v>2024-25</x:v>
      </x:c>
      <x:c r="E146" s="64" t="n">
        <x:v>90505</x:v>
      </x:c>
      <x:c r="F146" s="64" t="n">
        <x:v>11495</x:v>
      </x:c>
      <x:c r="G146" s="64" t="n">
        <x:v>102000</x:v>
      </x:c>
      <x:c r="H146" s="49" t="str">
        <x:v>Verified FRA annual tuition + development fee</x:v>
      </x:c>
      <x:c r="I146" s="49" t="str">
        <x:v>Normal annual approved fee; not category/seat-type payable amount</x:v>
      </x:c>
      <x:c r="J146" s="49" t="str">
        <x:v>https://fe2025.mahacet.org/StaticPages/frmInstituteSummary.aspx?InstituteCode=04144</x:v>
      </x:c>
    </x:row>
    <x:row r="147">
      <x:c r="A147" s="63" t="n">
        <x:v>4145</x:v>
      </x:c>
      <x:c r="B147" s="49" t="str">
        <x:v>Wainganga College of Engineering and Management, Dongargaon, Nagpur</x:v>
      </x:c>
      <x:c r="C147" s="49" t="str">
        <x:v>Nagpur</x:v>
      </x:c>
      <x:c r="D147" s="49" t="str">
        <x:v>2024-25</x:v>
      </x:c>
      <x:c r="E147" s="64" t="n">
        <x:v>79506</x:v>
      </x:c>
      <x:c r="F147" s="64" t="n">
        <x:v>10494</x:v>
      </x:c>
      <x:c r="G147" s="64" t="n">
        <x:v>90000</x:v>
      </x:c>
      <x:c r="H147" s="49" t="str">
        <x:v>Verified FRA annual tuition + development fee</x:v>
      </x:c>
      <x:c r="I147" s="49" t="str">
        <x:v>Normal annual approved fee; not category/seat-type payable amount</x:v>
      </x:c>
      <x:c r="J147" s="49" t="str">
        <x:v>https://fe2025.mahacet.org/StaticPages/frmInstituteSummary.aspx?InstituteCode=04145</x:v>
      </x:c>
    </x:row>
    <x:row r="148">
      <x:c r="A148" s="63" t="n">
        <x:v>4147</x:v>
      </x:c>
      <x:c r="B148" s="49" t="str">
        <x:v>K.D.K. College of Engineering, Nagpur</x:v>
      </x:c>
      <x:c r="C148" s="49" t="str">
        <x:v>Nagpur</x:v>
      </x:c>
      <x:c r="D148" s="49" t="str">
        <x:v>2024-25</x:v>
      </x:c>
      <x:c r="E148" s="64" t="n">
        <x:v>106956</x:v>
      </x:c>
      <x:c r="F148" s="64" t="n">
        <x:v>16044</x:v>
      </x:c>
      <x:c r="G148" s="64" t="n">
        <x:v>123000</x:v>
      </x:c>
      <x:c r="H148" s="49" t="str">
        <x:v>Verified FRA annual tuition + development fee</x:v>
      </x:c>
      <x:c r="I148" s="49" t="str">
        <x:v>Normal annual approved fee; not category/seat-type payable amount</x:v>
      </x:c>
      <x:c r="J148" s="49" t="str">
        <x:v>https://fe2025.mahacet.org/StaticPages/frmInstituteSummary.aspx?InstituteCode=04147</x:v>
      </x:c>
    </x:row>
    <x:row r="149">
      <x:c r="A149" s="63" t="n">
        <x:v>4151</x:v>
      </x:c>
      <x:c r="B149" s="49" t="str">
        <x:v>Tulsiramji Gaikwad Patil College of Engineering &amp; Technology, Nagpur</x:v>
      </x:c>
      <x:c r="C149" s="49" t="str">
        <x:v>Nagpur</x:v>
      </x:c>
      <x:c r="D149" s="49" t="str">
        <x:v>2024-25</x:v>
      </x:c>
      <x:c r="E149" s="64" t="n">
        <x:v>89565</x:v>
      </x:c>
      <x:c r="F149" s="64" t="n">
        <x:v>13435</x:v>
      </x:c>
      <x:c r="G149" s="64" t="n">
        <x:v>103000</x:v>
      </x:c>
      <x:c r="H149" s="49" t="str">
        <x:v>Verified FRA annual tuition + development fee</x:v>
      </x:c>
      <x:c r="I149" s="49" t="str">
        <x:v>Normal annual approved fee; not category/seat-type payable amount</x:v>
      </x:c>
      <x:c r="J149" s="49" t="str">
        <x:v>https://fe2025.mahacet.org/StaticPages/frmInstituteSummary.aspx?InstituteCode=04151</x:v>
      </x:c>
    </x:row>
    <x:row r="150">
      <x:c r="A150" s="63" t="n">
        <x:v>4163</x:v>
      </x:c>
      <x:c r="B150" s="49" t="str">
        <x:v>Rajiv Gandhi College of Engineering Research &amp; Technology Chandrapur</x:v>
      </x:c>
      <x:c r="C150" s="49" t="str">
        <x:v>Chandrapur</x:v>
      </x:c>
      <x:c r="D150" s="49" t="str">
        <x:v>2024-25</x:v>
      </x:c>
      <x:c r="E150" s="64" t="n">
        <x:v>107965</x:v>
      </x:c>
      <x:c r="F150" s="64" t="n">
        <x:v>14035</x:v>
      </x:c>
      <x:c r="G150" s="64" t="n">
        <x:v>122000</x:v>
      </x:c>
      <x:c r="H150" s="49" t="str">
        <x:v>Verified FRA annual tuition + development fee</x:v>
      </x:c>
      <x:c r="I150" s="49" t="str">
        <x:v>Normal annual approved fee; not category/seat-type payable amount</x:v>
      </x:c>
      <x:c r="J150" s="49" t="str">
        <x:v>https://fe2025.mahacet.org/StaticPages/frmInstituteSummary.aspx?InstituteCode=04163</x:v>
      </x:c>
    </x:row>
    <x:row r="151">
      <x:c r="A151" s="63" t="n">
        <x:v>4167</x:v>
      </x:c>
      <x:c r="B151" s="49" t="str">
        <x:v>Yeshwantrao Chavan College of Engineering,Wanadongri, Nagpur</x:v>
      </x:c>
      <x:c r="C151" s="49" t="str">
        <x:v>Nagpur</x:v>
      </x:c>
      <x:c r="D151" s="49" t="str">
        <x:v>2024-25</x:v>
      </x:c>
      <x:c r="E151" s="64" t="n">
        <x:v>139131</x:v>
      </x:c>
      <x:c r="F151" s="64" t="n">
        <x:v>20869</x:v>
      </x:c>
      <x:c r="G151" s="64" t="n">
        <x:v>160000</x:v>
      </x:c>
      <x:c r="H151" s="49" t="str">
        <x:v>Verified FRA annual tuition + development fee</x:v>
      </x:c>
      <x:c r="I151" s="49" t="str">
        <x:v>Normal annual approved fee; not category/seat-type payable amount</x:v>
      </x:c>
      <x:c r="J151" s="49" t="str">
        <x:v>https://fe2025.mahacet.org/StaticPages/frmInstituteSummary.aspx?InstituteCode=04167</x:v>
      </x:c>
    </x:row>
    <x:row r="152">
      <x:c r="A152" s="63" t="n">
        <x:v>4172</x:v>
      </x:c>
      <x:c r="B152" s="49" t="str">
        <x:v>Anjuman College of Engineering &amp; Technology, Nagpur</x:v>
      </x:c>
      <x:c r="C152" s="49" t="str">
        <x:v>Nagpur</x:v>
      </x:c>
      <x:c r="D152" s="49" t="str">
        <x:v>2024-25</x:v>
      </x:c>
      <x:c r="E152" s="64" t="n">
        <x:v>91227</x:v>
      </x:c>
      <x:c r="F152" s="64" t="n">
        <x:v>12773</x:v>
      </x:c>
      <x:c r="G152" s="64" t="n">
        <x:v>104000</x:v>
      </x:c>
      <x:c r="H152" s="49" t="str">
        <x:v>Verified FRA annual tuition + development fee</x:v>
      </x:c>
      <x:c r="I152" s="49" t="str">
        <x:v>Normal annual approved fee; not category/seat-type payable amount</x:v>
      </x:c>
      <x:c r="J152" s="49" t="str">
        <x:v>https://fe2025.mahacet.org/StaticPages/frmInstituteSummary.aspx?InstituteCode=04172</x:v>
      </x:c>
    </x:row>
    <x:row r="153">
      <x:c r="A153" s="63" t="n">
        <x:v>4174</x:v>
      </x:c>
      <x:c r="B153" s="49" t="str">
        <x:v>ST. Vincent Pallotti College of Engineering &amp; Technology, Nagpur</x:v>
      </x:c>
      <x:c r="C153" s="49" t="str">
        <x:v>Nagpur</x:v>
      </x:c>
      <x:c r="D153" s="49" t="str">
        <x:v>2024-25</x:v>
      </x:c>
      <x:c r="E153" s="64" t="n">
        <x:v>110000</x:v>
      </x:c>
      <x:c r="F153" s="64" t="n">
        <x:v>16500</x:v>
      </x:c>
      <x:c r="G153" s="64" t="n">
        <x:v>126500</x:v>
      </x:c>
      <x:c r="H153" s="49" t="str">
        <x:v>Verified FRA annual tuition + development fee</x:v>
      </x:c>
      <x:c r="I153" s="49" t="str">
        <x:v>Normal annual approved fee; not category/seat-type payable amount</x:v>
      </x:c>
      <x:c r="J153" s="49" t="str">
        <x:v>https://fe2025.mahacet.org/StaticPages/frmInstituteSummary.aspx?InstituteCode=04174</x:v>
      </x:c>
    </x:row>
    <x:row r="154">
      <x:c r="A154" s="63" t="n">
        <x:v>4175</x:v>
      </x:c>
      <x:c r="B154" s="49" t="str">
        <x:v>JMSS Shri Shankarprasad Agnihotri College of Engineering, Wardha</x:v>
      </x:c>
      <x:c r="C154" s="49" t="str">
        <x:v>Wardha</x:v>
      </x:c>
      <x:c r="D154" s="49" t="str">
        <x:v>2024-25</x:v>
      </x:c>
      <x:c r="E154" s="64" t="n">
        <x:v>67752</x:v>
      </x:c>
      <x:c r="F154" s="64" t="n">
        <x:v>7248</x:v>
      </x:c>
      <x:c r="G154" s="64" t="n">
        <x:v>75000</x:v>
      </x:c>
      <x:c r="H154" s="49" t="str">
        <x:v>Verified FRA annual tuition + development fee</x:v>
      </x:c>
      <x:c r="I154" s="49" t="str">
        <x:v>Normal annual approved fee; not category/seat-type payable amount</x:v>
      </x:c>
      <x:c r="J154" s="49" t="str">
        <x:v>https://fe2025.mahacet.org/StaticPages/frmInstituteSummary.aspx?InstituteCode=04175</x:v>
      </x:c>
    </x:row>
    <x:row r="155">
      <x:c r="A155" s="63" t="n">
        <x:v>4177</x:v>
      </x:c>
      <x:c r="B155" s="49" t="str">
        <x:v>Priyadarshini Bhagwati College of Engineering, Harpur Nagar, Umred Road,Nagpur</x:v>
      </x:c>
      <x:c r="C155" s="49" t="str">
        <x:v>Nagpur</x:v>
      </x:c>
      <x:c r="D155" s="49" t="str">
        <x:v>2024-25</x:v>
      </x:c>
      <x:c r="E155" s="64" t="n">
        <x:v>91838</x:v>
      </x:c>
      <x:c r="F155" s="64" t="n">
        <x:v>11662</x:v>
      </x:c>
      <x:c r="G155" s="64" t="n">
        <x:v>103500</x:v>
      </x:c>
      <x:c r="H155" s="49" t="str">
        <x:v>Verified FRA annual tuition + development fee</x:v>
      </x:c>
      <x:c r="I155" s="49" t="str">
        <x:v>Normal annual approved fee; not category/seat-type payable amount</x:v>
      </x:c>
      <x:c r="J155" s="49" t="str">
        <x:v>https://fe2025.mahacet.org/StaticPages/frmInstituteSummary.aspx?InstituteCode=04177</x:v>
      </x:c>
    </x:row>
    <x:row r="156">
      <x:c r="A156" s="63" t="n">
        <x:v>4181</x:v>
      </x:c>
      <x:c r="B156" s="49" t="str">
        <x:v>Swaminarayan Siddhanta Institute Of Technology, Nagpur</x:v>
      </x:c>
      <x:c r="C156" s="49" t="str">
        <x:v>Nagpur</x:v>
      </x:c>
      <x:c r="D156" s="49" t="str">
        <x:v>2024-25</x:v>
      </x:c>
      <x:c r="E156" s="64" t="n">
        <x:v>53085</x:v>
      </x:c>
      <x:c r="F156" s="64" t="n">
        <x:v>5415</x:v>
      </x:c>
      <x:c r="G156" s="64" t="n">
        <x:v>58500</x:v>
      </x:c>
      <x:c r="H156" s="49" t="str">
        <x:v>Verified FRA annual tuition + development fee</x:v>
      </x:c>
      <x:c r="I156" s="49" t="str">
        <x:v>Normal annual approved fee; not category/seat-type payable amount</x:v>
      </x:c>
      <x:c r="J156" s="49" t="str">
        <x:v>https://fe2025.mahacet.org/StaticPages/frmInstituteSummary.aspx?InstituteCode=04181</x:v>
      </x:c>
    </x:row>
    <x:row r="157">
      <x:c r="A157" s="63" t="n">
        <x:v>4188</x:v>
      </x:c>
      <x:c r="B157" s="49" t="str">
        <x:v>Krushi Jivan Vikas Pratishthan, Ballarpur Institute of Technology, Mouza Bamni</x:v>
      </x:c>
      <x:c r="C157" s="49" t="str">
        <x:v>Chandrapur</x:v>
      </x:c>
      <x:c r="D157" s="49" t="str">
        <x:v>2024-25</x:v>
      </x:c>
      <x:c r="E157" s="64" t="n">
        <x:v>79322</x:v>
      </x:c>
      <x:c r="F157" s="64" t="n">
        <x:v>9678</x:v>
      </x:c>
      <x:c r="G157" s="64" t="n">
        <x:v>89000</x:v>
      </x:c>
      <x:c r="H157" s="49" t="str">
        <x:v>Verified FRA annual tuition + development fee</x:v>
      </x:c>
      <x:c r="I157" s="49" t="str">
        <x:v>Normal annual approved fee; not category/seat-type payable amount</x:v>
      </x:c>
      <x:c r="J157" s="49" t="str">
        <x:v>https://fe2025.mahacet.org/StaticPages/frmInstituteSummary.aspx?InstituteCode=04188</x:v>
      </x:c>
    </x:row>
    <x:row r="158">
      <x:c r="A158" s="63" t="n">
        <x:v>4190</x:v>
      </x:c>
      <x:c r="B158" s="49" t="str">
        <x:v>M.D. Yergude Memorial Shikshan Prasarak Mandal's Shri Sai College of Engineering &amp; Technology, Bhadrawati</x:v>
      </x:c>
      <x:c r="C158" s="49" t="str">
        <x:v>Chandrapur</x:v>
      </x:c>
      <x:c r="D158" s="49" t="str">
        <x:v>2024-25</x:v>
      </x:c>
      <x:c r="E158" s="64" t="n">
        <x:v>69506</x:v>
      </x:c>
      <x:c r="F158" s="64" t="n">
        <x:v>7994</x:v>
      </x:c>
      <x:c r="G158" s="64" t="n">
        <x:v>77500</x:v>
      </x:c>
      <x:c r="H158" s="49" t="str">
        <x:v>Verified FRA annual tuition + development fee</x:v>
      </x:c>
      <x:c r="I158" s="49" t="str">
        <x:v>Normal annual approved fee; not category/seat-type payable amount</x:v>
      </x:c>
      <x:c r="J158" s="49" t="str">
        <x:v>https://fe2025.mahacet.org/StaticPages/frmInstituteSummary.aspx?InstituteCode=04190</x:v>
      </x:c>
    </x:row>
    <x:row r="159">
      <x:c r="A159" s="63" t="n">
        <x:v>4192</x:v>
      </x:c>
      <x:c r="B159" s="49" t="str">
        <x:v>Maitraya Education Society, Nagarjuna Institute of Engineering Technology &amp; Management, Nagpur</x:v>
      </x:c>
      <x:c r="C159" s="49" t="str">
        <x:v>Nagpur</x:v>
      </x:c>
      <x:c r="D159" s="49" t="str">
        <x:v>2024-25</x:v>
      </x:c>
      <x:c r="E159" s="64" t="n">
        <x:v>85945</x:v>
      </x:c>
      <x:c r="F159" s="64" t="n">
        <x:v>10055</x:v>
      </x:c>
      <x:c r="G159" s="64" t="n">
        <x:v>96000</x:v>
      </x:c>
      <x:c r="H159" s="49" t="str">
        <x:v>Verified FRA annual tuition + development fee</x:v>
      </x:c>
      <x:c r="I159" s="49" t="str">
        <x:v>Normal annual approved fee; not category/seat-type payable amount</x:v>
      </x:c>
      <x:c r="J159" s="49" t="str">
        <x:v>https://fe2025.mahacet.org/StaticPages/frmInstituteSummary.aspx?InstituteCode=04192</x:v>
      </x:c>
    </x:row>
    <x:row r="160">
      <x:c r="A160" s="63" t="n">
        <x:v>4193</x:v>
      </x:c>
      <x:c r="B160" s="49" t="str">
        <x:v>K.D.M. Education Society, Vidharbha Institute of Technology,Umred Road ,Nagpur</x:v>
      </x:c>
      <x:c r="C160" s="49" t="str">
        <x:v>Nagpur</x:v>
      </x:c>
      <x:c r="D160" s="49" t="str">
        <x:v>2024-25</x:v>
      </x:c>
      <x:c r="E160" s="64" t="n">
        <x:v>77297</x:v>
      </x:c>
      <x:c r="F160" s="64" t="n">
        <x:v>10203</x:v>
      </x:c>
      <x:c r="G160" s="64" t="n">
        <x:v>87500</x:v>
      </x:c>
      <x:c r="H160" s="49" t="str">
        <x:v>Verified FRA annual tuition + development fee</x:v>
      </x:c>
      <x:c r="I160" s="49" t="str">
        <x:v>Normal annual approved fee; not category/seat-type payable amount</x:v>
      </x:c>
      <x:c r="J160" s="49" t="str">
        <x:v>https://fe2025.mahacet.org/StaticPages/frmInstituteSummary.aspx?InstituteCode=04193</x:v>
      </x:c>
    </x:row>
    <x:row r="161">
      <x:c r="A161" s="63" t="n">
        <x:v>4196</x:v>
      </x:c>
      <x:c r="B161" s="49" t="str">
        <x:v>Gurunanak Educational Society's Gurunanak Institute of Technology, Nagpur</x:v>
      </x:c>
      <x:c r="C161" s="49" t="str">
        <x:v>Nagpur</x:v>
      </x:c>
      <x:c r="D161" s="49" t="str">
        <x:v>2024-25</x:v>
      </x:c>
      <x:c r="E161" s="64" t="n">
        <x:v>49465</x:v>
      </x:c>
      <x:c r="F161" s="64" t="n">
        <x:v>6035</x:v>
      </x:c>
      <x:c r="G161" s="64" t="n">
        <x:v>55500</x:v>
      </x:c>
      <x:c r="H161" s="49" t="str">
        <x:v>Verified FRA annual tuition + development fee</x:v>
      </x:c>
      <x:c r="I161" s="49" t="str">
        <x:v>Normal annual approved fee; not category/seat-type payable amount</x:v>
      </x:c>
      <x:c r="J161" s="49" t="str">
        <x:v>https://fe2025.mahacet.org/StaticPages/frmInstituteSummary.aspx?InstituteCode=04196</x:v>
      </x:c>
    </x:row>
    <x:row r="162">
      <x:c r="A162" s="63" t="n">
        <x:v>4197</x:v>
      </x:c>
      <x:c r="B162" s="49" t="str">
        <x:v>Jai Mahakali Shikshan Sanstha, Agnihotri College of Engineering, Sindhi(Meghe)</x:v>
      </x:c>
      <x:c r="C162" s="49" t="str">
        <x:v>Wardha</x:v>
      </x:c>
      <x:c r="D162" s="49" t="str">
        <x:v>2024-25</x:v>
      </x:c>
      <x:c r="E162" s="64" t="n">
        <x:v>76993</x:v>
      </x:c>
      <x:c r="F162" s="64" t="n">
        <x:v>8007</x:v>
      </x:c>
      <x:c r="G162" s="64" t="n">
        <x:v>85000</x:v>
      </x:c>
      <x:c r="H162" s="49" t="str">
        <x:v>Verified FRA annual tuition + development fee</x:v>
      </x:c>
      <x:c r="I162" s="49" t="str">
        <x:v>Normal annual approved fee; not category/seat-type payable amount</x:v>
      </x:c>
      <x:c r="J162" s="49" t="str">
        <x:v>https://fe2025.mahacet.org/StaticPages/frmInstituteSummary.aspx?InstituteCode=04197</x:v>
      </x:c>
    </x:row>
    <x:row r="163">
      <x:c r="A163" s="63" t="n">
        <x:v>4285</x:v>
      </x:c>
      <x:c r="B163" s="49" t="str">
        <x:v>V M Institute of Engineering and Technology, Dongargaon, Nagpur</x:v>
      </x:c>
      <x:c r="C163" s="49" t="str">
        <x:v>Nagpur</x:v>
      </x:c>
      <x:c r="D163" s="49" t="str">
        <x:v>2024-25</x:v>
      </x:c>
      <x:c r="E163" s="64" t="n">
        <x:v>96205</x:v>
      </x:c>
      <x:c r="F163" s="64" t="n">
        <x:v>10295</x:v>
      </x:c>
      <x:c r="G163" s="64" t="n">
        <x:v>106500</x:v>
      </x:c>
      <x:c r="H163" s="49" t="str">
        <x:v>Verified FRA annual tuition + development fee</x:v>
      </x:c>
      <x:c r="I163" s="49" t="str">
        <x:v>Normal annual approved fee; not category/seat-type payable amount</x:v>
      </x:c>
      <x:c r="J163" s="49" t="str">
        <x:v>https://fe2025.mahacet.org/StaticPages/frmInstituteList.aspx?did=1884</x:v>
      </x:c>
    </x:row>
    <x:row r="164">
      <x:c r="A164" s="63" t="n">
        <x:v>4302</x:v>
      </x:c>
      <x:c r="B164" s="49" t="str">
        <x:v>Gondia Education Society's Manoharbhai Patel Institute Of Engineering &amp; Technology, Shahapur, Bhandara</x:v>
      </x:c>
      <x:c r="C164" s="49" t="str">
        <x:v>Bhandara</x:v>
      </x:c>
      <x:c r="D164" s="49" t="str">
        <x:v>2024-25</x:v>
      </x:c>
      <x:c r="E164" s="64" t="n">
        <x:v>57399</x:v>
      </x:c>
      <x:c r="F164" s="64" t="n">
        <x:v>6601</x:v>
      </x:c>
      <x:c r="G164" s="64" t="n">
        <x:v>64000</x:v>
      </x:c>
      <x:c r="H164" s="49" t="str">
        <x:v>Verified FRA annual tuition + development fee</x:v>
      </x:c>
      <x:c r="I164" s="49" t="str">
        <x:v>Normal annual approved fee; not category/seat-type payable amount</x:v>
      </x:c>
      <x:c r="J164" s="49" t="str">
        <x:v>https://fe2025.mahacet.org/StaticPages/frmInstituteSummary.aspx?InstituteCode=04302</x:v>
      </x:c>
    </x:row>
    <x:row r="165">
      <x:c r="A165" s="63" t="n">
        <x:v>4304</x:v>
      </x:c>
      <x:c r="B165" s="49" t="str">
        <x:v>Cummins College of Engineering For Women, Sukhali (Gupchup), Tal. Hingna Hingna Nagpur</x:v>
      </x:c>
      <x:c r="C165" s="49" t="str">
        <x:v>Nagpur</x:v>
      </x:c>
      <x:c r="D165" s="49" t="str">
        <x:v>2024-25</x:v>
      </x:c>
      <x:c r="E165" s="64" t="n">
        <x:v>100265</x:v>
      </x:c>
      <x:c r="F165" s="64" t="n">
        <x:v>13735</x:v>
      </x:c>
      <x:c r="G165" s="64" t="n">
        <x:v>114000</x:v>
      </x:c>
      <x:c r="H165" s="49" t="str">
        <x:v>Verified FRA annual tuition + development fee</x:v>
      </x:c>
      <x:c r="I165" s="49" t="str">
        <x:v>Normal annual approved fee; not category/seat-type payable amount</x:v>
      </x:c>
      <x:c r="J165" s="49" t="str">
        <x:v>https://fe2025.mahacet.org/StaticPages/frmInstituteSummary.aspx?InstituteCode=04304</x:v>
      </x:c>
    </x:row>
    <x:row r="166">
      <x:c r="A166" s="63" t="n">
        <x:v>4613</x:v>
      </x:c>
      <x:c r="B166" s="49" t="str">
        <x:v>Suryodaya College of Engineering &amp; Technology, Nagpur</x:v>
      </x:c>
      <x:c r="C166" s="49" t="str">
        <x:v>Nagpur</x:v>
      </x:c>
      <x:c r="D166" s="49" t="str">
        <x:v>2024-25</x:v>
      </x:c>
      <x:c r="E166" s="64" t="n">
        <x:v>78223</x:v>
      </x:c>
      <x:c r="F166" s="64" t="n">
        <x:v>9777</x:v>
      </x:c>
      <x:c r="G166" s="64" t="n">
        <x:v>88000</x:v>
      </x:c>
      <x:c r="H166" s="49" t="str">
        <x:v>Verified FRA annual tuition + development fee</x:v>
      </x:c>
      <x:c r="I166" s="49" t="str">
        <x:v>Normal annual approved fee; not category/seat-type payable amount</x:v>
      </x:c>
      <x:c r="J166" s="49" t="str">
        <x:v>https://fe2025.mahacet.org/StaticPages/frmInstituteSummary.aspx?InstituteCode=04613</x:v>
      </x:c>
    </x:row>
    <x:row r="167">
      <x:c r="A167" s="63" t="n">
        <x:v>4648</x:v>
      </x:c>
      <x:c r="B167" s="49" t="str">
        <x:v>R.V. Parankar College of Engineering &amp; Technology, Arvi, Dist Wardha</x:v>
      </x:c>
      <x:c r="C167" s="49" t="str">
        <x:v>Wardha</x:v>
      </x:c>
      <x:c r="D167" s="49" t="str">
        <x:v>2024-25</x:v>
      </x:c>
      <x:c r="E167" s="64" t="n">
        <x:v>50678</x:v>
      </x:c>
      <x:c r="F167" s="64" t="n">
        <x:v>5322</x:v>
      </x:c>
      <x:c r="G167" s="64" t="n">
        <x:v>56000</x:v>
      </x:c>
      <x:c r="H167" s="49" t="str">
        <x:v>Verified FRA annual tuition + development fee</x:v>
      </x:c>
      <x:c r="I167" s="49" t="str">
        <x:v>Normal annual approved fee; not category/seat-type payable amount</x:v>
      </x:c>
      <x:c r="J167" s="49" t="str">
        <x:v>https://fe2025.mahacet.org/StaticPages/frmInstituteSummary.aspx?InstituteCode=04648</x:v>
      </x:c>
    </x:row>
    <x:row r="168">
      <x:c r="A168" s="63" t="n">
        <x:v>4649</x:v>
      </x:c>
      <x:c r="B168" s="49" t="str">
        <x:v>Bajaj Institute of Technology, Wardha</x:v>
      </x:c>
      <x:c r="C168" s="49" t="str">
        <x:v>Wardha</x:v>
      </x:c>
      <x:c r="D168" s="49" t="str">
        <x:v>2024-25</x:v>
      </x:c>
      <x:c r="E168" s="64" t="n">
        <x:v>90335</x:v>
      </x:c>
      <x:c r="F168" s="64" t="n">
        <x:v>10390</x:v>
      </x:c>
      <x:c r="G168" s="64" t="n">
        <x:v>100725</x:v>
      </x:c>
      <x:c r="H168" s="49" t="str">
        <x:v>Verified FRA annual tuition + development fee</x:v>
      </x:c>
      <x:c r="I168" s="49" t="str">
        <x:v>Normal annual approved fee; not category/seat-type payable amount</x:v>
      </x:c>
      <x:c r="J168" s="49" t="str">
        <x:v>https://fe2025.mahacet.org/StaticPages/frmInstituteSummary.aspx?InstituteCode=04649</x:v>
      </x:c>
    </x:row>
    <x:row r="169">
      <x:c r="A169" s="63" t="n">
        <x:v>4679</x:v>
      </x:c>
      <x:c r="B169" s="49" t="str">
        <x:v>Karanjekar College of Engineering &amp; Management, Sakoli</x:v>
      </x:c>
      <x:c r="C169" s="49" t="str">
        <x:v>Bhandara</x:v>
      </x:c>
      <x:c r="D169" s="49"/>
      <x:c r="E169" s="64"/>
      <x:c r="F169" s="64"/>
      <x:c r="G169" s="64"/>
      <x:c r="H169" s="49" t="str">
        <x:v>No verified FRA match in extracted history</x:v>
      </x:c>
      <x:c r="I169" s="49" t="str">
        <x:v>Normal annual approved fee; not category/seat-type payable amount</x:v>
      </x:c>
      <x:c r="J169" s="49" t="str">
        <x:v>https://fe2025.mahacet.org/StaticPages/frmInstituteSummary.aspx?InstituteCode=04679</x:v>
      </x:c>
    </x:row>
    <x:row r="170">
      <x:c r="A170" s="63" t="n">
        <x:v>4703</x:v>
      </x:c>
      <x:c r="B170" s="49" t="str">
        <x:v>Somayya Institute of Technology, Chandrapur</x:v>
      </x:c>
      <x:c r="C170" s="49" t="str">
        <x:v>Chandrapur</x:v>
      </x:c>
      <x:c r="D170" s="49"/>
      <x:c r="E170" s="64"/>
      <x:c r="F170" s="64"/>
      <x:c r="G170" s="64"/>
      <x:c r="H170" s="49" t="str">
        <x:v>No verified FRA match in extracted history</x:v>
      </x:c>
      <x:c r="I170" s="49" t="str">
        <x:v>Normal annual approved fee; not category/seat-type payable amount</x:v>
      </x:c>
      <x:c r="J170" s="49" t="str">
        <x:v>https://fe2025.mahacet.org/StaticPages/frmInstituteSummary.aspx?InstituteCode=04703</x:v>
      </x:c>
    </x:row>
    <x:row r="171">
      <x:c r="A171" s="63" t="n">
        <x:v>5003</x:v>
      </x:c>
      <x:c r="B171" s="49" t="str">
        <x:v>University Institute of Chemical Technology, North Maharashtra University, Jalgaon</x:v>
      </x:c>
      <x:c r="C171" s="49" t="str">
        <x:v>Jalgaon</x:v>
      </x:c>
      <x:c r="D171" s="49"/>
      <x:c r="E171" s="64"/>
      <x:c r="F171" s="64"/>
      <x:c r="G171" s="64"/>
      <x:c r="H171" s="49" t="str">
        <x:v>No verified FRA match in extracted history</x:v>
      </x:c>
      <x:c r="I171" s="49" t="str">
        <x:v>Normal annual approved fee; not category/seat-type payable amount</x:v>
      </x:c>
      <x:c r="J171" s="49" t="str">
        <x:v>https://fe2025.mahacet.org/StaticPages/frmInstituteSummary.aspx?InstituteCode=05003</x:v>
      </x:c>
    </x:row>
    <x:row r="172">
      <x:c r="A172" s="63" t="n">
        <x:v>5004</x:v>
      </x:c>
      <x:c r="B172" s="49" t="str">
        <x:v>Government College of Engineering, Jalgaon</x:v>
      </x:c>
      <x:c r="C172" s="49" t="str">
        <x:v>Jalgaon</x:v>
      </x:c>
      <x:c r="D172" s="49"/>
      <x:c r="E172" s="64"/>
      <x:c r="F172" s="64"/>
      <x:c r="G172" s="64"/>
      <x:c r="H172" s="49" t="str">
        <x:v>No verified FRA match in extracted history</x:v>
      </x:c>
      <x:c r="I172" s="49" t="str">
        <x:v>Normal annual approved fee; not category/seat-type payable amount</x:v>
      </x:c>
      <x:c r="J172" s="49" t="str">
        <x:v>https://fe2025.mahacet.org/StaticPages/frmInstituteSummary.aspx?InstituteCode=05004</x:v>
      </x:c>
    </x:row>
    <x:row r="173">
      <x:c r="A173" s="63" t="n">
        <x:v>5103</x:v>
      </x:c>
      <x:c r="B173" s="49" t="str">
        <x:v>Shri Shivaji Vidya Prasarak Sanstha's Late Bapusaheb Shivaji Rao Deore College of Engineering,Dhule</x:v>
      </x:c>
      <x:c r="C173" s="49" t="str">
        <x:v>Dhule</x:v>
      </x:c>
      <x:c r="D173" s="49" t="str">
        <x:v>2024-25</x:v>
      </x:c>
      <x:c r="E173" s="64" t="n">
        <x:v>82609</x:v>
      </x:c>
      <x:c r="F173" s="64" t="n">
        <x:v>12391</x:v>
      </x:c>
      <x:c r="G173" s="64" t="n">
        <x:v>95000</x:v>
      </x:c>
      <x:c r="H173" s="49" t="str">
        <x:v>Verified FRA annual tuition + development fee</x:v>
      </x:c>
      <x:c r="I173" s="49" t="str">
        <x:v>Normal annual approved fee; not category/seat-type payable amount</x:v>
      </x:c>
      <x:c r="J173" s="49" t="str">
        <x:v>https://fe2025.mahacet.org/StaticPages/frmInstituteSummary.aspx?InstituteCode=05103</x:v>
      </x:c>
    </x:row>
    <x:row r="174">
      <x:c r="A174" s="63" t="n">
        <x:v>5104</x:v>
      </x:c>
      <x:c r="B174" s="49" t="str">
        <x:v>Shramsadhana Bombay Trust, College of Engineering &amp; Technology, Jalgaon</x:v>
      </x:c>
      <x:c r="C174" s="49" t="str">
        <x:v>Jalgaon</x:v>
      </x:c>
      <x:c r="D174" s="49" t="str">
        <x:v>2024-25</x:v>
      </x:c>
      <x:c r="E174" s="64" t="n">
        <x:v>68723</x:v>
      </x:c>
      <x:c r="F174" s="64" t="n">
        <x:v>9277</x:v>
      </x:c>
      <x:c r="G174" s="64" t="n">
        <x:v>78000</x:v>
      </x:c>
      <x:c r="H174" s="49" t="str">
        <x:v>Verified FRA annual tuition + development fee</x:v>
      </x:c>
      <x:c r="I174" s="49" t="str">
        <x:v>Normal annual approved fee; not category/seat-type payable amount</x:v>
      </x:c>
      <x:c r="J174" s="49" t="str">
        <x:v>https://fe2025.mahacet.org/StaticPages/frmInstituteSummary.aspx?InstituteCode=05104</x:v>
      </x:c>
    </x:row>
    <x:row r="175">
      <x:c r="A175" s="63" t="n">
        <x:v>5106</x:v>
      </x:c>
      <x:c r="B175" s="49" t="str">
        <x:v>Khandesh College Education Society's College Of Engineering And Management, Jalgaon</x:v>
      </x:c>
      <x:c r="C175" s="49" t="str">
        <x:v>Jalgaon</x:v>
      </x:c>
      <x:c r="D175" s="49" t="str">
        <x:v>2024-25</x:v>
      </x:c>
      <x:c r="E175" s="64" t="n">
        <x:v>61778</x:v>
      </x:c>
      <x:c r="F175" s="64" t="n">
        <x:v>7722</x:v>
      </x:c>
      <x:c r="G175" s="64" t="n">
        <x:v>69500</x:v>
      </x:c>
      <x:c r="H175" s="49" t="str">
        <x:v>Verified FRA annual tuition + development fee</x:v>
      </x:c>
      <x:c r="I175" s="49" t="str">
        <x:v>Normal annual approved fee; not category/seat-type payable amount</x:v>
      </x:c>
      <x:c r="J175" s="49" t="str">
        <x:v>https://fe2025.mahacet.org/StaticPages/frmInstituteSummary.aspx?InstituteCode=05106</x:v>
      </x:c>
    </x:row>
    <x:row r="176">
      <x:c r="A176" s="63" t="n">
        <x:v>5108</x:v>
      </x:c>
      <x:c r="B176" s="49" t="str">
        <x:v>Maratha Vidya Prasarak Samaj's Karmaveer Adv. Baburao Ganpatrao Thakare College Of Engineering, Nashik</x:v>
      </x:c>
      <x:c r="C176" s="49" t="str">
        <x:v>Nashik</x:v>
      </x:c>
      <x:c r="D176" s="49" t="str">
        <x:v>2024-25</x:v>
      </x:c>
      <x:c r="E176" s="64" t="n">
        <x:v>110000</x:v>
      </x:c>
      <x:c r="F176" s="64" t="n">
        <x:v>16500</x:v>
      </x:c>
      <x:c r="G176" s="64" t="n">
        <x:v>126500</x:v>
      </x:c>
      <x:c r="H176" s="49" t="str">
        <x:v>Verified FRA annual tuition + development fee</x:v>
      </x:c>
      <x:c r="I176" s="49" t="str">
        <x:v>Normal annual approved fee; not category/seat-type payable amount</x:v>
      </x:c>
      <x:c r="J176" s="49" t="str">
        <x:v>https://fe2025.mahacet.org/StaticPages/frmInstituteSummary.aspx?InstituteCode=05108</x:v>
      </x:c>
    </x:row>
    <x:row r="177">
      <x:c r="A177" s="63" t="n">
        <x:v>5109</x:v>
      </x:c>
      <x:c r="B177" s="49" t="str">
        <x:v>Sandip Foundation, Sandip Institute of Technology and Research Centre, Mahiravani, Nashik</x:v>
      </x:c>
      <x:c r="C177" s="49" t="str">
        <x:v>Nashik</x:v>
      </x:c>
      <x:c r="D177" s="49" t="str">
        <x:v>2024-25</x:v>
      </x:c>
      <x:c r="E177" s="64" t="n">
        <x:v>117776</x:v>
      </x:c>
      <x:c r="F177" s="64" t="n">
        <x:v>16724</x:v>
      </x:c>
      <x:c r="G177" s="64" t="n">
        <x:v>134500</x:v>
      </x:c>
      <x:c r="H177" s="49" t="str">
        <x:v>Verified FRA annual tuition + development fee</x:v>
      </x:c>
      <x:c r="I177" s="49" t="str">
        <x:v>Normal annual approved fee; not category/seat-type payable amount</x:v>
      </x:c>
      <x:c r="J177" s="49" t="str">
        <x:v>https://fe2025.mahacet.org/StaticPages/frmInstituteSummary.aspx?InstituteCode=05109</x:v>
      </x:c>
    </x:row>
    <x:row r="178">
      <x:c r="A178" s="63" t="n">
        <x:v>5121</x:v>
      </x:c>
      <x:c r="B178" s="49" t="str">
        <x:v>K. K. Wagh Institute of Engineering Education and Research, Nashik</x:v>
      </x:c>
      <x:c r="C178" s="49" t="str">
        <x:v>Nashik</x:v>
      </x:c>
      <x:c r="D178" s="49" t="str">
        <x:v>2024-25</x:v>
      </x:c>
      <x:c r="E178" s="64" t="n">
        <x:v>128695</x:v>
      </x:c>
      <x:c r="F178" s="64" t="n">
        <x:v>19305</x:v>
      </x:c>
      <x:c r="G178" s="64" t="n">
        <x:v>148000</x:v>
      </x:c>
      <x:c r="H178" s="49" t="str">
        <x:v>Verified FRA annual tuition + development fee</x:v>
      </x:c>
      <x:c r="I178" s="49" t="str">
        <x:v>Normal annual approved fee; not category/seat-type payable amount</x:v>
      </x:c>
      <x:c r="J178" s="49" t="str">
        <x:v>https://fe2025.mahacet.org/StaticPages/frmInstituteSummary.aspx?InstituteCode=05121</x:v>
      </x:c>
    </x:row>
    <x:row r="179">
      <x:c r="A179" s="63" t="n">
        <x:v>5124</x:v>
      </x:c>
      <x:c r="B179" s="49" t="str">
        <x:v>Jagadamba Education Soc. Nashik's S.N.D. College of Engineering &amp; Reserch, Babulgaon</x:v>
      </x:c>
      <x:c r="C179" s="49" t="str">
        <x:v>Nashik</x:v>
      </x:c>
      <x:c r="D179" s="49" t="str">
        <x:v>2024-25</x:v>
      </x:c>
      <x:c r="E179" s="64" t="n">
        <x:v>70486</x:v>
      </x:c>
      <x:c r="F179" s="64" t="n">
        <x:v>9514</x:v>
      </x:c>
      <x:c r="G179" s="64" t="n">
        <x:v>80000</x:v>
      </x:c>
      <x:c r="H179" s="49" t="str">
        <x:v>Verified FRA annual tuition + development fee</x:v>
      </x:c>
      <x:c r="I179" s="49" t="str">
        <x:v>Normal annual approved fee; not category/seat-type payable amount</x:v>
      </x:c>
      <x:c r="J179" s="49" t="str">
        <x:v>https://fe2025.mahacet.org/StaticPages/frmInstituteSummary.aspx?InstituteCode=05124</x:v>
      </x:c>
    </x:row>
    <x:row r="180">
      <x:c r="A180" s="63" t="n">
        <x:v>5125</x:v>
      </x:c>
      <x:c r="B180" s="49" t="str">
        <x:v>Pravara Rural Education Society's Sir Visvesvaraya Institute of Technology, Chincholi Dist. Nashik</x:v>
      </x:c>
      <x:c r="C180" s="49" t="str">
        <x:v>Nashik</x:v>
      </x:c>
      <x:c r="D180" s="49" t="str">
        <x:v>2024-25</x:v>
      </x:c>
      <x:c r="E180" s="64" t="n">
        <x:v>79017</x:v>
      </x:c>
      <x:c r="F180" s="64" t="n">
        <x:v>9483</x:v>
      </x:c>
      <x:c r="G180" s="64" t="n">
        <x:v>88500</x:v>
      </x:c>
      <x:c r="H180" s="49" t="str">
        <x:v>Verified FRA annual tuition + development fee</x:v>
      </x:c>
      <x:c r="I180" s="49" t="str">
        <x:v>Normal annual approved fee; not category/seat-type payable amount</x:v>
      </x:c>
      <x:c r="J180" s="49" t="str">
        <x:v>https://fe2025.mahacet.org/StaticPages/frmInstituteSummary.aspx?InstituteCode=05125</x:v>
      </x:c>
    </x:row>
    <x:row r="181">
      <x:c r="A181" s="63" t="n">
        <x:v>5130</x:v>
      </x:c>
      <x:c r="B181" s="49" t="str">
        <x:v>Brahma Valley College of Engineering &amp; Research, Trimbakeshwar, Nashik</x:v>
      </x:c>
      <x:c r="C181" s="49" t="str">
        <x:v>Nashik</x:v>
      </x:c>
      <x:c r="D181" s="49"/>
      <x:c r="E181" s="64"/>
      <x:c r="F181" s="64"/>
      <x:c r="G181" s="64"/>
      <x:c r="H181" s="49" t="str">
        <x:v>No verified FRA match in extracted history</x:v>
      </x:c>
      <x:c r="I181" s="49" t="str">
        <x:v>Normal annual approved fee; not category/seat-type payable amount</x:v>
      </x:c>
      <x:c r="J181" s="49" t="str">
        <x:v>https://fe2025.mahacet.org/StaticPages/frmInstituteSummary.aspx?InstituteCode=05130</x:v>
      </x:c>
    </x:row>
    <x:row r="182">
      <x:c r="A182" s="63" t="n">
        <x:v>5139</x:v>
      </x:c>
      <x:c r="B182" s="49" t="str">
        <x:v>Pravara Rural College of Engineering, Loni, Pravaranagar, Ahmednagar.</x:v>
      </x:c>
      <x:c r="C182" s="49" t="str">
        <x:v>Ahilyanagar</x:v>
      </x:c>
      <x:c r="D182" s="49" t="str">
        <x:v>2024-25</x:v>
      </x:c>
      <x:c r="E182" s="64" t="n">
        <x:v>110435</x:v>
      </x:c>
      <x:c r="F182" s="64" t="n">
        <x:v>16565</x:v>
      </x:c>
      <x:c r="G182" s="64" t="n">
        <x:v>127000</x:v>
      </x:c>
      <x:c r="H182" s="49" t="str">
        <x:v>Verified FRA annual tuition + development fee</x:v>
      </x:c>
      <x:c r="I182" s="49" t="str">
        <x:v>Normal annual approved fee; not category/seat-type payable amount</x:v>
      </x:c>
      <x:c r="J182" s="49" t="str">
        <x:v>https://fe2025.mahacet.org/StaticPages/frmInstituteSummary.aspx?InstituteCode=05139</x:v>
      </x:c>
    </x:row>
    <x:row r="183">
      <x:c r="A183" s="63" t="n">
        <x:v>5151</x:v>
      </x:c>
      <x:c r="B183" s="49" t="str">
        <x:v>MET Bhujbal Knowledge City MET League's Engineering College, Adgaon, Nashik.</x:v>
      </x:c>
      <x:c r="C183" s="49" t="str">
        <x:v>Nashik</x:v>
      </x:c>
      <x:c r="D183" s="49"/>
      <x:c r="E183" s="64"/>
      <x:c r="F183" s="64"/>
      <x:c r="G183" s="64"/>
      <x:c r="H183" s="49" t="str">
        <x:v>No verified FRA match in extracted history</x:v>
      </x:c>
      <x:c r="I183" s="49" t="str">
        <x:v>Normal annual approved fee; not category/seat-type payable amount</x:v>
      </x:c>
      <x:c r="J183" s="49" t="str">
        <x:v>https://fe2025.mahacet.org/StaticPages/frmInstituteSummary.aspx?InstituteCode=05151</x:v>
      </x:c>
    </x:row>
    <x:row r="184">
      <x:c r="A184" s="63" t="n">
        <x:v>5152</x:v>
      </x:c>
      <x:c r="B184" s="49" t="str">
        <x:v>G H Raisoni College of Engineering and Management, Jalgaon</x:v>
      </x:c>
      <x:c r="C184" s="49" t="str">
        <x:v>Jalgaon</x:v>
      </x:c>
      <x:c r="D184" s="49"/>
      <x:c r="E184" s="64"/>
      <x:c r="F184" s="64"/>
      <x:c r="G184" s="64"/>
      <x:c r="H184" s="49" t="str">
        <x:v>No verified FRA match in extracted history</x:v>
      </x:c>
      <x:c r="I184" s="49" t="str">
        <x:v>Normal annual approved fee; not category/seat-type payable amount</x:v>
      </x:c>
      <x:c r="J184" s="49" t="str">
        <x:v>https://fe2025.mahacet.org/StaticPages/frmInstituteSummary.aspx?InstituteCode=05152</x:v>
      </x:c>
    </x:row>
    <x:row r="185">
      <x:c r="A185" s="63" t="n">
        <x:v>5160</x:v>
      </x:c>
      <x:c r="B185" s="49" t="str">
        <x:v>Sanjivani Rural Education Society's Sanjivani College of Engineering, Kopargaon</x:v>
      </x:c>
      <x:c r="C185" s="49" t="str">
        <x:v>Ahilyanagar</x:v>
      </x:c>
      <x:c r="D185" s="49" t="str">
        <x:v>2024-25</x:v>
      </x:c>
      <x:c r="E185" s="64" t="n">
        <x:v>139130</x:v>
      </x:c>
      <x:c r="F185" s="64" t="n">
        <x:v>20870</x:v>
      </x:c>
      <x:c r="G185" s="64" t="n">
        <x:v>160000</x:v>
      </x:c>
      <x:c r="H185" s="49" t="str">
        <x:v>Verified FRA annual tuition + development fee</x:v>
      </x:c>
      <x:c r="I185" s="49" t="str">
        <x:v>Normal annual approved fee; not category/seat-type payable amount</x:v>
      </x:c>
      <x:c r="J185" s="49" t="str">
        <x:v>https://fe2025.mahacet.org/StaticPages/frmInstituteSummary.aspx?InstituteCode=05160</x:v>
      </x:c>
    </x:row>
    <x:row r="186">
      <x:c r="A186" s="63" t="n">
        <x:v>5161</x:v>
      </x:c>
      <x:c r="B186" s="49" t="str">
        <x:v>Dr. Vithalrao Vikhe Patil College of Engineering, Ahmednagar</x:v>
      </x:c>
      <x:c r="C186" s="49" t="str">
        <x:v>Ahilyanagar</x:v>
      </x:c>
      <x:c r="D186" s="49" t="str">
        <x:v>2024-25</x:v>
      </x:c>
      <x:c r="E186" s="64" t="n">
        <x:v>92173</x:v>
      </x:c>
      <x:c r="F186" s="64" t="n">
        <x:v>13827</x:v>
      </x:c>
      <x:c r="G186" s="64" t="n">
        <x:v>106000</x:v>
      </x:c>
      <x:c r="H186" s="49" t="str">
        <x:v>Verified FRA annual tuition + development fee</x:v>
      </x:c>
      <x:c r="I186" s="49" t="str">
        <x:v>Normal annual approved fee; not category/seat-type payable amount</x:v>
      </x:c>
      <x:c r="J186" s="49" t="str">
        <x:v>https://fe2025.mahacet.org/StaticPages/frmInstituteSummary.aspx?InstituteCode=05161</x:v>
      </x:c>
    </x:row>
    <x:row r="187">
      <x:c r="A187" s="63" t="n">
        <x:v>5162</x:v>
      </x:c>
      <x:c r="B187" s="49" t="str">
        <x:v>Amrutvahini Sheti &amp; Shikshan Vikas Sanstha's Amrutvahini College of Engineering, Sangamner</x:v>
      </x:c>
      <x:c r="C187" s="49" t="str">
        <x:v>Ahilyanagar</x:v>
      </x:c>
      <x:c r="D187" s="49" t="str">
        <x:v>2024-25</x:v>
      </x:c>
      <x:c r="E187" s="64" t="n">
        <x:v>115652</x:v>
      </x:c>
      <x:c r="F187" s="64" t="n">
        <x:v>17348</x:v>
      </x:c>
      <x:c r="G187" s="64" t="n">
        <x:v>133000</x:v>
      </x:c>
      <x:c r="H187" s="49" t="str">
        <x:v>Verified FRA annual tuition + development fee</x:v>
      </x:c>
      <x:c r="I187" s="49" t="str">
        <x:v>Normal annual approved fee; not category/seat-type payable amount</x:v>
      </x:c>
      <x:c r="J187" s="49" t="str">
        <x:v>https://fe2025.mahacet.org/StaticPages/frmInstituteSummary.aspx?InstituteCode=05162</x:v>
      </x:c>
    </x:row>
    <x:row r="188">
      <x:c r="A188" s="63" t="n">
        <x:v>5164</x:v>
      </x:c>
      <x:c r="B188" s="49" t="str">
        <x:v>P.S.G.V.P. Mandal's D.N. Patel College of Engineering, Shahada, Dist. Nandurbar</x:v>
      </x:c>
      <x:c r="C188" s="49" t="str">
        <x:v>Nandurbar</x:v>
      </x:c>
      <x:c r="D188" s="49" t="str">
        <x:v>2024-25</x:v>
      </x:c>
      <x:c r="E188" s="64" t="n">
        <x:v>71554</x:v>
      </x:c>
      <x:c r="F188" s="64" t="n">
        <x:v>8946</x:v>
      </x:c>
      <x:c r="G188" s="64" t="n">
        <x:v>80500</x:v>
      </x:c>
      <x:c r="H188" s="49" t="str">
        <x:v>Verified FRA annual tuition + development fee</x:v>
      </x:c>
      <x:c r="I188" s="49" t="str">
        <x:v>Normal annual approved fee; not category/seat-type payable amount</x:v>
      </x:c>
      <x:c r="J188" s="49" t="str">
        <x:v>https://fe2025.mahacet.org/StaticPages/frmInstituteSummary.aspx?InstituteCode=05164</x:v>
      </x:c>
    </x:row>
    <x:row r="189">
      <x:c r="A189" s="63" t="n">
        <x:v>5168</x:v>
      </x:c>
      <x:c r="B189" s="49" t="str">
        <x:v>T.M.E. Society's J.T.Mahajan College of Engineering, Faizpur</x:v>
      </x:c>
      <x:c r="C189" s="49" t="str">
        <x:v>Jalgaon</x:v>
      </x:c>
      <x:c r="D189" s="49" t="str">
        <x:v>2024-25</x:v>
      </x:c>
      <x:c r="E189" s="64" t="n">
        <x:v>48548</x:v>
      </x:c>
      <x:c r="F189" s="64" t="n">
        <x:v>4952</x:v>
      </x:c>
      <x:c r="G189" s="64" t="n">
        <x:v>53500</x:v>
      </x:c>
      <x:c r="H189" s="49" t="str">
        <x:v>Verified FRA annual tuition + development fee</x:v>
      </x:c>
      <x:c r="I189" s="49" t="str">
        <x:v>Normal annual approved fee; not category/seat-type payable amount</x:v>
      </x:c>
      <x:c r="J189" s="49" t="str">
        <x:v>https://fe2025.mahacet.org/StaticPages/frmInstituteSummary.aspx?InstituteCode=05168</x:v>
      </x:c>
    </x:row>
    <x:row r="190">
      <x:c r="A190" s="63" t="n">
        <x:v>5169</x:v>
      </x:c>
      <x:c r="B190" s="49" t="str">
        <x:v>Nagaon Education Society's Gangamai College of Engineering, Nagaon, Tal Dist Dhule</x:v>
      </x:c>
      <x:c r="C190" s="49" t="str">
        <x:v>Dhule</x:v>
      </x:c>
      <x:c r="D190" s="49" t="str">
        <x:v>2024-25</x:v>
      </x:c>
      <x:c r="E190" s="64" t="n">
        <x:v>53572</x:v>
      </x:c>
      <x:c r="F190" s="64" t="n">
        <x:v>6428</x:v>
      </x:c>
      <x:c r="G190" s="64" t="n">
        <x:v>60000</x:v>
      </x:c>
      <x:c r="H190" s="49" t="str">
        <x:v>Verified FRA annual tuition + development fee</x:v>
      </x:c>
      <x:c r="I190" s="49" t="str">
        <x:v>Normal annual approved fee; not category/seat-type payable amount</x:v>
      </x:c>
      <x:c r="J190" s="49" t="str">
        <x:v>https://fe2025.mahacet.org/StaticPages/frmInstituteSummary.aspx?InstituteCode=05169</x:v>
      </x:c>
    </x:row>
    <x:row r="191">
      <x:c r="A191" s="63" t="n">
        <x:v>5170</x:v>
      </x:c>
      <x:c r="B191" s="49" t="str">
        <x:v>Hindi Seva Mandal's Shri Sant Gadgebaba College of Engineering &amp; Technology, Bhusawal</x:v>
      </x:c>
      <x:c r="C191" s="49" t="str">
        <x:v>Jalgaon</x:v>
      </x:c>
      <x:c r="D191" s="49" t="str">
        <x:v>2024-25</x:v>
      </x:c>
      <x:c r="E191" s="64" t="n">
        <x:v>79826</x:v>
      </x:c>
      <x:c r="F191" s="64" t="n">
        <x:v>11174</x:v>
      </x:c>
      <x:c r="G191" s="64" t="n">
        <x:v>91000</x:v>
      </x:c>
      <x:c r="H191" s="49" t="str">
        <x:v>Verified FRA annual tuition + development fee</x:v>
      </x:c>
      <x:c r="I191" s="49" t="str">
        <x:v>Normal annual approved fee; not category/seat-type payable amount</x:v>
      </x:c>
      <x:c r="J191" s="49" t="str">
        <x:v>https://fe2025.mahacet.org/StaticPages/frmInstituteSummary.aspx?InstituteCode=05170</x:v>
      </x:c>
    </x:row>
    <x:row r="192">
      <x:c r="A192" s="63" t="n">
        <x:v>5171</x:v>
      </x:c>
      <x:c r="B192" s="49" t="str">
        <x:v>Godavari Foundation's Godavari College Of Engineering, Jalgaon</x:v>
      </x:c>
      <x:c r="C192" s="49" t="str">
        <x:v>Jalgaon</x:v>
      </x:c>
      <x:c r="D192" s="49" t="str">
        <x:v>2024-25</x:v>
      </x:c>
      <x:c r="E192" s="64" t="n">
        <x:v>69468</x:v>
      </x:c>
      <x:c r="F192" s="64" t="n">
        <x:v>9032</x:v>
      </x:c>
      <x:c r="G192" s="64" t="n">
        <x:v>78500</x:v>
      </x:c>
      <x:c r="H192" s="49" t="str">
        <x:v>Verified FRA annual tuition + development fee</x:v>
      </x:c>
      <x:c r="I192" s="49" t="str">
        <x:v>Normal annual approved fee; not category/seat-type payable amount</x:v>
      </x:c>
      <x:c r="J192" s="49" t="str">
        <x:v>https://fe2025.mahacet.org/StaticPages/frmInstituteSummary.aspx?InstituteCode=05171</x:v>
      </x:c>
    </x:row>
    <x:row r="193">
      <x:c r="A193" s="63" t="n">
        <x:v>5172</x:v>
      </x:c>
      <x:c r="B193" s="49" t="str">
        <x:v>R. C. Patel Institute of Technology, Shirpur</x:v>
      </x:c>
      <x:c r="C193" s="49" t="str">
        <x:v>Dhule</x:v>
      </x:c>
      <x:c r="D193" s="49" t="str">
        <x:v>2024-25</x:v>
      </x:c>
      <x:c r="E193" s="64" t="n">
        <x:v>121739</x:v>
      </x:c>
      <x:c r="F193" s="64" t="n">
        <x:v>18261</x:v>
      </x:c>
      <x:c r="G193" s="64" t="n">
        <x:v>140000</x:v>
      </x:c>
      <x:c r="H193" s="49" t="str">
        <x:v>Verified FRA annual tuition + development fee</x:v>
      </x:c>
      <x:c r="I193" s="49" t="str">
        <x:v>Normal annual approved fee; not category/seat-type payable amount</x:v>
      </x:c>
      <x:c r="J193" s="49" t="str">
        <x:v>https://fe2025.mahacet.org/StaticPages/frmInstituteSummary.aspx?InstituteCode=05172</x:v>
      </x:c>
    </x:row>
    <x:row r="194">
      <x:c r="A194" s="63" t="n">
        <x:v>5173</x:v>
      </x:c>
      <x:c r="B194" s="49" t="str">
        <x:v>SNJB's Late Sau. Kantabai Bhavarlalji Jain College of Engineering, (Jain Gurukul), Neminagar,Chandwad,(Nashik)</x:v>
      </x:c>
      <x:c r="C194" s="49" t="str">
        <x:v>Nashik</x:v>
      </x:c>
      <x:c r="D194" s="49" t="str">
        <x:v>2024-25</x:v>
      </x:c>
      <x:c r="E194" s="64" t="n">
        <x:v>89209</x:v>
      </x:c>
      <x:c r="F194" s="64" t="n">
        <x:v>13291</x:v>
      </x:c>
      <x:c r="G194" s="64" t="n">
        <x:v>102500</x:v>
      </x:c>
      <x:c r="H194" s="49" t="str">
        <x:v>Verified FRA annual tuition + development fee</x:v>
      </x:c>
      <x:c r="I194" s="49" t="str">
        <x:v>Normal annual approved fee; not category/seat-type payable amount</x:v>
      </x:c>
      <x:c r="J194" s="49" t="str">
        <x:v>https://fe2025.mahacet.org/StaticPages/frmInstituteSummary.aspx?InstituteCode=05173</x:v>
      </x:c>
    </x:row>
    <x:row r="195">
      <x:c r="A195" s="63" t="n">
        <x:v>5177</x:v>
      </x:c>
      <x:c r="B195" s="49" t="str">
        <x:v>Matoshri College of Engineering and Research Centre, Eklahare, Nashik</x:v>
      </x:c>
      <x:c r="C195" s="49" t="str">
        <x:v>Nashik</x:v>
      </x:c>
      <x:c r="D195" s="49" t="str">
        <x:v>2024-25</x:v>
      </x:c>
      <x:c r="E195" s="64" t="n">
        <x:v>72120</x:v>
      </x:c>
      <x:c r="F195" s="64" t="n">
        <x:v>9880</x:v>
      </x:c>
      <x:c r="G195" s="64" t="n">
        <x:v>82000</x:v>
      </x:c>
      <x:c r="H195" s="49" t="str">
        <x:v>Verified FRA annual tuition + development fee</x:v>
      </x:c>
      <x:c r="I195" s="49" t="str">
        <x:v>Normal annual approved fee; not category/seat-type payable amount</x:v>
      </x:c>
      <x:c r="J195" s="49" t="str">
        <x:v>https://fe2025.mahacet.org/StaticPages/frmInstituteSummary.aspx?InstituteCode=05177</x:v>
      </x:c>
    </x:row>
    <x:row r="196">
      <x:c r="A196" s="63" t="n">
        <x:v>5179</x:v>
      </x:c>
      <x:c r="B196" s="49" t="str">
        <x:v>Vishwabharati Academy's College of Engineering, Ahmednagar</x:v>
      </x:c>
      <x:c r="C196" s="49" t="str">
        <x:v>Ahilyanagar</x:v>
      </x:c>
      <x:c r="D196" s="49" t="str">
        <x:v>2024-25</x:v>
      </x:c>
      <x:c r="E196" s="64" t="n">
        <x:v>58717</x:v>
      </x:c>
      <x:c r="F196" s="64" t="n">
        <x:v>6283</x:v>
      </x:c>
      <x:c r="G196" s="64" t="n">
        <x:v>65000</x:v>
      </x:c>
      <x:c r="H196" s="49" t="str">
        <x:v>Verified FRA annual tuition + development fee</x:v>
      </x:c>
      <x:c r="I196" s="49" t="str">
        <x:v>Normal annual approved fee; not category/seat-type payable amount</x:v>
      </x:c>
      <x:c r="J196" s="49" t="str">
        <x:v>https://fe2025.mahacet.org/StaticPages/frmInstituteSummary.aspx?InstituteCode=05179</x:v>
      </x:c>
    </x:row>
    <x:row r="197">
      <x:c r="A197" s="63" t="n">
        <x:v>5181</x:v>
      </x:c>
      <x:c r="B197" s="49" t="str">
        <x:v>Gokhale Education Society's, R.H. Sapat College of Engineering, Management Studies and Research, Nashik</x:v>
      </x:c>
      <x:c r="C197" s="49" t="str">
        <x:v>Nashik</x:v>
      </x:c>
      <x:c r="D197" s="49" t="str">
        <x:v>2024-25</x:v>
      </x:c>
      <x:c r="E197" s="64" t="n">
        <x:v>61565</x:v>
      </x:c>
      <x:c r="F197" s="64" t="n">
        <x:v>8435</x:v>
      </x:c>
      <x:c r="G197" s="64" t="n">
        <x:v>70000</x:v>
      </x:c>
      <x:c r="H197" s="49" t="str">
        <x:v>Verified FRA annual tuition + development fee</x:v>
      </x:c>
      <x:c r="I197" s="49" t="str">
        <x:v>Normal annual approved fee; not category/seat-type payable amount</x:v>
      </x:c>
      <x:c r="J197" s="49" t="str">
        <x:v>https://fe2025.mahacet.org/StaticPages/frmInstituteSummary.aspx?InstituteCode=05181</x:v>
      </x:c>
    </x:row>
    <x:row r="198">
      <x:c r="A198" s="63" t="n">
        <x:v>5182</x:v>
      </x:c>
      <x:c r="B198" s="49" t="str">
        <x:v>Kalyani Charitable Trust, Late Gambhirrao Natuba Sapkal College of Engineering, Anjaneri, Trimbakeshwar Road, Nashik</x:v>
      </x:c>
      <x:c r="C198" s="49" t="str">
        <x:v>Nashik</x:v>
      </x:c>
      <x:c r="D198" s="49" t="str">
        <x:v>2024-25</x:v>
      </x:c>
      <x:c r="E198" s="64" t="n">
        <x:v>70403</x:v>
      </x:c>
      <x:c r="F198" s="64" t="n">
        <x:v>8097</x:v>
      </x:c>
      <x:c r="G198" s="64" t="n">
        <x:v>78500</x:v>
      </x:c>
      <x:c r="H198" s="49" t="str">
        <x:v>Verified FRA annual tuition + development fee</x:v>
      </x:c>
      <x:c r="I198" s="49" t="str">
        <x:v>Normal annual approved fee; not category/seat-type payable amount</x:v>
      </x:c>
      <x:c r="J198" s="49" t="str">
        <x:v>https://fe2025.mahacet.org/StaticPages/frmInstituteSummary.aspx?InstituteCode=05182</x:v>
      </x:c>
    </x:row>
    <x:row r="199">
      <x:c r="A199" s="63" t="n">
        <x:v>5184</x:v>
      </x:c>
      <x:c r="B199" s="49" t="str">
        <x:v>Amruta Vaishnavi Education &amp; Welfare Trust's Shatabdi Institute of Engineering &amp; Research, Agaskhind Tal. Sinnar</x:v>
      </x:c>
      <x:c r="C199" s="49" t="str">
        <x:v>Nashik</x:v>
      </x:c>
      <x:c r="D199" s="49" t="str">
        <x:v>2024-25</x:v>
      </x:c>
      <x:c r="E199" s="64" t="n">
        <x:v>66666</x:v>
      </x:c>
      <x:c r="F199" s="64" t="n">
        <x:v>7334</x:v>
      </x:c>
      <x:c r="G199" s="64" t="n">
        <x:v>74000</x:v>
      </x:c>
      <x:c r="H199" s="49" t="str">
        <x:v>Verified FRA annual tuition + development fee</x:v>
      </x:c>
      <x:c r="I199" s="49" t="str">
        <x:v>Normal annual approved fee; not category/seat-type payable amount</x:v>
      </x:c>
      <x:c r="J199" s="49" t="str">
        <x:v>https://fe2025.mahacet.org/StaticPages/frmInstituteSummary.aspx?InstituteCode=05184</x:v>
      </x:c>
    </x:row>
    <x:row r="200">
      <x:c r="A200" s="63" t="n">
        <x:v>5244</x:v>
      </x:c>
      <x:c r="B200" s="49" t="str">
        <x:v>MET's Institute of Technology Polytechnic, Bhujbal Knowledge City, Adgaon Nashik</x:v>
      </x:c>
      <x:c r="C200" s="49" t="str">
        <x:v>Nashik</x:v>
      </x:c>
      <x:c r="D200" s="49" t="str">
        <x:v>2024-25</x:v>
      </x:c>
      <x:c r="E200" s="64" t="n">
        <x:v>72267</x:v>
      </x:c>
      <x:c r="F200" s="64" t="n">
        <x:v>7733</x:v>
      </x:c>
      <x:c r="G200" s="64" t="n">
        <x:v>80000</x:v>
      </x:c>
      <x:c r="H200" s="49" t="str">
        <x:v>Verified FRA annual tuition + development fee</x:v>
      </x:c>
      <x:c r="I200" s="49" t="str">
        <x:v>Normal annual approved fee; not category/seat-type payable amount</x:v>
      </x:c>
      <x:c r="J200" s="49" t="str">
        <x:v>https://fe2025.mahacet.org/StaticPages/frmInstituteSummary.aspx?InstituteCode=05244</x:v>
      </x:c>
    </x:row>
    <x:row r="201">
      <x:c r="A201" s="63" t="n">
        <x:v>5249</x:v>
      </x:c>
      <x:c r="B201" s="49" t="str">
        <x:v>Trimurti Shikshan Prasarak Mandal, Trimurti Institute Of Technology, Paladhi Bk, Jalgaon</x:v>
      </x:c>
      <x:c r="C201" s="49" t="str">
        <x:v>Jalgaon</x:v>
      </x:c>
      <x:c r="D201" s="49"/>
      <x:c r="E201" s="64"/>
      <x:c r="F201" s="64"/>
      <x:c r="G201" s="64"/>
      <x:c r="H201" s="49" t="str">
        <x:v>No verified FRA match in extracted history</x:v>
      </x:c>
      <x:c r="I201" s="49" t="str">
        <x:v>Normal annual approved fee; not category/seat-type payable amount</x:v>
      </x:c>
      <x:c r="J201" s="49" t="str">
        <x:v>https://fe2025.mahacet.org/StaticPages/frmInstituteSummary.aspx?InstituteCode=05249</x:v>
      </x:c>
    </x:row>
    <x:row r="202">
      <x:c r="A202" s="63" t="n">
        <x:v>5256</x:v>
      </x:c>
      <x:c r="B202" s="49" t="str">
        <x:v>Matoshri Aasarabai Institute of Technology and Research Centre</x:v>
      </x:c>
      <x:c r="C202" s="49" t="str">
        <x:v>Nashik</x:v>
      </x:c>
      <x:c r="D202" s="49"/>
      <x:c r="E202" s="64"/>
      <x:c r="F202" s="64"/>
      <x:c r="G202" s="64"/>
      <x:c r="H202" s="49" t="str">
        <x:v>No verified FRA match in extracted history</x:v>
      </x:c>
      <x:c r="I202" s="49" t="str">
        <x:v>Normal annual approved fee; not category/seat-type payable amount</x:v>
      </x:c>
      <x:c r="J202" s="49" t="str">
        <x:v>https://fe2025.mahacet.org/StaticPages/frmInstituteSummary.aspx?InstituteCode=05256</x:v>
      </x:c>
    </x:row>
    <x:row r="203">
      <x:c r="A203" s="63" t="n">
        <x:v>5263</x:v>
      </x:c>
      <x:c r="B203" s="49" t="str">
        <x:v>Matoshri Education Soceity, Matoshri Institute Of Technology, Dhanore, Nashik</x:v>
      </x:c>
      <x:c r="C203" s="49" t="str">
        <x:v>Nashik</x:v>
      </x:c>
      <x:c r="D203" s="49"/>
      <x:c r="E203" s="64"/>
      <x:c r="F203" s="64"/>
      <x:c r="G203" s="64"/>
      <x:c r="H203" s="49" t="str">
        <x:v>No verified FRA match in extracted history</x:v>
      </x:c>
      <x:c r="I203" s="49" t="str">
        <x:v>Normal annual approved fee; not category/seat-type payable amount</x:v>
      </x:c>
      <x:c r="J203" s="49" t="str">
        <x:v>https://fe2025.mahacet.org/StaticPages/frmInstituteSummary.aspx?InstituteCode=05263</x:v>
      </x:c>
    </x:row>
    <x:row r="204">
      <x:c r="A204" s="63" t="n">
        <x:v>5303</x:v>
      </x:c>
      <x:c r="B204" s="49" t="str">
        <x:v>Hon. Shri. Babanrao Pachpute Vichardhara Trust, Group of Institutions (Integrated Campus)-Parikrama, Kashti Shrigondha,</x:v>
      </x:c>
      <x:c r="C204" s="49" t="str">
        <x:v>Ahilyanagar</x:v>
      </x:c>
      <x:c r="D204" s="49" t="str">
        <x:v>2024-25</x:v>
      </x:c>
      <x:c r="E204" s="64" t="n">
        <x:v>68654</x:v>
      </x:c>
      <x:c r="F204" s="64" t="n">
        <x:v>7346</x:v>
      </x:c>
      <x:c r="G204" s="64" t="n">
        <x:v>76000</x:v>
      </x:c>
      <x:c r="H204" s="49" t="str">
        <x:v>Verified FRA annual tuition + development fee</x:v>
      </x:c>
      <x:c r="I204" s="49" t="str">
        <x:v>Normal annual approved fee; not category/seat-type payable amount</x:v>
      </x:c>
      <x:c r="J204" s="49" t="str">
        <x:v>https://fe2025.mahacet.org/StaticPages/frmInstituteSummary.aspx?InstituteCode=05303</x:v>
      </x:c>
    </x:row>
    <x:row r="205">
      <x:c r="A205" s="63" t="n">
        <x:v>5322</x:v>
      </x:c>
      <x:c r="B205" s="49" t="str">
        <x:v>Jamia Institute Of Engineering And Management Studies, Akkalkuwa</x:v>
      </x:c>
      <x:c r="C205" s="49" t="str">
        <x:v>Nandurbar</x:v>
      </x:c>
      <x:c r="D205" s="49" t="str">
        <x:v>2024-25</x:v>
      </x:c>
      <x:c r="E205" s="64" t="n">
        <x:v>39091</x:v>
      </x:c>
      <x:c r="F205" s="64" t="n">
        <x:v>3909</x:v>
      </x:c>
      <x:c r="G205" s="64" t="n">
        <x:v>43000</x:v>
      </x:c>
      <x:c r="H205" s="49" t="str">
        <x:v>Verified FRA annual tuition + development fee</x:v>
      </x:c>
      <x:c r="I205" s="49" t="str">
        <x:v>Normal annual approved fee; not category/seat-type payable amount</x:v>
      </x:c>
      <x:c r="J205" s="49" t="str">
        <x:v>https://fe2025.mahacet.org/StaticPages/frmInstituteList.aspx?did=1884</x:v>
      </x:c>
    </x:row>
    <x:row r="206">
      <x:c r="A206" s="63" t="n">
        <x:v>5330</x:v>
      </x:c>
      <x:c r="B206" s="49" t="str">
        <x:v>PUNE VIDYARTHI GRIHAS COLLEGE OF ENGINEERING &amp; SHRIKRUSHNA S. DHAMANKAR INSTITUTE OF MANAGEMENT, NASHIK</x:v>
      </x:c>
      <x:c r="C206" s="49" t="str">
        <x:v>Nashik</x:v>
      </x:c>
      <x:c r="D206" s="49" t="str">
        <x:v>2024-25</x:v>
      </x:c>
      <x:c r="E206" s="64" t="n">
        <x:v>59007</x:v>
      </x:c>
      <x:c r="F206" s="64" t="n">
        <x:v>7493</x:v>
      </x:c>
      <x:c r="G206" s="64" t="n">
        <x:v>66500</x:v>
      </x:c>
      <x:c r="H206" s="49" t="str">
        <x:v>Verified FRA annual tuition + development fee</x:v>
      </x:c>
      <x:c r="I206" s="49" t="str">
        <x:v>Normal annual approved fee; not category/seat-type payable amount</x:v>
      </x:c>
      <x:c r="J206" s="49" t="str">
        <x:v>https://fe2025.mahacet.org/StaticPages/frmInstituteSummary.aspx?InstituteCode=05330</x:v>
      </x:c>
    </x:row>
    <x:row r="207">
      <x:c r="A207" s="63" t="n">
        <x:v>5331</x:v>
      </x:c>
      <x:c r="B207" s="49" t="str">
        <x:v>Sandip Foundation's, Sandip Institute of Engineering &amp; Management, Nashik</x:v>
      </x:c>
      <x:c r="C207" s="49" t="str">
        <x:v>Nashik</x:v>
      </x:c>
      <x:c r="D207" s="49" t="str">
        <x:v>2024-25</x:v>
      </x:c>
      <x:c r="E207" s="64" t="n">
        <x:v>108619</x:v>
      </x:c>
      <x:c r="F207" s="64" t="n">
        <x:v>14881</x:v>
      </x:c>
      <x:c r="G207" s="64" t="n">
        <x:v>123500</x:v>
      </x:c>
      <x:c r="H207" s="49" t="str">
        <x:v>Verified FRA annual tuition + development fee</x:v>
      </x:c>
      <x:c r="I207" s="49" t="str">
        <x:v>Normal annual approved fee; not category/seat-type payable amount</x:v>
      </x:c>
      <x:c r="J207" s="49" t="str">
        <x:v>https://fe2025.mahacet.org/StaticPages/frmInstituteSummary.aspx?InstituteCode=05331</x:v>
      </x:c>
    </x:row>
    <x:row r="208">
      <x:c r="A208" s="63" t="n">
        <x:v>5365</x:v>
      </x:c>
      <x:c r="B208" s="49" t="str">
        <x:v>Vardhaman Education &amp; Welfare Society, Ahinsa Institute of Technology, Post. Dondaicha, Dhule</x:v>
      </x:c>
      <x:c r="C208" s="49" t="str">
        <x:v>Dhule</x:v>
      </x:c>
      <x:c r="D208" s="49"/>
      <x:c r="E208" s="64"/>
      <x:c r="F208" s="64"/>
      <x:c r="G208" s="64"/>
      <x:c r="H208" s="49" t="str">
        <x:v>No verified FRA match in extracted history</x:v>
      </x:c>
      <x:c r="I208" s="49" t="str">
        <x:v>Normal annual approved fee; not category/seat-type payable amount</x:v>
      </x:c>
      <x:c r="J208" s="49" t="str">
        <x:v>https://fe2025.mahacet.org/StaticPages/frmInstituteSummary.aspx?InstituteCode=05365</x:v>
      </x:c>
    </x:row>
    <x:row r="209">
      <x:c r="A209" s="63" t="n">
        <x:v>5370</x:v>
      </x:c>
      <x:c r="B209" s="49" t="str">
        <x:v>Kedareshwar Gramin Vikas Pratishthan, Samajbhushan Eknathrao Dhakane College, of Engineering, Shevgaon</x:v>
      </x:c>
      <x:c r="C209" s="49" t="str">
        <x:v>Ahilyanagar</x:v>
      </x:c>
      <x:c r="D209" s="49"/>
      <x:c r="E209" s="64"/>
      <x:c r="F209" s="64"/>
      <x:c r="G209" s="64"/>
      <x:c r="H209" s="49" t="str">
        <x:v>No verified FRA match in extracted history</x:v>
      </x:c>
      <x:c r="I209" s="49" t="str">
        <x:v>Normal annual approved fee; not category/seat-type payable amount</x:v>
      </x:c>
      <x:c r="J209" s="49" t="str">
        <x:v>https://fe2025.mahacet.org/StaticPages/frmInstituteSummary.aspx?InstituteCode=05370</x:v>
      </x:c>
    </x:row>
    <x:row r="210">
      <x:c r="A210" s="63" t="n">
        <x:v>5380</x:v>
      </x:c>
      <x:c r="B210" s="49" t="str">
        <x:v>Adsul's Technical Campus, Chas Dist. Ahmednagar</x:v>
      </x:c>
      <x:c r="C210" s="49" t="str">
        <x:v>Ahilyanagar</x:v>
      </x:c>
      <x:c r="D210" s="49" t="str">
        <x:v>2024-25</x:v>
      </x:c>
      <x:c r="E210" s="64" t="n">
        <x:v>81632</x:v>
      </x:c>
      <x:c r="F210" s="64" t="n">
        <x:v>10368</x:v>
      </x:c>
      <x:c r="G210" s="64" t="n">
        <x:v>92000</x:v>
      </x:c>
      <x:c r="H210" s="49" t="str">
        <x:v>Verified FRA annual tuition + development fee</x:v>
      </x:c>
      <x:c r="I210" s="49" t="str">
        <x:v>Normal annual approved fee; not category/seat-type payable amount</x:v>
      </x:c>
      <x:c r="J210" s="49" t="str">
        <x:v>https://fe2025.mahacet.org/StaticPages/frmInstituteSummary.aspx?InstituteCode=05380</x:v>
      </x:c>
    </x:row>
    <x:row r="211">
      <x:c r="A211" s="63" t="n">
        <x:v>5381</x:v>
      </x:c>
      <x:c r="B211" s="49" t="str">
        <x:v>Shri. Jaykumar Rawal Institute of Technology, Dondaicha.</x:v>
      </x:c>
      <x:c r="C211" s="49" t="str">
        <x:v>Dhule</x:v>
      </x:c>
      <x:c r="D211" s="49" t="str">
        <x:v>2024-25</x:v>
      </x:c>
      <x:c r="E211" s="64" t="n">
        <x:v>64429</x:v>
      </x:c>
      <x:c r="F211" s="64" t="n">
        <x:v>6571</x:v>
      </x:c>
      <x:c r="G211" s="64" t="n">
        <x:v>71000</x:v>
      </x:c>
      <x:c r="H211" s="49" t="str">
        <x:v>Verified FRA annual tuition + development fee</x:v>
      </x:c>
      <x:c r="I211" s="49" t="str">
        <x:v>Normal annual approved fee; not category/seat-type payable amount</x:v>
      </x:c>
      <x:c r="J211" s="49" t="str">
        <x:v>https://fe2025.mahacet.org/StaticPages/frmInstituteSummary.aspx?InstituteCode=05381</x:v>
      </x:c>
    </x:row>
    <x:row r="212">
      <x:c r="A212" s="63" t="n">
        <x:v>5382</x:v>
      </x:c>
      <x:c r="B212" s="49" t="str">
        <x:v>Ahmednagar Jilha Maratha Vidya Prasarak Samajache, Shri. Chhatrapati Shivaji Maharaj College of Engineering, Nepti</x:v>
      </x:c>
      <x:c r="C212" s="49" t="str">
        <x:v>Ahilyanagar</x:v>
      </x:c>
      <x:c r="D212" s="49" t="str">
        <x:v>2024-25</x:v>
      </x:c>
      <x:c r="E212" s="64" t="n">
        <x:v>41703</x:v>
      </x:c>
      <x:c r="F212" s="64" t="n">
        <x:v>5297</x:v>
      </x:c>
      <x:c r="G212" s="64" t="n">
        <x:v>47000</x:v>
      </x:c>
      <x:c r="H212" s="49" t="str">
        <x:v>Verified FRA annual tuition + development fee</x:v>
      </x:c>
      <x:c r="I212" s="49" t="str">
        <x:v>Normal annual approved fee; not category/seat-type payable amount</x:v>
      </x:c>
      <x:c r="J212" s="49" t="str">
        <x:v>https://fe2025.mahacet.org/StaticPages/frmInstituteSummary.aspx?InstituteCode=05382</x:v>
      </x:c>
    </x:row>
    <x:row r="213">
      <x:c r="A213" s="63" t="n">
        <x:v>5390</x:v>
      </x:c>
      <x:c r="B213" s="49" t="str">
        <x:v>K.V.N. Naik S. P. Sansth's Loknete Gopinathji Munde Institute of Engineering Education &amp; Research, Nashik.</x:v>
      </x:c>
      <x:c r="C213" s="49" t="str">
        <x:v>Nashik</x:v>
      </x:c>
      <x:c r="D213" s="49" t="str">
        <x:v>2024-25</x:v>
      </x:c>
      <x:c r="E213" s="64" t="n">
        <x:v>48214</x:v>
      </x:c>
      <x:c r="F213" s="64" t="n">
        <x:v>5786</x:v>
      </x:c>
      <x:c r="G213" s="64" t="n">
        <x:v>54000</x:v>
      </x:c>
      <x:c r="H213" s="49" t="str">
        <x:v>Verified FRA annual tuition + development fee</x:v>
      </x:c>
      <x:c r="I213" s="49" t="str">
        <x:v>Normal annual approved fee; not category/seat-type payable amount</x:v>
      </x:c>
      <x:c r="J213" s="49" t="str">
        <x:v>https://fe2025.mahacet.org/StaticPages/frmInstituteSummary.aspx?InstituteCode=05390</x:v>
      </x:c>
    </x:row>
    <x:row r="214">
      <x:c r="A214" s="63" t="n">
        <x:v>5396</x:v>
      </x:c>
      <x:c r="B214" s="49" t="str">
        <x:v>College of Engineering and Technology ,North Maharashtra Knowledge City, Jalgaon</x:v>
      </x:c>
      <x:c r="C214" s="49" t="str">
        <x:v>Jalgaon</x:v>
      </x:c>
      <x:c r="D214" s="49" t="str">
        <x:v>2024-25</x:v>
      </x:c>
      <x:c r="E214" s="64" t="n">
        <x:v>66072</x:v>
      </x:c>
      <x:c r="F214" s="64" t="n">
        <x:v>7928</x:v>
      </x:c>
      <x:c r="G214" s="64" t="n">
        <x:v>74000</x:v>
      </x:c>
      <x:c r="H214" s="49" t="str">
        <x:v>Verified FRA annual tuition + development fee</x:v>
      </x:c>
      <x:c r="I214" s="49" t="str">
        <x:v>Normal annual approved fee; not category/seat-type payable amount</x:v>
      </x:c>
      <x:c r="J214" s="49" t="str">
        <x:v>https://fe2025.mahacet.org/StaticPages/frmInstituteSummary.aspx?InstituteCode=05396</x:v>
      </x:c>
    </x:row>
    <x:row r="215">
      <x:c r="A215" s="63" t="n">
        <x:v>5399</x:v>
      </x:c>
      <x:c r="B215" s="49" t="str">
        <x:v>Sanghavi College of Engineering, Varvandi, Nashik.</x:v>
      </x:c>
      <x:c r="C215" s="49" t="str">
        <x:v>Nashik</x:v>
      </x:c>
      <x:c r="D215" s="49" t="str">
        <x:v>2024-25</x:v>
      </x:c>
      <x:c r="E215" s="64" t="n">
        <x:v>67272</x:v>
      </x:c>
      <x:c r="F215" s="64" t="n">
        <x:v>6728</x:v>
      </x:c>
      <x:c r="G215" s="64" t="n">
        <x:v>74000</x:v>
      </x:c>
      <x:c r="H215" s="49" t="str">
        <x:v>Verified FRA annual tuition + development fee</x:v>
      </x:c>
      <x:c r="I215" s="49" t="str">
        <x:v>Normal annual approved fee; not category/seat-type payable amount</x:v>
      </x:c>
      <x:c r="J215" s="49" t="str">
        <x:v>https://fe2025.mahacet.org/StaticPages/frmInstituteSummary.aspx?InstituteCode=05399</x:v>
      </x:c>
    </x:row>
    <x:row r="216">
      <x:c r="A216" s="63" t="n">
        <x:v>5401</x:v>
      </x:c>
      <x:c r="B216" s="49" t="str">
        <x:v>Jawahar Education Society's Institute of Technology, Management &amp; Research, Nashik.</x:v>
      </x:c>
      <x:c r="C216" s="49" t="str">
        <x:v>Nashik</x:v>
      </x:c>
      <x:c r="D216" s="49" t="str">
        <x:v>2024-25</x:v>
      </x:c>
      <x:c r="E216" s="64" t="n">
        <x:v>64888</x:v>
      </x:c>
      <x:c r="F216" s="64" t="n">
        <x:v>8112</x:v>
      </x:c>
      <x:c r="G216" s="64" t="n">
        <x:v>73000</x:v>
      </x:c>
      <x:c r="H216" s="49" t="str">
        <x:v>Verified FRA annual tuition + development fee</x:v>
      </x:c>
      <x:c r="I216" s="49" t="str">
        <x:v>Normal annual approved fee; not category/seat-type payable amount</x:v>
      </x:c>
      <x:c r="J216" s="49" t="str">
        <x:v>https://fe2025.mahacet.org/StaticPages/frmInstituteSummary.aspx?InstituteCode=05401</x:v>
      </x:c>
    </x:row>
    <x:row r="217">
      <x:c r="A217" s="63" t="n">
        <x:v>5408</x:v>
      </x:c>
      <x:c r="B217" s="49" t="str">
        <x:v>Vidya Niketan College of Engineering, Bota Sangamner</x:v>
      </x:c>
      <x:c r="C217" s="49" t="str">
        <x:v>Ahilyanagar</x:v>
      </x:c>
      <x:c r="D217" s="49" t="str">
        <x:v>2024-25</x:v>
      </x:c>
      <x:c r="E217" s="64" t="n">
        <x:v>68778</x:v>
      </x:c>
      <x:c r="F217" s="64" t="n">
        <x:v>7222</x:v>
      </x:c>
      <x:c r="G217" s="64" t="n">
        <x:v>76000</x:v>
      </x:c>
      <x:c r="H217" s="49" t="str">
        <x:v>Verified FRA annual tuition + development fee</x:v>
      </x:c>
      <x:c r="I217" s="49" t="str">
        <x:v>Normal annual approved fee; not category/seat-type payable amount</x:v>
      </x:c>
      <x:c r="J217" s="49" t="str">
        <x:v>https://fe2025.mahacet.org/StaticPages/frmInstituteSummary.aspx?InstituteCode=05408</x:v>
      </x:c>
    </x:row>
    <x:row r="218">
      <x:c r="A218" s="63" t="n">
        <x:v>5409</x:v>
      </x:c>
      <x:c r="B218" s="49" t="str">
        <x:v>Rajiv Gandhi College of Engineering, At Post Karjule Hariya Tal.Parner, Dist.Ahmednagar</x:v>
      </x:c>
      <x:c r="C218" s="49" t="str">
        <x:v>Ahilyanagar</x:v>
      </x:c>
      <x:c r="D218" s="49" t="str">
        <x:v>2024-25</x:v>
      </x:c>
      <x:c r="E218" s="64" t="n">
        <x:v>67874</x:v>
      </x:c>
      <x:c r="F218" s="64" t="n">
        <x:v>7126</x:v>
      </x:c>
      <x:c r="G218" s="64" t="n">
        <x:v>75000</x:v>
      </x:c>
      <x:c r="H218" s="49" t="str">
        <x:v>Verified FRA annual tuition + development fee</x:v>
      </x:c>
      <x:c r="I218" s="49" t="str">
        <x:v>Normal annual approved fee; not category/seat-type payable amount</x:v>
      </x:c>
      <x:c r="J218" s="49" t="str">
        <x:v>https://fe2025.mahacet.org/StaticPages/frmInstituteSummary.aspx?InstituteCode=05409</x:v>
      </x:c>
    </x:row>
    <x:row r="219">
      <x:c r="A219" s="63" t="n">
        <x:v>5411</x:v>
      </x:c>
      <x:c r="B219" s="49" t="str">
        <x:v>Maulana Mukhtar Ahmad Nadvi Technical Campus, Malegaon.</x:v>
      </x:c>
      <x:c r="C219" s="49" t="str">
        <x:v>Nashik</x:v>
      </x:c>
      <x:c r="D219" s="49" t="str">
        <x:v>2024-25</x:v>
      </x:c>
      <x:c r="E219" s="64" t="n">
        <x:v>53465</x:v>
      </x:c>
      <x:c r="F219" s="64" t="n">
        <x:v>5989</x:v>
      </x:c>
      <x:c r="G219" s="64" t="n">
        <x:v>59454</x:v>
      </x:c>
      <x:c r="H219" s="49" t="str">
        <x:v>Verified FRA annual tuition + development fee</x:v>
      </x:c>
      <x:c r="I219" s="49" t="str">
        <x:v>Normal annual approved fee; not category/seat-type payable amount</x:v>
      </x:c>
      <x:c r="J219" s="49" t="str">
        <x:v>https://fe2025.mahacet.org/StaticPages/frmInstituteSummary.aspx?InstituteCode=05411</x:v>
      </x:c>
    </x:row>
    <x:row r="220">
      <x:c r="A220" s="63" t="n">
        <x:v>5418</x:v>
      </x:c>
      <x:c r="B220" s="49" t="str">
        <x:v>Guru Gobind Singh College of Engineering &amp; Research Centre, Nashik.</x:v>
      </x:c>
      <x:c r="C220" s="49" t="str">
        <x:v>Nashik</x:v>
      </x:c>
      <x:c r="D220" s="49" t="str">
        <x:v>2024-25</x:v>
      </x:c>
      <x:c r="E220" s="64" t="n">
        <x:v>74336</x:v>
      </x:c>
      <x:c r="F220" s="64" t="n">
        <x:v>9664</x:v>
      </x:c>
      <x:c r="G220" s="64" t="n">
        <x:v>84000</x:v>
      </x:c>
      <x:c r="H220" s="49" t="str">
        <x:v>Verified FRA annual tuition + development fee</x:v>
      </x:c>
      <x:c r="I220" s="49" t="str">
        <x:v>Normal annual approved fee; not category/seat-type payable amount</x:v>
      </x:c>
      <x:c r="J220" s="49" t="str">
        <x:v>https://fe2025.mahacet.org/StaticPages/frmInstituteSummary.aspx?InstituteCode=05418</x:v>
      </x:c>
    </x:row>
    <x:row r="221">
      <x:c r="A221" s="63" t="n">
        <x:v>5433</x:v>
      </x:c>
      <x:c r="B221" s="49" t="str">
        <x:v>R.C. Patel College of Engineering and Polytechnic, Shirpur</x:v>
      </x:c>
      <x:c r="C221" s="49" t="str">
        <x:v>Dhule</x:v>
      </x:c>
      <x:c r="D221" s="49"/>
      <x:c r="E221" s="64"/>
      <x:c r="F221" s="64"/>
      <x:c r="G221" s="64"/>
      <x:c r="H221" s="49" t="str">
        <x:v>No verified FRA match in extracted history</x:v>
      </x:c>
      <x:c r="I221" s="49" t="str">
        <x:v>Normal annual approved fee; not category/seat-type payable amount</x:v>
      </x:c>
      <x:c r="J221" s="49" t="str">
        <x:v>https://fe2025.mahacet.org/StaticPages/frmInstituteSummary.aspx?InstituteCode=05433</x:v>
      </x:c>
    </x:row>
    <x:row r="222">
      <x:c r="A222" s="63" t="n">
        <x:v>5449</x:v>
      </x:c>
      <x:c r="B222" s="49" t="str">
        <x:v>Shri Vile Parle Kelavani Mandal's Institute of Technology, Dhule</x:v>
      </x:c>
      <x:c r="C222" s="49" t="str">
        <x:v>Dhule</x:v>
      </x:c>
      <x:c r="D222" s="49" t="str">
        <x:v>2024-25</x:v>
      </x:c>
      <x:c r="E222" s="64" t="n">
        <x:v>98206</x:v>
      </x:c>
      <x:c r="F222" s="64" t="n">
        <x:v>11294</x:v>
      </x:c>
      <x:c r="G222" s="64" t="n">
        <x:v>109500</x:v>
      </x:c>
      <x:c r="H222" s="49" t="str">
        <x:v>Verified FRA annual tuition + development fee</x:v>
      </x:c>
      <x:c r="I222" s="49" t="str">
        <x:v>Normal annual approved fee; not category/seat-type payable amount</x:v>
      </x:c>
      <x:c r="J222" s="49" t="str">
        <x:v>https://fe2025.mahacet.org/StaticPages/frmInstituteList.aspx?did=1884</x:v>
      </x:c>
    </x:row>
    <x:row r="223">
      <x:c r="A223" s="63" t="n">
        <x:v>5497</x:v>
      </x:c>
      <x:c r="B223" s="49" t="str">
        <x:v>P.G. College of Engineering &amp; Technology, Nandurbar</x:v>
      </x:c>
      <x:c r="C223" s="49" t="str">
        <x:v>Nandurbar</x:v>
      </x:c>
      <x:c r="D223" s="49"/>
      <x:c r="E223" s="64"/>
      <x:c r="F223" s="64"/>
      <x:c r="G223" s="64"/>
      <x:c r="H223" s="49" t="str">
        <x:v>No verified FRA match in extracted history</x:v>
      </x:c>
      <x:c r="I223" s="49" t="str">
        <x:v>Normal annual approved fee; not category/seat-type payable amount</x:v>
      </x:c>
      <x:c r="J223" s="49" t="str">
        <x:v>https://fe2025.mahacet.org/StaticPages/frmInstituteSummary.aspx?InstituteCode=05497</x:v>
      </x:c>
    </x:row>
    <x:row r="224">
      <x:c r="A224" s="63" t="n">
        <x:v>5509</x:v>
      </x:c>
      <x:c r="B224" s="49" t="str">
        <x:v>Shri Swami Samarth Institute of Management and Technology, Malwadi-Bota</x:v>
      </x:c>
      <x:c r="C224" s="49" t="str">
        <x:v>Ahilyanagar</x:v>
      </x:c>
      <x:c r="D224" s="49"/>
      <x:c r="E224" s="64"/>
      <x:c r="F224" s="64"/>
      <x:c r="G224" s="64"/>
      <x:c r="H224" s="49" t="str">
        <x:v>No verified FRA match in extracted history</x:v>
      </x:c>
      <x:c r="I224" s="49" t="str">
        <x:v>Normal annual approved fee; not category/seat-type payable amount</x:v>
      </x:c>
      <x:c r="J224" s="49" t="str">
        <x:v>https://fe2025.mahacet.org/StaticPages/frmInstituteSummary.aspx?InstituteCode=05509</x:v>
      </x:c>
    </x:row>
    <x:row r="225">
      <x:c r="A225" s="63" t="n">
        <x:v>5513</x:v>
      </x:c>
      <x:c r="B225" s="49" t="str">
        <x:v>MKD Institute of Technology, Nadurbar</x:v>
      </x:c>
      <x:c r="C225" s="49" t="str">
        <x:v>Nandurbar</x:v>
      </x:c>
      <x:c r="D225" s="49"/>
      <x:c r="E225" s="64"/>
      <x:c r="F225" s="64"/>
      <x:c r="G225" s="64"/>
      <x:c r="H225" s="49" t="str">
        <x:v>No verified FRA match in extracted history</x:v>
      </x:c>
      <x:c r="I225" s="49" t="str">
        <x:v>Normal annual approved fee; not category/seat-type payable amount</x:v>
      </x:c>
      <x:c r="J225" s="49" t="str">
        <x:v>https://fe2025.mahacet.org/StaticPages/frmInstituteSummary.aspx?InstituteCode=05513</x:v>
      </x:c>
    </x:row>
    <x:row r="226">
      <x:c r="A226" s="63" t="n">
        <x:v>5545</x:v>
      </x:c>
      <x:c r="B226" s="49" t="str">
        <x:v>Shri Vile Parle Kelavani Mandal's College of Engineering, Shirpur</x:v>
      </x:c>
      <x:c r="C226" s="49" t="str">
        <x:v>Dhule</x:v>
      </x:c>
      <x:c r="D226" s="49"/>
      <x:c r="E226" s="64"/>
      <x:c r="F226" s="64"/>
      <x:c r="G226" s="64"/>
      <x:c r="H226" s="49" t="str">
        <x:v>No verified FRA match in extracted history</x:v>
      </x:c>
      <x:c r="I226" s="49" t="str">
        <x:v>Normal annual approved fee; not category/seat-type payable amount</x:v>
      </x:c>
      <x:c r="J226" s="49" t="str">
        <x:v>https://fe2025.mahacet.org/StaticPages/frmInstituteSummary.aspx?InstituteCode=05545</x:v>
      </x:c>
    </x:row>
    <x:row r="227">
      <x:c r="A227" s="63" t="n">
        <x:v>6004</x:v>
      </x:c>
      <x:c r="B227" s="49" t="str">
        <x:v>Government College of Engineering &amp; Research, Avasari Khurd</x:v>
      </x:c>
      <x:c r="C227" s="49" t="str">
        <x:v>Pune</x:v>
      </x:c>
      <x:c r="D227" s="49"/>
      <x:c r="E227" s="64"/>
      <x:c r="F227" s="64"/>
      <x:c r="G227" s="64"/>
      <x:c r="H227" s="49" t="str">
        <x:v>No verified FRA match in extracted history</x:v>
      </x:c>
      <x:c r="I227" s="49" t="str">
        <x:v>Normal annual approved fee; not category/seat-type payable amount</x:v>
      </x:c>
      <x:c r="J227" s="49" t="str">
        <x:v>https://fe2025.mahacet.org/StaticPages/frmInstituteSummary.aspx?InstituteCode=06004</x:v>
      </x:c>
    </x:row>
    <x:row r="228">
      <x:c r="A228" s="63" t="n">
        <x:v>6005</x:v>
      </x:c>
      <x:c r="B228" s="49" t="str">
        <x:v>Government College of Engineering, Karad</x:v>
      </x:c>
      <x:c r="C228" s="49" t="str">
        <x:v>Satara</x:v>
      </x:c>
      <x:c r="D228" s="49"/>
      <x:c r="E228" s="64"/>
      <x:c r="F228" s="64"/>
      <x:c r="G228" s="64"/>
      <x:c r="H228" s="49" t="str">
        <x:v>No verified FRA match in extracted history</x:v>
      </x:c>
      <x:c r="I228" s="49" t="str">
        <x:v>Normal annual approved fee; not category/seat-type payable amount</x:v>
      </x:c>
      <x:c r="J228" s="49" t="str">
        <x:v>https://fe2025.mahacet.org/StaticPages/frmInstituteSummary.aspx?InstituteCode=06005</x:v>
      </x:c>
    </x:row>
    <x:row r="229">
      <x:c r="A229" s="63" t="n">
        <x:v>6006</x:v>
      </x:c>
      <x:c r="B229" s="49" t="str">
        <x:v>COEP Technological University</x:v>
      </x:c>
      <x:c r="C229" s="49"/>
      <x:c r="D229" s="49"/>
      <x:c r="E229" s="64"/>
      <x:c r="F229" s="64"/>
      <x:c r="G229" s="64"/>
      <x:c r="H229" s="49" t="str">
        <x:v>No verified FRA match in extracted history</x:v>
      </x:c>
      <x:c r="I229" s="49" t="str">
        <x:v>Normal annual approved fee; not category/seat-type payable amount</x:v>
      </x:c>
      <x:c r="J229" s="49" t="str">
        <x:v>https://fe2025.mahacet.org/StaticPages/frmInstituteList.aspx?did=1884</x:v>
      </x:c>
    </x:row>
    <x:row r="230">
      <x:c r="A230" s="63" t="n">
        <x:v>6007</x:v>
      </x:c>
      <x:c r="B230" s="49" t="str">
        <x:v>Walchand College of Engineering, Sangli</x:v>
      </x:c>
      <x:c r="C230" s="49" t="str">
        <x:v>Sangli</x:v>
      </x:c>
      <x:c r="D230" s="49"/>
      <x:c r="E230" s="64"/>
      <x:c r="F230" s="64"/>
      <x:c r="G230" s="64"/>
      <x:c r="H230" s="49" t="str">
        <x:v>No verified FRA match in extracted history</x:v>
      </x:c>
      <x:c r="I230" s="49" t="str">
        <x:v>Normal annual approved fee; not category/seat-type payable amount</x:v>
      </x:c>
      <x:c r="J230" s="49" t="str">
        <x:v>https://fe2025.mahacet.org/StaticPages/frmInstituteSummary.aspx?InstituteCode=06007</x:v>
      </x:c>
    </x:row>
    <x:row r="231">
      <x:c r="A231" s="63" t="n">
        <x:v>6028</x:v>
      </x:c>
      <x:c r="B231" s="49" t="str">
        <x:v>Department of Technology, Shivaji University, Kolhapur</x:v>
      </x:c>
      <x:c r="C231" s="49" t="str">
        <x:v>Kolhapur</x:v>
      </x:c>
      <x:c r="D231" s="49"/>
      <x:c r="E231" s="64"/>
      <x:c r="F231" s="64"/>
      <x:c r="G231" s="64"/>
      <x:c r="H231" s="49" t="str">
        <x:v>No verified FRA match in extracted history</x:v>
      </x:c>
      <x:c r="I231" s="49" t="str">
        <x:v>Normal annual approved fee; not category/seat-type payable amount</x:v>
      </x:c>
      <x:c r="J231" s="49" t="str">
        <x:v>https://fe2025.mahacet.org/StaticPages/frmInstituteSummary.aspx?InstituteCode=06028</x:v>
      </x:c>
    </x:row>
    <x:row r="232">
      <x:c r="A232" s="63" t="n">
        <x:v>6036</x:v>
      </x:c>
      <x:c r="B232" s="49" t="str">
        <x:v>Government College of Engineering, Kolhapur</x:v>
      </x:c>
      <x:c r="C232" s="49" t="str">
        <x:v>Kolhapur</x:v>
      </x:c>
      <x:c r="D232" s="49"/>
      <x:c r="E232" s="64"/>
      <x:c r="F232" s="64"/>
      <x:c r="G232" s="64"/>
      <x:c r="H232" s="49" t="str">
        <x:v>No verified FRA match in extracted history</x:v>
      </x:c>
      <x:c r="I232" s="49" t="str">
        <x:v>Normal annual approved fee; not category/seat-type payable amount</x:v>
      </x:c>
      <x:c r="J232" s="49" t="str">
        <x:v>https://fe2025.mahacet.org/StaticPages/frmInstituteSummary.aspx?InstituteCode=06036</x:v>
      </x:c>
    </x:row>
    <x:row r="233">
      <x:c r="A233" s="63" t="n">
        <x:v>6122</x:v>
      </x:c>
      <x:c r="B233" s="49" t="str">
        <x:v>TSSMS's Pd. Vasantdada Patil Institute of Technology, Bavdhan, Pune</x:v>
      </x:c>
      <x:c r="C233" s="49" t="str">
        <x:v>Pune</x:v>
      </x:c>
      <x:c r="D233" s="49" t="str">
        <x:v>2024-25</x:v>
      </x:c>
      <x:c r="E233" s="64" t="n">
        <x:v>101143</x:v>
      </x:c>
      <x:c r="F233" s="64" t="n">
        <x:v>13857</x:v>
      </x:c>
      <x:c r="G233" s="64" t="n">
        <x:v>115000</x:v>
      </x:c>
      <x:c r="H233" s="49" t="str">
        <x:v>Verified FRA annual tuition + development fee</x:v>
      </x:c>
      <x:c r="I233" s="49" t="str">
        <x:v>Normal annual approved fee; not category/seat-type payable amount</x:v>
      </x:c>
      <x:c r="J233" s="49" t="str">
        <x:v>https://fe2025.mahacet.org/StaticPages/frmInstituteSummary.aspx?InstituteCode=06122</x:v>
      </x:c>
    </x:row>
    <x:row r="234">
      <x:c r="A234" s="63" t="n">
        <x:v>6138</x:v>
      </x:c>
      <x:c r="B234" s="49" t="str">
        <x:v>Genba Sopanrao Moze Trust Parvatibai Genba Moze College of Engineering,Wagholi, Pune</x:v>
      </x:c>
      <x:c r="C234" s="49" t="str">
        <x:v>Pune</x:v>
      </x:c>
      <x:c r="D234" s="49" t="str">
        <x:v>2024-25</x:v>
      </x:c>
      <x:c r="E234" s="64" t="n">
        <x:v>33423</x:v>
      </x:c>
      <x:c r="F234" s="64" t="n">
        <x:v>4077</x:v>
      </x:c>
      <x:c r="G234" s="64" t="n">
        <x:v>37500</x:v>
      </x:c>
      <x:c r="H234" s="49" t="str">
        <x:v>Verified FRA annual tuition + development fee</x:v>
      </x:c>
      <x:c r="I234" s="49" t="str">
        <x:v>Normal annual approved fee; not category/seat-type payable amount</x:v>
      </x:c>
      <x:c r="J234" s="49" t="str">
        <x:v>https://fe2025.mahacet.org/StaticPages/frmInstituteSummary.aspx?InstituteCode=06138</x:v>
      </x:c>
    </x:row>
    <x:row r="235">
      <x:c r="A235" s="63" t="n">
        <x:v>6139</x:v>
      </x:c>
      <x:c r="B235" s="49" t="str">
        <x:v>Progressive Education Society's Modern College of Engineering, Pune</x:v>
      </x:c>
      <x:c r="C235" s="49" t="str">
        <x:v>Pune</x:v>
      </x:c>
      <x:c r="D235" s="49" t="str">
        <x:v>2024-25</x:v>
      </x:c>
      <x:c r="E235" s="64" t="n">
        <x:v>78261</x:v>
      </x:c>
      <x:c r="F235" s="64" t="n">
        <x:v>11739</x:v>
      </x:c>
      <x:c r="G235" s="64" t="n">
        <x:v>90000</x:v>
      </x:c>
      <x:c r="H235" s="49" t="str">
        <x:v>Verified FRA annual tuition + development fee</x:v>
      </x:c>
      <x:c r="I235" s="49" t="str">
        <x:v>Normal annual approved fee; not category/seat-type payable amount</x:v>
      </x:c>
      <x:c r="J235" s="49" t="str">
        <x:v>https://fe2025.mahacet.org/StaticPages/frmInstituteSummary.aspx?InstituteCode=06139</x:v>
      </x:c>
    </x:row>
    <x:row r="236">
      <x:c r="A236" s="63" t="n">
        <x:v>6141</x:v>
      </x:c>
      <x:c r="B236" s="49" t="str">
        <x:v>Jaywant Shikshan Prasarak Mandal's,Rajarshi Shahu College of Engineering, Tathawade, Pune</x:v>
      </x:c>
      <x:c r="C236" s="49" t="str">
        <x:v>Pune</x:v>
      </x:c>
      <x:c r="D236" s="49" t="str">
        <x:v>2024-25</x:v>
      </x:c>
      <x:c r="E236" s="64" t="n">
        <x:v>105217</x:v>
      </x:c>
      <x:c r="F236" s="64" t="n">
        <x:v>15783</x:v>
      </x:c>
      <x:c r="G236" s="64" t="n">
        <x:v>121000</x:v>
      </x:c>
      <x:c r="H236" s="49" t="str">
        <x:v>Verified FRA annual tuition + development fee</x:v>
      </x:c>
      <x:c r="I236" s="49" t="str">
        <x:v>Normal annual approved fee; not category/seat-type payable amount</x:v>
      </x:c>
      <x:c r="J236" s="49" t="str">
        <x:v>https://fe2025.mahacet.org/StaticPages/frmInstituteSummary.aspx?InstituteCode=06141</x:v>
      </x:c>
    </x:row>
    <x:row r="237">
      <x:c r="A237" s="63" t="n">
        <x:v>6144</x:v>
      </x:c>
      <x:c r="B237" s="49" t="str">
        <x:v>Genba Sopanrao Moze College of Engineering, Baner-Balewadi, Pune</x:v>
      </x:c>
      <x:c r="C237" s="49" t="str">
        <x:v>Pune</x:v>
      </x:c>
      <x:c r="D237" s="49" t="str">
        <x:v>2024-25</x:v>
      </x:c>
      <x:c r="E237" s="64" t="n">
        <x:v>37545</x:v>
      </x:c>
      <x:c r="F237" s="64" t="n">
        <x:v>4955</x:v>
      </x:c>
      <x:c r="G237" s="64" t="n">
        <x:v>42500</x:v>
      </x:c>
      <x:c r="H237" s="49" t="str">
        <x:v>Verified FRA annual tuition + development fee</x:v>
      </x:c>
      <x:c r="I237" s="49" t="str">
        <x:v>Normal annual approved fee; not category/seat-type payable amount</x:v>
      </x:c>
      <x:c r="J237" s="49" t="str">
        <x:v>https://fe2025.mahacet.org/StaticPages/frmInstituteSummary.aspx?InstituteCode=06144</x:v>
      </x:c>
    </x:row>
    <x:row r="238">
      <x:c r="A238" s="63" t="n">
        <x:v>6145</x:v>
      </x:c>
      <x:c r="B238" s="49" t="str">
        <x:v>JSPM'S Jaywantrao Sawant College of Engineering,Pune</x:v>
      </x:c>
      <x:c r="C238" s="49" t="str">
        <x:v>Pune</x:v>
      </x:c>
      <x:c r="D238" s="49" t="str">
        <x:v>2024-25</x:v>
      </x:c>
      <x:c r="E238" s="64" t="n">
        <x:v>109565</x:v>
      </x:c>
      <x:c r="F238" s="64" t="n">
        <x:v>16435</x:v>
      </x:c>
      <x:c r="G238" s="64" t="n">
        <x:v>126000</x:v>
      </x:c>
      <x:c r="H238" s="49" t="str">
        <x:v>Verified FRA annual tuition + development fee</x:v>
      </x:c>
      <x:c r="I238" s="49" t="str">
        <x:v>Normal annual approved fee; not category/seat-type payable amount</x:v>
      </x:c>
      <x:c r="J238" s="49" t="str">
        <x:v>https://fe2025.mahacet.org/StaticPages/frmInstituteSummary.aspx?InstituteCode=06145</x:v>
      </x:c>
    </x:row>
    <x:row r="239">
      <x:c r="A239" s="63" t="n">
        <x:v>6146</x:v>
      </x:c>
      <x:c r="B239" s="49" t="str">
        <x:v>MIT Academy of Engineering,Alandi, Pune</x:v>
      </x:c>
      <x:c r="C239" s="49" t="str">
        <x:v>Pune</x:v>
      </x:c>
      <x:c r="D239" s="49" t="str">
        <x:v>2024-25</x:v>
      </x:c>
      <x:c r="E239" s="64" t="n">
        <x:v>166087</x:v>
      </x:c>
      <x:c r="F239" s="64" t="n">
        <x:v>24913</x:v>
      </x:c>
      <x:c r="G239" s="64" t="n">
        <x:v>191000</x:v>
      </x:c>
      <x:c r="H239" s="49" t="str">
        <x:v>Verified FRA annual tuition + development fee</x:v>
      </x:c>
      <x:c r="I239" s="49" t="str">
        <x:v>Normal annual approved fee; not category/seat-type payable amount</x:v>
      </x:c>
      <x:c r="J239" s="49" t="str">
        <x:v>https://fe2025.mahacet.org/StaticPages/frmInstituteSummary.aspx?InstituteCode=06146</x:v>
      </x:c>
    </x:row>
    <x:row r="240">
      <x:c r="A240" s="63" t="n">
        <x:v>6149</x:v>
      </x:c>
      <x:c r="B240" s="49" t="str">
        <x:v>Siddhant College of Engineering, A/p Sudumbare, Tal.Maval, Dist-Pune</x:v>
      </x:c>
      <x:c r="C240" s="49" t="str">
        <x:v>Pune</x:v>
      </x:c>
      <x:c r="D240" s="49" t="str">
        <x:v>2024-25</x:v>
      </x:c>
      <x:c r="E240" s="64" t="n">
        <x:v>52047</x:v>
      </x:c>
      <x:c r="F240" s="64" t="n">
        <x:v>6453</x:v>
      </x:c>
      <x:c r="G240" s="64" t="n">
        <x:v>58500</x:v>
      </x:c>
      <x:c r="H240" s="49" t="str">
        <x:v>Verified FRA annual tuition + development fee</x:v>
      </x:c>
      <x:c r="I240" s="49" t="str">
        <x:v>Normal annual approved fee; not category/seat-type payable amount</x:v>
      </x:c>
      <x:c r="J240" s="49" t="str">
        <x:v>https://fe2025.mahacet.org/StaticPages/frmInstituteSummary.aspx?InstituteCode=06149</x:v>
      </x:c>
    </x:row>
    <x:row r="241">
      <x:c r="A241" s="63" t="n">
        <x:v>6155</x:v>
      </x:c>
      <x:c r="B241" s="49" t="str">
        <x:v>G.H.Raisoni College of Engineering &amp; Management, Wagholi, Pune</x:v>
      </x:c>
      <x:c r="C241" s="49" t="str">
        <x:v>Pune</x:v>
      </x:c>
      <x:c r="D241" s="49" t="str">
        <x:v>2024-25</x:v>
      </x:c>
      <x:c r="E241" s="64" t="n">
        <x:v>116087</x:v>
      </x:c>
      <x:c r="F241" s="64" t="n">
        <x:v>17413</x:v>
      </x:c>
      <x:c r="G241" s="64" t="n">
        <x:v>133500</x:v>
      </x:c>
      <x:c r="H241" s="49" t="str">
        <x:v>Verified FRA annual tuition + development fee</x:v>
      </x:c>
      <x:c r="I241" s="49" t="str">
        <x:v>Normal annual approved fee; not category/seat-type payable amount</x:v>
      </x:c>
      <x:c r="J241" s="49" t="str">
        <x:v>https://fe2025.mahacet.org/StaticPages/frmInstituteSummary.aspx?InstituteCode=06155</x:v>
      </x:c>
    </x:row>
    <x:row r="242">
      <x:c r="A242" s="63" t="n">
        <x:v>6156</x:v>
      </x:c>
      <x:c r="B242" s="49" t="str">
        <x:v>Marathwada Mitra Mandal's College of Engineering, Karvenagar, Pune</x:v>
      </x:c>
      <x:c r="C242" s="49" t="str">
        <x:v>Pune</x:v>
      </x:c>
      <x:c r="D242" s="49" t="str">
        <x:v>2024-25</x:v>
      </x:c>
      <x:c r="E242" s="64" t="n">
        <x:v>83478</x:v>
      </x:c>
      <x:c r="F242" s="64" t="n">
        <x:v>12522</x:v>
      </x:c>
      <x:c r="G242" s="64" t="n">
        <x:v>96000</x:v>
      </x:c>
      <x:c r="H242" s="49" t="str">
        <x:v>Verified FRA annual tuition + development fee</x:v>
      </x:c>
      <x:c r="I242" s="49" t="str">
        <x:v>Normal annual approved fee; not category/seat-type payable amount</x:v>
      </x:c>
      <x:c r="J242" s="49" t="str">
        <x:v>https://fe2025.mahacet.org/StaticPages/frmInstituteSummary.aspx?InstituteCode=06156</x:v>
      </x:c>
    </x:row>
    <x:row r="243">
      <x:c r="A243" s="63" t="n">
        <x:v>6175</x:v>
      </x:c>
      <x:c r="B243" s="49" t="str">
        <x:v>Pimpri Chinchwad Education Trust, Pimpri Chinchwad College of Engineering, Pune</x:v>
      </x:c>
      <x:c r="C243" s="49" t="str">
        <x:v>Pune</x:v>
      </x:c>
      <x:c r="D243" s="49" t="str">
        <x:v>2024-25</x:v>
      </x:c>
      <x:c r="E243" s="64" t="n">
        <x:v>139130</x:v>
      </x:c>
      <x:c r="F243" s="64" t="n">
        <x:v>20870</x:v>
      </x:c>
      <x:c r="G243" s="64" t="n">
        <x:v>160000</x:v>
      </x:c>
      <x:c r="H243" s="49" t="str">
        <x:v>Verified FRA annual tuition + development fee</x:v>
      </x:c>
      <x:c r="I243" s="49" t="str">
        <x:v>Normal annual approved fee; not category/seat-type payable amount</x:v>
      </x:c>
      <x:c r="J243" s="49" t="str">
        <x:v>https://fe2025.mahacet.org/StaticPages/frmInstituteSummary.aspx?InstituteCode=06175</x:v>
      </x:c>
    </x:row>
    <x:row r="244">
      <x:c r="A244" s="63" t="n">
        <x:v>6177</x:v>
      </x:c>
      <x:c r="B244" s="49" t="str">
        <x:v>Sinhgad College of Engineering, Vadgaon (BK), Pune</x:v>
      </x:c>
      <x:c r="C244" s="49" t="str">
        <x:v>Pune</x:v>
      </x:c>
      <x:c r="D244" s="49" t="str">
        <x:v>2024-25</x:v>
      </x:c>
      <x:c r="E244" s="64" t="n">
        <x:v>113043</x:v>
      </x:c>
      <x:c r="F244" s="64" t="n">
        <x:v>16957</x:v>
      </x:c>
      <x:c r="G244" s="64" t="n">
        <x:v>130000</x:v>
      </x:c>
      <x:c r="H244" s="49" t="str">
        <x:v>Verified FRA annual tuition + development fee</x:v>
      </x:c>
      <x:c r="I244" s="49" t="str">
        <x:v>Normal annual approved fee; not category/seat-type payable amount</x:v>
      </x:c>
      <x:c r="J244" s="49" t="str">
        <x:v>https://fe2025.mahacet.org/StaticPages/frmInstituteSummary.aspx?InstituteCode=06177</x:v>
      </x:c>
    </x:row>
    <x:row r="245">
      <x:c r="A245" s="63" t="n">
        <x:v>6178</x:v>
      </x:c>
      <x:c r="B245" s="49" t="str">
        <x:v>Sinhgad Technical Education Society's Smt. Kashibai Navale College of Engineering,Vadgaon,Pune</x:v>
      </x:c>
      <x:c r="C245" s="49" t="str">
        <x:v>Pune</x:v>
      </x:c>
      <x:c r="D245" s="49" t="str">
        <x:v>2024-25</x:v>
      </x:c>
      <x:c r="E245" s="64" t="n">
        <x:v>84499</x:v>
      </x:c>
      <x:c r="F245" s="64" t="n">
        <x:v>12001</x:v>
      </x:c>
      <x:c r="G245" s="64" t="n">
        <x:v>96500</x:v>
      </x:c>
      <x:c r="H245" s="49" t="str">
        <x:v>Verified FRA annual tuition + development fee</x:v>
      </x:c>
      <x:c r="I245" s="49" t="str">
        <x:v>Normal annual approved fee; not category/seat-type payable amount</x:v>
      </x:c>
      <x:c r="J245" s="49" t="str">
        <x:v>https://fe2025.mahacet.org/StaticPages/frmInstituteSummary.aspx?InstituteCode=06178</x:v>
      </x:c>
    </x:row>
    <x:row r="246">
      <x:c r="A246" s="63" t="n">
        <x:v>6179</x:v>
      </x:c>
      <x:c r="B246" s="49" t="str">
        <x:v>Indira College of Engineering &amp; Management, Pune</x:v>
      </x:c>
      <x:c r="C246" s="49" t="str">
        <x:v>Pune</x:v>
      </x:c>
      <x:c r="D246" s="49" t="str">
        <x:v>2024-25</x:v>
      </x:c>
      <x:c r="E246" s="64" t="n">
        <x:v>109130</x:v>
      </x:c>
      <x:c r="F246" s="64" t="n">
        <x:v>16370</x:v>
      </x:c>
      <x:c r="G246" s="64" t="n">
        <x:v>125500</x:v>
      </x:c>
      <x:c r="H246" s="49" t="str">
        <x:v>Verified FRA annual tuition + development fee</x:v>
      </x:c>
      <x:c r="I246" s="49" t="str">
        <x:v>Normal annual approved fee; not category/seat-type payable amount</x:v>
      </x:c>
      <x:c r="J246" s="49" t="str">
        <x:v>https://fe2025.mahacet.org/StaticPages/frmInstituteSummary.aspx?InstituteCode=06179</x:v>
      </x:c>
    </x:row>
    <x:row r="247">
      <x:c r="A247" s="63" t="n">
        <x:v>6182</x:v>
      </x:c>
      <x:c r="B247" s="49" t="str">
        <x:v>Sinhgad Technical Education Society, Sinhgad Institute of Technology and Science, Narhe (Ambegaon)</x:v>
      </x:c>
      <x:c r="C247" s="49" t="str">
        <x:v>Pune</x:v>
      </x:c>
      <x:c r="D247" s="49" t="str">
        <x:v>2024-25</x:v>
      </x:c>
      <x:c r="E247" s="64" t="n">
        <x:v>89664</x:v>
      </x:c>
      <x:c r="F247" s="64" t="n">
        <x:v>11836</x:v>
      </x:c>
      <x:c r="G247" s="64" t="n">
        <x:v>101500</x:v>
      </x:c>
      <x:c r="H247" s="49" t="str">
        <x:v>Verified FRA annual tuition + development fee</x:v>
      </x:c>
      <x:c r="I247" s="49" t="str">
        <x:v>Normal annual approved fee; not category/seat-type payable amount</x:v>
      </x:c>
      <x:c r="J247" s="49" t="str">
        <x:v>https://fe2025.mahacet.org/StaticPages/frmInstituteSummary.aspx?InstituteCode=06182</x:v>
      </x:c>
    </x:row>
    <x:row r="248">
      <x:c r="A248" s="63" t="n">
        <x:v>6183</x:v>
      </x:c>
      <x:c r="B248" s="49" t="str">
        <x:v>Al-Ameen Educational and Medical Foundation, College of Engineering, Koregaon, Bhima</x:v>
      </x:c>
      <x:c r="C248" s="49" t="str">
        <x:v>Pune</x:v>
      </x:c>
      <x:c r="D248" s="49" t="str">
        <x:v>2024-25</x:v>
      </x:c>
      <x:c r="E248" s="64" t="n">
        <x:v>40066</x:v>
      </x:c>
      <x:c r="F248" s="64" t="n">
        <x:v>4287</x:v>
      </x:c>
      <x:c r="G248" s="64" t="n">
        <x:v>44353</x:v>
      </x:c>
      <x:c r="H248" s="49" t="str">
        <x:v>Verified FRA annual tuition + development fee</x:v>
      </x:c>
      <x:c r="I248" s="49" t="str">
        <x:v>Normal annual approved fee; not category/seat-type payable amount</x:v>
      </x:c>
      <x:c r="J248" s="49" t="str">
        <x:v>https://fe2025.mahacet.org/StaticPages/frmInstituteSummary.aspx?InstituteCode=06183</x:v>
      </x:c>
    </x:row>
    <x:row r="249">
      <x:c r="A249" s="63" t="n">
        <x:v>6184</x:v>
      </x:c>
      <x:c r="B249" s="49" t="str">
        <x:v>K. J.'s Educational Institut Trinity College of Engineering and Research, Pisoli, Haveli</x:v>
      </x:c>
      <x:c r="C249" s="49" t="str">
        <x:v>Pune</x:v>
      </x:c>
      <x:c r="D249" s="49" t="str">
        <x:v>2024-25</x:v>
      </x:c>
      <x:c r="E249" s="64" t="n">
        <x:v>88697</x:v>
      </x:c>
      <x:c r="F249" s="64" t="n">
        <x:v>13303</x:v>
      </x:c>
      <x:c r="G249" s="64" t="n">
        <x:v>102000</x:v>
      </x:c>
      <x:c r="H249" s="49" t="str">
        <x:v>Verified FRA annual tuition + development fee</x:v>
      </x:c>
      <x:c r="I249" s="49" t="str">
        <x:v>Normal annual approved fee; not category/seat-type payable amount</x:v>
      </x:c>
      <x:c r="J249" s="49" t="str">
        <x:v>https://fe2025.mahacet.org/StaticPages/frmInstituteSummary.aspx?InstituteCode=06184</x:v>
      </x:c>
    </x:row>
    <x:row r="250">
      <x:c r="A250" s="63" t="n">
        <x:v>6185</x:v>
      </x:c>
      <x:c r="B250" s="49" t="str">
        <x:v>Sinhgad Institute of Technology</x:v>
      </x:c>
      <x:c r="C250" s="49" t="str">
        <x:v>Pune</x:v>
      </x:c>
      <x:c r="D250" s="49" t="str">
        <x:v>2024-25</x:v>
      </x:c>
      <x:c r="E250" s="64" t="n">
        <x:v>111013</x:v>
      </x:c>
      <x:c r="F250" s="64" t="n">
        <x:v>14987</x:v>
      </x:c>
      <x:c r="G250" s="64" t="n">
        <x:v>126000</x:v>
      </x:c>
      <x:c r="H250" s="49" t="str">
        <x:v>Verified FRA annual tuition + development fee</x:v>
      </x:c>
      <x:c r="I250" s="49" t="str">
        <x:v>Normal annual approved fee; not category/seat-type payable amount</x:v>
      </x:c>
      <x:c r="J250" s="49" t="str">
        <x:v>https://fe2025.mahacet.org/StaticPages/frmInstituteSummary.aspx?InstituteCode=06185</x:v>
      </x:c>
    </x:row>
    <x:row r="251">
      <x:c r="A251" s="63" t="n">
        <x:v>6187</x:v>
      </x:c>
      <x:c r="B251" s="49" t="str">
        <x:v>Sinhgad Academy of Engineering, Kondhwa (BK) Kondhwa-Saswad Road, Pune</x:v>
      </x:c>
      <x:c r="C251" s="49" t="str">
        <x:v>Pune</x:v>
      </x:c>
      <x:c r="D251" s="49" t="str">
        <x:v>2024-25</x:v>
      </x:c>
      <x:c r="E251" s="64" t="n">
        <x:v>88674</x:v>
      </x:c>
      <x:c r="F251" s="64" t="n">
        <x:v>12326</x:v>
      </x:c>
      <x:c r="G251" s="64" t="n">
        <x:v>101000</x:v>
      </x:c>
      <x:c r="H251" s="49" t="str">
        <x:v>Verified FRA annual tuition + development fee</x:v>
      </x:c>
      <x:c r="I251" s="49" t="str">
        <x:v>Normal annual approved fee; not category/seat-type payable amount</x:v>
      </x:c>
      <x:c r="J251" s="49" t="str">
        <x:v>https://fe2025.mahacet.org/StaticPages/frmInstituteSummary.aspx?InstituteCode=06187</x:v>
      </x:c>
    </x:row>
    <x:row r="252">
      <x:c r="A252" s="63" t="n">
        <x:v>6203</x:v>
      </x:c>
      <x:c r="B252" s="49" t="str">
        <x:v>Marathwada Mitra Mandal's Institute of Technology, Lohgaon, Pune</x:v>
      </x:c>
      <x:c r="C252" s="49" t="str">
        <x:v>Pune</x:v>
      </x:c>
      <x:c r="D252" s="49" t="str">
        <x:v>2024-25</x:v>
      </x:c>
      <x:c r="E252" s="64" t="n">
        <x:v>87951</x:v>
      </x:c>
      <x:c r="F252" s="64" t="n">
        <x:v>12049</x:v>
      </x:c>
      <x:c r="G252" s="64" t="n">
        <x:v>100000</x:v>
      </x:c>
      <x:c r="H252" s="49" t="str">
        <x:v>Verified FRA annual tuition + development fee</x:v>
      </x:c>
      <x:c r="I252" s="49" t="str">
        <x:v>Normal annual approved fee; not category/seat-type payable amount</x:v>
      </x:c>
      <x:c r="J252" s="49" t="str">
        <x:v>https://fe2025.mahacet.org/StaticPages/frmInstituteSummary.aspx?InstituteCode=06203</x:v>
      </x:c>
    </x:row>
    <x:row r="253">
      <x:c r="A253" s="63" t="n">
        <x:v>6206</x:v>
      </x:c>
      <x:c r="B253" s="49" t="str">
        <x:v>Pune District Education Association's College of Engineering, Manjari(Bk), Hadapsar, Pune</x:v>
      </x:c>
      <x:c r="C253" s="49" t="str">
        <x:v>Pune</x:v>
      </x:c>
      <x:c r="D253" s="49" t="str">
        <x:v>2024-25</x:v>
      </x:c>
      <x:c r="E253" s="64" t="n">
        <x:v>79857</x:v>
      </x:c>
      <x:c r="F253" s="64" t="n">
        <x:v>10143</x:v>
      </x:c>
      <x:c r="G253" s="64" t="n">
        <x:v>90000</x:v>
      </x:c>
      <x:c r="H253" s="49" t="str">
        <x:v>Verified FRA annual tuition + development fee</x:v>
      </x:c>
      <x:c r="I253" s="49" t="str">
        <x:v>Normal annual approved fee; not category/seat-type payable amount</x:v>
      </x:c>
      <x:c r="J253" s="49" t="str">
        <x:v>https://fe2025.mahacet.org/StaticPages/frmInstituteSummary.aspx?InstituteCode=06206</x:v>
      </x:c>
    </x:row>
    <x:row r="254">
      <x:c r="A254" s="63" t="n">
        <x:v>6207</x:v>
      </x:c>
      <x:c r="B254" s="49" t="str">
        <x:v>Dr. D. Y. Patil Unitech Society's Dr. D. Y. Patil Institute of Technology, Pimpri, Pune</x:v>
      </x:c>
      <x:c r="C254" s="49" t="str">
        <x:v>Pune</x:v>
      </x:c>
      <x:c r="D254" s="49" t="str">
        <x:v>2024-25</x:v>
      </x:c>
      <x:c r="E254" s="64" t="n">
        <x:v>90000</x:v>
      </x:c>
      <x:c r="F254" s="64" t="n">
        <x:v>13500</x:v>
      </x:c>
      <x:c r="G254" s="64" t="n">
        <x:v>103500</x:v>
      </x:c>
      <x:c r="H254" s="49" t="str">
        <x:v>Verified FRA annual tuition + development fee</x:v>
      </x:c>
      <x:c r="I254" s="49" t="str">
        <x:v>Normal annual approved fee; not category/seat-type payable amount</x:v>
      </x:c>
      <x:c r="J254" s="49" t="str">
        <x:v>https://fe2025.mahacet.org/StaticPages/frmInstituteSummary.aspx?InstituteCode=06207</x:v>
      </x:c>
    </x:row>
    <x:row r="255">
      <x:c r="A255" s="63" t="n">
        <x:v>6214</x:v>
      </x:c>
      <x:c r="B255" s="49" t="str">
        <x:v>K. E. Society's Rajarambapu Institute of Technology, Walwa, Sangli</x:v>
      </x:c>
      <x:c r="C255" s="49" t="str">
        <x:v>Sangli</x:v>
      </x:c>
      <x:c r="D255" s="49" t="str">
        <x:v>2024-25</x:v>
      </x:c>
      <x:c r="E255" s="64" t="n">
        <x:v>136522</x:v>
      </x:c>
      <x:c r="F255" s="64" t="n">
        <x:v>20478</x:v>
      </x:c>
      <x:c r="G255" s="64" t="n">
        <x:v>157000</x:v>
      </x:c>
      <x:c r="H255" s="49" t="str">
        <x:v>Verified FRA annual tuition + development fee</x:v>
      </x:c>
      <x:c r="I255" s="49" t="str">
        <x:v>Normal annual approved fee; not category/seat-type payable amount</x:v>
      </x:c>
      <x:c r="J255" s="49" t="str">
        <x:v>https://fe2025.mahacet.org/StaticPages/frmInstituteSummary.aspx?InstituteCode=06214</x:v>
      </x:c>
    </x:row>
    <x:row r="256">
      <x:c r="A256" s="63" t="n">
        <x:v>6217</x:v>
      </x:c>
      <x:c r="B256" s="49" t="str">
        <x:v>Shri. Balasaheb Mane Shikshan Prasarak Mandal's, Ashokrao Mane Group of Institutions</x:v>
      </x:c>
      <x:c r="C256" s="49" t="str">
        <x:v>Kolhapur</x:v>
      </x:c>
      <x:c r="D256" s="49" t="str">
        <x:v>2024-25</x:v>
      </x:c>
      <x:c r="E256" s="64" t="n">
        <x:v>95927</x:v>
      </x:c>
      <x:c r="F256" s="64" t="n">
        <x:v>10073</x:v>
      </x:c>
      <x:c r="G256" s="64" t="n">
        <x:v>106000</x:v>
      </x:c>
      <x:c r="H256" s="49" t="str">
        <x:v>Verified FRA annual tuition + development fee</x:v>
      </x:c>
      <x:c r="I256" s="49" t="str">
        <x:v>Normal annual approved fee; not category/seat-type payable amount</x:v>
      </x:c>
      <x:c r="J256" s="49" t="str">
        <x:v>https://fe2025.mahacet.org/StaticPages/frmInstituteSummary.aspx?InstituteCode=06217</x:v>
      </x:c>
    </x:row>
    <x:row r="257">
      <x:c r="A257" s="63" t="n">
        <x:v>6219</x:v>
      </x:c>
      <x:c r="B257" s="49" t="str">
        <x:v>KSGBS's Bharat- Ratna Indira Gandhi College of Engineering, Kegaon, Solapur</x:v>
      </x:c>
      <x:c r="C257" s="49" t="str">
        <x:v>Solapur</x:v>
      </x:c>
      <x:c r="D257" s="49" t="str">
        <x:v>2024-25</x:v>
      </x:c>
      <x:c r="E257" s="64" t="n">
        <x:v>55855</x:v>
      </x:c>
      <x:c r="F257" s="64" t="n">
        <x:v>6145</x:v>
      </x:c>
      <x:c r="G257" s="64" t="n">
        <x:v>62000</x:v>
      </x:c>
      <x:c r="H257" s="49" t="str">
        <x:v>Verified FRA annual tuition + development fee</x:v>
      </x:c>
      <x:c r="I257" s="49" t="str">
        <x:v>Normal annual approved fee; not category/seat-type payable amount</x:v>
      </x:c>
      <x:c r="J257" s="49" t="str">
        <x:v>https://fe2025.mahacet.org/StaticPages/frmInstituteSummary.aspx?InstituteCode=06219</x:v>
      </x:c>
    </x:row>
    <x:row r="258">
      <x:c r="A258" s="63" t="n">
        <x:v>6220</x:v>
      </x:c>
      <x:c r="B258" s="49" t="str">
        <x:v>SVERI's College of Engineering, Pandharpur</x:v>
      </x:c>
      <x:c r="C258" s="49" t="str">
        <x:v>Solapur</x:v>
      </x:c>
      <x:c r="D258" s="49" t="str">
        <x:v>2024-25</x:v>
      </x:c>
      <x:c r="E258" s="64" t="n">
        <x:v>87184</x:v>
      </x:c>
      <x:c r="F258" s="64" t="n">
        <x:v>12816</x:v>
      </x:c>
      <x:c r="G258" s="64" t="n">
        <x:v>100000</x:v>
      </x:c>
      <x:c r="H258" s="49" t="str">
        <x:v>Verified FRA annual tuition + development fee</x:v>
      </x:c>
      <x:c r="I258" s="49" t="str">
        <x:v>Normal annual approved fee; not category/seat-type payable amount</x:v>
      </x:c>
      <x:c r="J258" s="49" t="str">
        <x:v>https://fe2025.mahacet.org/StaticPages/frmInstituteSummary.aspx?InstituteCode=06220</x:v>
      </x:c>
    </x:row>
    <x:row r="259">
      <x:c r="A259" s="63" t="n">
        <x:v>6222</x:v>
      </x:c>
      <x:c r="B259" s="49" t="str">
        <x:v>Dattajirao Kadam Technical Education Society's Textile &amp; Engineering Institute, Ichalkaranji.</x:v>
      </x:c>
      <x:c r="C259" s="49" t="str">
        <x:v>Kolhapur</x:v>
      </x:c>
      <x:c r="D259" s="49" t="str">
        <x:v>2024-25</x:v>
      </x:c>
      <x:c r="E259" s="64" t="n">
        <x:v>95652</x:v>
      </x:c>
      <x:c r="F259" s="64" t="n">
        <x:v>14348</x:v>
      </x:c>
      <x:c r="G259" s="64" t="n">
        <x:v>110000</x:v>
      </x:c>
      <x:c r="H259" s="49" t="str">
        <x:v>Verified FRA annual tuition + development fee</x:v>
      </x:c>
      <x:c r="I259" s="49" t="str">
        <x:v>Normal annual approved fee; not category/seat-type payable amount</x:v>
      </x:c>
      <x:c r="J259" s="49" t="str">
        <x:v>https://fe2025.mahacet.org/StaticPages/frmInstituteSummary.aspx?InstituteCode=06222</x:v>
      </x:c>
    </x:row>
    <x:row r="260">
      <x:c r="A260" s="63" t="n">
        <x:v>6223</x:v>
      </x:c>
      <x:c r="B260" s="49" t="str">
        <x:v>Pradnya Niketan Education Society's Nagesh Karajagi Orchid College of Engineering &amp; Technology, Solapur</x:v>
      </x:c>
      <x:c r="C260" s="49" t="str">
        <x:v>Solapur</x:v>
      </x:c>
      <x:c r="D260" s="49" t="str">
        <x:v>2024-25</x:v>
      </x:c>
      <x:c r="E260" s="64" t="n">
        <x:v>88780</x:v>
      </x:c>
      <x:c r="F260" s="64" t="n">
        <x:v>11720</x:v>
      </x:c>
      <x:c r="G260" s="64" t="n">
        <x:v>100500</x:v>
      </x:c>
      <x:c r="H260" s="49" t="str">
        <x:v>Verified FRA annual tuition + development fee</x:v>
      </x:c>
      <x:c r="I260" s="49" t="str">
        <x:v>Normal annual approved fee; not category/seat-type payable amount</x:v>
      </x:c>
      <x:c r="J260" s="49" t="str">
        <x:v>https://fe2025.mahacet.org/StaticPages/frmInstituteSummary.aspx?InstituteCode=06223</x:v>
      </x:c>
    </x:row>
    <x:row r="261">
      <x:c r="A261" s="63" t="n">
        <x:v>6250</x:v>
      </x:c>
      <x:c r="B261" s="49" t="str">
        <x:v>D.Y. Patil College of Engineering and Technology, Kolhapur</x:v>
      </x:c>
      <x:c r="C261" s="49" t="str">
        <x:v>Kolhapur</x:v>
      </x:c>
      <x:c r="D261" s="49" t="str">
        <x:v>2024-25</x:v>
      </x:c>
      <x:c r="E261" s="64" t="n">
        <x:v>107826</x:v>
      </x:c>
      <x:c r="F261" s="64" t="n">
        <x:v>16174</x:v>
      </x:c>
      <x:c r="G261" s="64" t="n">
        <x:v>124000</x:v>
      </x:c>
      <x:c r="H261" s="49" t="str">
        <x:v>Verified FRA annual tuition + development fee</x:v>
      </x:c>
      <x:c r="I261" s="49" t="str">
        <x:v>Normal annual approved fee; not category/seat-type payable amount</x:v>
      </x:c>
      <x:c r="J261" s="49" t="str">
        <x:v>https://fe2025.mahacet.org/StaticPages/frmInstituteSummary.aspx?InstituteCode=06250</x:v>
      </x:c>
    </x:row>
    <x:row r="262">
      <x:c r="A262" s="63" t="n">
        <x:v>6265</x:v>
      </x:c>
      <x:c r="B262" s="49" t="str">
        <x:v>Walchand Institute of Technology, Solapur</x:v>
      </x:c>
      <x:c r="C262" s="49" t="str">
        <x:v>Solapur</x:v>
      </x:c>
      <x:c r="D262" s="49" t="str">
        <x:v>2024-25</x:v>
      </x:c>
      <x:c r="E262" s="64" t="n">
        <x:v>110435</x:v>
      </x:c>
      <x:c r="F262" s="64" t="n">
        <x:v>16565</x:v>
      </x:c>
      <x:c r="G262" s="64" t="n">
        <x:v>127000</x:v>
      </x:c>
      <x:c r="H262" s="49" t="str">
        <x:v>Verified FRA annual tuition + development fee</x:v>
      </x:c>
      <x:c r="I262" s="49" t="str">
        <x:v>Normal annual approved fee; not category/seat-type payable amount</x:v>
      </x:c>
      <x:c r="J262" s="49" t="str">
        <x:v>https://fe2025.mahacet.org/StaticPages/frmInstituteSummary.aspx?InstituteCode=06265</x:v>
      </x:c>
    </x:row>
    <x:row r="263">
      <x:c r="A263" s="63" t="n">
        <x:v>6267</x:v>
      </x:c>
      <x:c r="B263" s="49" t="str">
        <x:v>Kolhapur Institute of Technology's College of Engineering(Autonomous), Kolhapur</x:v>
      </x:c>
      <x:c r="C263" s="49" t="str">
        <x:v>Kolhapur</x:v>
      </x:c>
      <x:c r="D263" s="49" t="str">
        <x:v>2024-25</x:v>
      </x:c>
      <x:c r="E263" s="64" t="n">
        <x:v>84783</x:v>
      </x:c>
      <x:c r="F263" s="64" t="n">
        <x:v>12717</x:v>
      </x:c>
      <x:c r="G263" s="64" t="n">
        <x:v>97500</x:v>
      </x:c>
      <x:c r="H263" s="49" t="str">
        <x:v>Verified FRA annual tuition + development fee</x:v>
      </x:c>
      <x:c r="I263" s="49" t="str">
        <x:v>Normal annual approved fee; not category/seat-type payable amount</x:v>
      </x:c>
      <x:c r="J263" s="49" t="str">
        <x:v>https://fe2025.mahacet.org/StaticPages/frmInstituteSummary.aspx?InstituteCode=06267</x:v>
      </x:c>
    </x:row>
    <x:row r="264">
      <x:c r="A264" s="63" t="n">
        <x:v>6268</x:v>
      </x:c>
      <x:c r="B264" s="49" t="str">
        <x:v>Tatyasaheb Kore Institute of Engineering and Technology, Warananagar</x:v>
      </x:c>
      <x:c r="C264" s="49" t="str">
        <x:v>Kolhapur</x:v>
      </x:c>
      <x:c r="D264" s="49" t="str">
        <x:v>2024-25</x:v>
      </x:c>
      <x:c r="E264" s="64" t="n">
        <x:v>91304</x:v>
      </x:c>
      <x:c r="F264" s="64" t="n">
        <x:v>13696</x:v>
      </x:c>
      <x:c r="G264" s="64" t="n">
        <x:v>105000</x:v>
      </x:c>
      <x:c r="H264" s="49" t="str">
        <x:v>Verified FRA annual tuition + development fee</x:v>
      </x:c>
      <x:c r="I264" s="49" t="str">
        <x:v>Normal annual approved fee; not category/seat-type payable amount</x:v>
      </x:c>
      <x:c r="J264" s="49" t="str">
        <x:v>https://fe2025.mahacet.org/StaticPages/frmInstituteSummary.aspx?InstituteCode=06268</x:v>
      </x:c>
    </x:row>
    <x:row r="265">
      <x:c r="A265" s="63" t="n">
        <x:v>6269</x:v>
      </x:c>
      <x:c r="B265" s="49" t="str">
        <x:v>Shetkari Shikshan Mandal's Pad. Vasantraodada Patil Institute of Technology, Budhgaon, Sangli</x:v>
      </x:c>
      <x:c r="C265" s="49" t="str">
        <x:v>Sangli</x:v>
      </x:c>
      <x:c r="D265" s="49" t="str">
        <x:v>2024-25</x:v>
      </x:c>
      <x:c r="E265" s="64" t="n">
        <x:v>83553</x:v>
      </x:c>
      <x:c r="F265" s="64" t="n">
        <x:v>11447</x:v>
      </x:c>
      <x:c r="G265" s="64" t="n">
        <x:v>95000</x:v>
      </x:c>
      <x:c r="H265" s="49" t="str">
        <x:v>Verified FRA annual tuition + development fee</x:v>
      </x:c>
      <x:c r="I265" s="49" t="str">
        <x:v>Normal annual approved fee; not category/seat-type payable amount</x:v>
      </x:c>
      <x:c r="J265" s="49" t="str">
        <x:v>https://fe2025.mahacet.org/StaticPages/frmInstituteSummary.aspx?InstituteCode=06269</x:v>
      </x:c>
    </x:row>
    <x:row r="266">
      <x:c r="A266" s="63" t="n">
        <x:v>6270</x:v>
      </x:c>
      <x:c r="B266" s="49" t="str">
        <x:v>Rayat Shikshan Sanstha's Karmaveer Bhaurao Patil College of Engineering, Satara</x:v>
      </x:c>
      <x:c r="C266" s="49" t="str">
        <x:v>Satara</x:v>
      </x:c>
      <x:c r="D266" s="49" t="str">
        <x:v>2024-25</x:v>
      </x:c>
      <x:c r="E266" s="64" t="n">
        <x:v>92920</x:v>
      </x:c>
      <x:c r="F266" s="64" t="n">
        <x:v>12080</x:v>
      </x:c>
      <x:c r="G266" s="64" t="n">
        <x:v>105000</x:v>
      </x:c>
      <x:c r="H266" s="49" t="str">
        <x:v>Verified FRA annual tuition + development fee</x:v>
      </x:c>
      <x:c r="I266" s="49" t="str">
        <x:v>Normal annual approved fee; not category/seat-type payable amount</x:v>
      </x:c>
      <x:c r="J266" s="49" t="str">
        <x:v>https://fe2025.mahacet.org/StaticPages/frmInstituteSummary.aspx?InstituteCode=06270</x:v>
      </x:c>
    </x:row>
    <x:row r="267">
      <x:c r="A267" s="63" t="n">
        <x:v>6271</x:v>
      </x:c>
      <x:c r="B267" s="49" t="str">
        <x:v>Pune Institute of Computer Technology</x:v>
      </x:c>
      <x:c r="C267" s="49" t="str">
        <x:v>Pune</x:v>
      </x:c>
      <x:c r="D267" s="49" t="str">
        <x:v>2024-25</x:v>
      </x:c>
      <x:c r="E267" s="64" t="n">
        <x:v>90000</x:v>
      </x:c>
      <x:c r="F267" s="64" t="n">
        <x:v>13500</x:v>
      </x:c>
      <x:c r="G267" s="64" t="n">
        <x:v>103500</x:v>
      </x:c>
      <x:c r="H267" s="49" t="str">
        <x:v>Verified FRA annual tuition + development fee</x:v>
      </x:c>
      <x:c r="I267" s="49" t="str">
        <x:v>Normal annual approved fee; not category/seat-type payable amount</x:v>
      </x:c>
      <x:c r="J267" s="49" t="str">
        <x:v>https://fe2025.mahacet.org/StaticPages/frmInstituteSummary.aspx?InstituteCode=06271</x:v>
      </x:c>
    </x:row>
    <x:row r="268">
      <x:c r="A268" s="63" t="n">
        <x:v>6272</x:v>
      </x:c>
      <x:c r="B268" s="49" t="str">
        <x:v>Dr. D. Y. Patil Pratishthan's D.Y.Patil College of Engineering Akurdi, Pune</x:v>
      </x:c>
      <x:c r="C268" s="49" t="str">
        <x:v>Pune</x:v>
      </x:c>
      <x:c r="D268" s="49" t="str">
        <x:v>2024-25</x:v>
      </x:c>
      <x:c r="E268" s="64" t="n">
        <x:v>113835</x:v>
      </x:c>
      <x:c r="F268" s="64" t="n">
        <x:v>16165</x:v>
      </x:c>
      <x:c r="G268" s="64" t="n">
        <x:v>130000</x:v>
      </x:c>
      <x:c r="H268" s="49" t="str">
        <x:v>Verified FRA annual tuition + development fee</x:v>
      </x:c>
      <x:c r="I268" s="49" t="str">
        <x:v>Normal annual approved fee; not category/seat-type payable amount</x:v>
      </x:c>
      <x:c r="J268" s="49" t="str">
        <x:v>https://fe2025.mahacet.org/StaticPages/frmInstituteSummary.aspx?InstituteCode=06272</x:v>
      </x:c>
    </x:row>
    <x:row r="269">
      <x:c r="A269" s="63" t="n">
        <x:v>6273</x:v>
      </x:c>
      <x:c r="B269" s="49" t="str">
        <x:v>Bansilal Ramnath Agarawal Charitable Trust's Vishwakarma Institute of Technology, Bibwewadi, Pune</x:v>
      </x:c>
      <x:c r="C269" s="49" t="str">
        <x:v>Pune</x:v>
      </x:c>
      <x:c r="D269" s="49" t="str">
        <x:v>2024-25</x:v>
      </x:c>
      <x:c r="E269" s="64" t="n">
        <x:v>162608</x:v>
      </x:c>
      <x:c r="F269" s="64" t="n">
        <x:v>24392</x:v>
      </x:c>
      <x:c r="G269" s="64" t="n">
        <x:v>187000</x:v>
      </x:c>
      <x:c r="H269" s="49" t="str">
        <x:v>Verified FRA annual tuition + development fee</x:v>
      </x:c>
      <x:c r="I269" s="49" t="str">
        <x:v>Normal annual approved fee; not category/seat-type payable amount</x:v>
      </x:c>
      <x:c r="J269" s="49" t="str">
        <x:v>https://fe2025.mahacet.org/StaticPages/frmInstituteSummary.aspx?InstituteCode=06273</x:v>
      </x:c>
    </x:row>
    <x:row r="270">
      <x:c r="A270" s="63" t="n">
        <x:v>6274</x:v>
      </x:c>
      <x:c r="B270" s="49" t="str">
        <x:v>PVG's College of Engineering, Technology &amp; Management</x:v>
      </x:c>
      <x:c r="C270" s="49" t="str">
        <x:v>Pune</x:v>
      </x:c>
      <x:c r="D270" s="49" t="str">
        <x:v>2024-25</x:v>
      </x:c>
      <x:c r="E270" s="64" t="n">
        <x:v>96069</x:v>
      </x:c>
      <x:c r="F270" s="64" t="n">
        <x:v>13931</x:v>
      </x:c>
      <x:c r="G270" s="64" t="n">
        <x:v>110000</x:v>
      </x:c>
      <x:c r="H270" s="49" t="str">
        <x:v>Verified FRA annual tuition + development fee</x:v>
      </x:c>
      <x:c r="I270" s="49" t="str">
        <x:v>Normal annual approved fee; not category/seat-type payable amount</x:v>
      </x:c>
      <x:c r="J270" s="49" t="str">
        <x:v>https://fe2025.mahacet.org/StaticPages/frmInstituteSummary.aspx?InstituteCode=06274</x:v>
      </x:c>
    </x:row>
    <x:row r="271">
      <x:c r="A271" s="63" t="n">
        <x:v>6275</x:v>
      </x:c>
      <x:c r="B271" s="49" t="str">
        <x:v>Shivnagar Vidya Prasarak Mandal's College of Engineering, Malegaon-Baramati</x:v>
      </x:c>
      <x:c r="C271" s="49" t="str">
        <x:v>Pune</x:v>
      </x:c>
      <x:c r="D271" s="49" t="str">
        <x:v>2024-25</x:v>
      </x:c>
      <x:c r="E271" s="64" t="n">
        <x:v>63281</x:v>
      </x:c>
      <x:c r="F271" s="64" t="n">
        <x:v>7719</x:v>
      </x:c>
      <x:c r="G271" s="64" t="n">
        <x:v>71000</x:v>
      </x:c>
      <x:c r="H271" s="49" t="str">
        <x:v>Verified FRA annual tuition + development fee</x:v>
      </x:c>
      <x:c r="I271" s="49" t="str">
        <x:v>Normal annual approved fee; not category/seat-type payable amount</x:v>
      </x:c>
      <x:c r="J271" s="49" t="str">
        <x:v>https://fe2025.mahacet.org/StaticPages/frmInstituteSummary.aspx?InstituteCode=06275</x:v>
      </x:c>
    </x:row>
    <x:row r="272">
      <x:c r="A272" s="63" t="n">
        <x:v>6276</x:v>
      </x:c>
      <x:c r="B272" s="49" t="str">
        <x:v>MKSSS's Cummins College of Engineering for Women, Karvenagar,Pune</x:v>
      </x:c>
      <x:c r="C272" s="49" t="str">
        <x:v>Pune</x:v>
      </x:c>
      <x:c r="D272" s="49" t="str">
        <x:v>2024-25</x:v>
      </x:c>
      <x:c r="E272" s="64" t="n">
        <x:v>146956</x:v>
      </x:c>
      <x:c r="F272" s="64" t="n">
        <x:v>22044</x:v>
      </x:c>
      <x:c r="G272" s="64" t="n">
        <x:v>169000</x:v>
      </x:c>
      <x:c r="H272" s="49" t="str">
        <x:v>Verified FRA annual tuition + development fee</x:v>
      </x:c>
      <x:c r="I272" s="49" t="str">
        <x:v>Normal annual approved fee; not category/seat-type payable amount</x:v>
      </x:c>
      <x:c r="J272" s="49" t="str">
        <x:v>https://fe2025.mahacet.org/StaticPages/frmInstituteSummary.aspx?InstituteCode=06276</x:v>
      </x:c>
    </x:row>
    <x:row r="273">
      <x:c r="A273" s="63" t="n">
        <x:v>6277</x:v>
      </x:c>
      <x:c r="B273" s="49" t="str">
        <x:v>Dr. J. J. Magdum Charitable Trust's Dr. J.J. Magdum College of Engineering, Jaysingpur</x:v>
      </x:c>
      <x:c r="C273" s="49" t="str">
        <x:v>Kolhapur</x:v>
      </x:c>
      <x:c r="D273" s="49" t="str">
        <x:v>2024-25</x:v>
      </x:c>
      <x:c r="E273" s="64" t="n">
        <x:v>77933</x:v>
      </x:c>
      <x:c r="F273" s="64" t="n">
        <x:v>11067</x:v>
      </x:c>
      <x:c r="G273" s="64" t="n">
        <x:v>89000</x:v>
      </x:c>
      <x:c r="H273" s="49" t="str">
        <x:v>Verified FRA annual tuition + development fee</x:v>
      </x:c>
      <x:c r="I273" s="49" t="str">
        <x:v>Normal annual approved fee; not category/seat-type payable amount</x:v>
      </x:c>
      <x:c r="J273" s="49" t="str">
        <x:v>https://fe2025.mahacet.org/StaticPages/frmInstituteSummary.aspx?InstituteCode=06277</x:v>
      </x:c>
    </x:row>
    <x:row r="274">
      <x:c r="A274" s="63" t="n">
        <x:v>6278</x:v>
      </x:c>
      <x:c r="B274" s="49" t="str">
        <x:v>All India Shri Shivaji Memorial Society's College of Engineering, Pune</x:v>
      </x:c>
      <x:c r="C274" s="49" t="str">
        <x:v>Pune</x:v>
      </x:c>
      <x:c r="D274" s="49" t="str">
        <x:v>2024-25</x:v>
      </x:c>
      <x:c r="E274" s="64" t="n">
        <x:v>128696</x:v>
      </x:c>
      <x:c r="F274" s="64" t="n">
        <x:v>19304</x:v>
      </x:c>
      <x:c r="G274" s="64" t="n">
        <x:v>148000</x:v>
      </x:c>
      <x:c r="H274" s="49" t="str">
        <x:v>Verified FRA annual tuition + development fee</x:v>
      </x:c>
      <x:c r="I274" s="49" t="str">
        <x:v>Normal annual approved fee; not category/seat-type payable amount</x:v>
      </x:c>
      <x:c r="J274" s="49" t="str">
        <x:v>https://fe2025.mahacet.org/StaticPages/frmInstituteSummary.aspx?InstituteCode=06278</x:v>
      </x:c>
    </x:row>
    <x:row r="275">
      <x:c r="A275" s="63" t="n">
        <x:v>6281</x:v>
      </x:c>
      <x:c r="B275" s="49" t="str">
        <x:v>Modern Education Society's Wadia College of Engineering, Pune</x:v>
      </x:c>
      <x:c r="C275" s="49" t="str">
        <x:v>Pune</x:v>
      </x:c>
      <x:c r="D275" s="49" t="str">
        <x:v>2024-25</x:v>
      </x:c>
      <x:c r="E275" s="64" t="n">
        <x:v>101739</x:v>
      </x:c>
      <x:c r="F275" s="64" t="n">
        <x:v>15261</x:v>
      </x:c>
      <x:c r="G275" s="64" t="n">
        <x:v>117000</x:v>
      </x:c>
      <x:c r="H275" s="49" t="str">
        <x:v>Verified FRA annual tuition + development fee</x:v>
      </x:c>
      <x:c r="I275" s="49" t="str">
        <x:v>Normal annual approved fee; not category/seat-type payable amount</x:v>
      </x:c>
      <x:c r="J275" s="49" t="str">
        <x:v>https://fe2025.mahacet.org/StaticPages/frmInstituteSummary.aspx?InstituteCode=06281</x:v>
      </x:c>
    </x:row>
    <x:row r="276">
      <x:c r="A276" s="63" t="n">
        <x:v>6282</x:v>
      </x:c>
      <x:c r="B276" s="49" t="str">
        <x:v>All India Shri Shivaji Memorial Society's Institute of Information Technology,Pune</x:v>
      </x:c>
      <x:c r="C276" s="49" t="str">
        <x:v>Pune</x:v>
      </x:c>
      <x:c r="D276" s="49" t="str">
        <x:v>2024-25</x:v>
      </x:c>
      <x:c r="E276" s="64" t="n">
        <x:v>104348</x:v>
      </x:c>
      <x:c r="F276" s="64" t="n">
        <x:v>15652</x:v>
      </x:c>
      <x:c r="G276" s="64" t="n">
        <x:v>120000</x:v>
      </x:c>
      <x:c r="H276" s="49" t="str">
        <x:v>Verified FRA annual tuition + development fee</x:v>
      </x:c>
      <x:c r="I276" s="49" t="str">
        <x:v>Normal annual approved fee; not category/seat-type payable amount</x:v>
      </x:c>
      <x:c r="J276" s="49" t="str">
        <x:v>https://fe2025.mahacet.org/StaticPages/frmInstituteSummary.aspx?InstituteCode=06282</x:v>
      </x:c>
    </x:row>
    <x:row r="277">
      <x:c r="A277" s="63" t="n">
        <x:v>6283</x:v>
      </x:c>
      <x:c r="B277" s="49" t="str">
        <x:v>Annasaheb Dange College of Engineering and Technology, Ashta, Sangli</x:v>
      </x:c>
      <x:c r="C277" s="49" t="str">
        <x:v>Sangli</x:v>
      </x:c>
      <x:c r="D277" s="49" t="str">
        <x:v>2024-25</x:v>
      </x:c>
      <x:c r="E277" s="64" t="n">
        <x:v>93479</x:v>
      </x:c>
      <x:c r="F277" s="64" t="n">
        <x:v>14021</x:v>
      </x:c>
      <x:c r="G277" s="64" t="n">
        <x:v>107500</x:v>
      </x:c>
      <x:c r="H277" s="49" t="str">
        <x:v>Verified FRA annual tuition + development fee</x:v>
      </x:c>
      <x:c r="I277" s="49" t="str">
        <x:v>Normal annual approved fee; not category/seat-type payable amount</x:v>
      </x:c>
      <x:c r="J277" s="49" t="str">
        <x:v>https://fe2025.mahacet.org/StaticPages/frmInstituteSummary.aspx?InstituteCode=06283</x:v>
      </x:c>
    </x:row>
    <x:row r="278">
      <x:c r="A278" s="63" t="n">
        <x:v>6284</x:v>
      </x:c>
      <x:c r="B278" s="49" t="str">
        <x:v>Vidya Pratishthan's Kamalnayan Bajaj Institute of Engineering &amp; Technology, Baramati Dist.Pune</x:v>
      </x:c>
      <x:c r="C278" s="49" t="str">
        <x:v>Pune</x:v>
      </x:c>
      <x:c r="D278" s="49" t="str">
        <x:v>2024-25</x:v>
      </x:c>
      <x:c r="E278" s="64" t="n">
        <x:v>91304</x:v>
      </x:c>
      <x:c r="F278" s="64" t="n">
        <x:v>13696</x:v>
      </x:c>
      <x:c r="G278" s="64" t="n">
        <x:v>105000</x:v>
      </x:c>
      <x:c r="H278" s="49" t="str">
        <x:v>Verified FRA annual tuition + development fee</x:v>
      </x:c>
      <x:c r="I278" s="49" t="str">
        <x:v>Normal annual approved fee; not category/seat-type payable amount</x:v>
      </x:c>
      <x:c r="J278" s="49" t="str">
        <x:v>https://fe2025.mahacet.org/StaticPages/frmInstituteSummary.aspx?InstituteCode=06284</x:v>
      </x:c>
    </x:row>
    <x:row r="279">
      <x:c r="A279" s="63" t="n">
        <x:v>6285</x:v>
      </x:c>
      <x:c r="B279" s="49" t="str">
        <x:v>Bharati Vidyapeeth's College of Engineering for Women, Katraj, Dhankawadi, Pune</x:v>
      </x:c>
      <x:c r="C279" s="49" t="str">
        <x:v>Pune</x:v>
      </x:c>
      <x:c r="D279" s="49" t="str">
        <x:v>2024-25</x:v>
      </x:c>
      <x:c r="E279" s="64" t="n">
        <x:v>113655</x:v>
      </x:c>
      <x:c r="F279" s="64" t="n">
        <x:v>15345</x:v>
      </x:c>
      <x:c r="G279" s="64" t="n">
        <x:v>129000</x:v>
      </x:c>
      <x:c r="H279" s="49" t="str">
        <x:v>Verified FRA annual tuition + development fee</x:v>
      </x:c>
      <x:c r="I279" s="49" t="str">
        <x:v>Normal annual approved fee; not category/seat-type payable amount</x:v>
      </x:c>
      <x:c r="J279" s="49" t="str">
        <x:v>https://fe2025.mahacet.org/StaticPages/frmInstituteSummary.aspx?InstituteCode=06285</x:v>
      </x:c>
    </x:row>
    <x:row r="280">
      <x:c r="A280" s="63" t="n">
        <x:v>6288</x:v>
      </x:c>
      <x:c r="B280" s="49" t="str">
        <x:v>Bharati Vidyapeeth's College of Engineering, Kolhapur</x:v>
      </x:c>
      <x:c r="C280" s="49" t="str">
        <x:v>Kolhapur</x:v>
      </x:c>
      <x:c r="D280" s="49" t="str">
        <x:v>2024-25</x:v>
      </x:c>
      <x:c r="E280" s="64" t="n">
        <x:v>88210</x:v>
      </x:c>
      <x:c r="F280" s="64" t="n">
        <x:v>12790</x:v>
      </x:c>
      <x:c r="G280" s="64" t="n">
        <x:v>101000</x:v>
      </x:c>
      <x:c r="H280" s="49" t="str">
        <x:v>Verified FRA annual tuition + development fee</x:v>
      </x:c>
      <x:c r="I280" s="49" t="str">
        <x:v>Normal annual approved fee; not category/seat-type payable amount</x:v>
      </x:c>
      <x:c r="J280" s="49" t="str">
        <x:v>https://fe2025.mahacet.org/StaticPages/frmInstituteSummary.aspx?InstituteCode=06288</x:v>
      </x:c>
    </x:row>
    <x:row r="281">
      <x:c r="A281" s="63" t="n">
        <x:v>6289</x:v>
      </x:c>
      <x:c r="B281" s="49" t="str">
        <x:v>B.R.A.C.Ts Vishwakarma Institute of Information Technology, Kondhwa (Bk.), Pune</x:v>
      </x:c>
      <x:c r="C281" s="49" t="str">
        <x:v>Pune</x:v>
      </x:c>
      <x:c r="D281" s="49" t="str">
        <x:v>2024-25</x:v>
      </x:c>
      <x:c r="E281" s="64" t="n">
        <x:v>154782</x:v>
      </x:c>
      <x:c r="F281" s="64" t="n">
        <x:v>23218</x:v>
      </x:c>
      <x:c r="G281" s="64" t="n">
        <x:v>178000</x:v>
      </x:c>
      <x:c r="H281" s="49" t="str">
        <x:v>Verified FRA annual tuition + development fee</x:v>
      </x:c>
      <x:c r="I281" s="49" t="str">
        <x:v>Normal annual approved fee; not category/seat-type payable amount</x:v>
      </x:c>
      <x:c r="J281" s="49" t="str">
        <x:v>https://fe2025.mahacet.org/StaticPages/frmInstituteList.aspx?did=1884</x:v>
      </x:c>
    </x:row>
    <x:row r="282">
      <x:c r="A282" s="63" t="n">
        <x:v>6293</x:v>
      </x:c>
      <x:c r="B282" s="49" t="str">
        <x:v>Kai Amdar Bramhadevdada Mane Shikshan &amp; Samajik Prathistan's Bramhadevdada Mane Institute of Technology, Solapur</x:v>
      </x:c>
      <x:c r="C282" s="49" t="str">
        <x:v>Solapur</x:v>
      </x:c>
      <x:c r="D282" s="49" t="str">
        <x:v>2024-25</x:v>
      </x:c>
      <x:c r="E282" s="64" t="n">
        <x:v>88494</x:v>
      </x:c>
      <x:c r="F282" s="64" t="n">
        <x:v>11506</x:v>
      </x:c>
      <x:c r="G282" s="64" t="n">
        <x:v>100000</x:v>
      </x:c>
      <x:c r="H282" s="49" t="str">
        <x:v>Verified FRA annual tuition + development fee</x:v>
      </x:c>
      <x:c r="I282" s="49" t="str">
        <x:v>Normal annual approved fee; not category/seat-type payable amount</x:v>
      </x:c>
      <x:c r="J282" s="49" t="str">
        <x:v>https://fe2025.mahacet.org/StaticPages/frmInstituteSummary.aspx?InstituteCode=06293</x:v>
      </x:c>
    </x:row>
    <x:row r="283">
      <x:c r="A283" s="63" t="n">
        <x:v>6298</x:v>
      </x:c>
      <x:c r="B283" s="49" t="str">
        <x:v>Zeal Education Society's Zeal College of Engineering &amp; Reserch, Narhe, Pune</x:v>
      </x:c>
      <x:c r="C283" s="49" t="str">
        <x:v>Pune</x:v>
      </x:c>
      <x:c r="D283" s="49" t="str">
        <x:v>2024-25</x:v>
      </x:c>
      <x:c r="E283" s="64" t="n">
        <x:v>104348</x:v>
      </x:c>
      <x:c r="F283" s="64" t="n">
        <x:v>15652</x:v>
      </x:c>
      <x:c r="G283" s="64" t="n">
        <x:v>120000</x:v>
      </x:c>
      <x:c r="H283" s="49" t="str">
        <x:v>Verified FRA annual tuition + development fee</x:v>
      </x:c>
      <x:c r="I283" s="49" t="str">
        <x:v>Normal annual approved fee; not category/seat-type payable amount</x:v>
      </x:c>
      <x:c r="J283" s="49" t="str">
        <x:v>https://fe2025.mahacet.org/StaticPages/frmInstituteSummary.aspx?InstituteCode=06298</x:v>
      </x:c>
    </x:row>
    <x:row r="284">
      <x:c r="A284" s="63" t="n">
        <x:v>6303</x:v>
      </x:c>
      <x:c r="B284" s="49" t="str">
        <x:v>Dr. Ashok Gujar Technical Institute's Dr. Daulatrao Aher College of Engineering, Karad</x:v>
      </x:c>
      <x:c r="C284" s="49" t="str">
        <x:v>Satara</x:v>
      </x:c>
      <x:c r="D284" s="49" t="str">
        <x:v>2024-25</x:v>
      </x:c>
      <x:c r="E284" s="64" t="n">
        <x:v>75000</x:v>
      </x:c>
      <x:c r="F284" s="64" t="n">
        <x:v>10500</x:v>
      </x:c>
      <x:c r="G284" s="64" t="n">
        <x:v>85500</x:v>
      </x:c>
      <x:c r="H284" s="49" t="str">
        <x:v>Verified FRA annual tuition + development fee</x:v>
      </x:c>
      <x:c r="I284" s="49" t="str">
        <x:v>Normal annual approved fee; not category/seat-type payable amount</x:v>
      </x:c>
      <x:c r="J284" s="49" t="str">
        <x:v>https://fe2025.mahacet.org/StaticPages/frmInstituteSummary.aspx?InstituteCode=06303</x:v>
      </x:c>
    </x:row>
    <x:row r="285">
      <x:c r="A285" s="63" t="n">
        <x:v>6304</x:v>
      </x:c>
      <x:c r="B285" s="49" t="str">
        <x:v>Loknete Hanumantrao Charitable Trust's Adarsh Institute of Technology and Research Centre, Vita,Sangli</x:v>
      </x:c>
      <x:c r="C285" s="49" t="str">
        <x:v>Sangli</x:v>
      </x:c>
      <x:c r="D285" s="49" t="str">
        <x:v>2024-25</x:v>
      </x:c>
      <x:c r="E285" s="64" t="n">
        <x:v>87410</x:v>
      </x:c>
      <x:c r="F285" s="64" t="n">
        <x:v>9090</x:v>
      </x:c>
      <x:c r="G285" s="64" t="n">
        <x:v>96500</x:v>
      </x:c>
      <x:c r="H285" s="49" t="str">
        <x:v>Verified FRA annual tuition + development fee</x:v>
      </x:c>
      <x:c r="I285" s="49" t="str">
        <x:v>Normal annual approved fee; not category/seat-type payable amount</x:v>
      </x:c>
      <x:c r="J285" s="49" t="str">
        <x:v>https://fe2025.mahacet.org/StaticPages/frmInstituteSummary.aspx?InstituteCode=06304</x:v>
      </x:c>
    </x:row>
    <x:row r="286">
      <x:c r="A286" s="63" t="n">
        <x:v>6305</x:v>
      </x:c>
      <x:c r="B286" s="49" t="str">
        <x:v>Late Narayandas Bhawandas Chhabada Institute of Engineering &amp; Technology, Satara</x:v>
      </x:c>
      <x:c r="C286" s="49" t="str">
        <x:v>Satara</x:v>
      </x:c>
      <x:c r="D286" s="49" t="str">
        <x:v>2024-25</x:v>
      </x:c>
      <x:c r="E286" s="64" t="n">
        <x:v>20000</x:v>
      </x:c>
      <x:c r="F286" s="64" t="n">
        <x:v>2000</x:v>
      </x:c>
      <x:c r="G286" s="64" t="n">
        <x:v>22000</x:v>
      </x:c>
      <x:c r="H286" s="49" t="str">
        <x:v>Verified FRA annual tuition + development fee</x:v>
      </x:c>
      <x:c r="I286" s="49" t="str">
        <x:v>Normal annual approved fee; not category/seat-type payable amount</x:v>
      </x:c>
      <x:c r="J286" s="49" t="str">
        <x:v>https://fe2025.mahacet.org/StaticPages/frmInstituteSummary.aspx?InstituteCode=06305</x:v>
      </x:c>
    </x:row>
    <x:row r="287">
      <x:c r="A287" s="63" t="n">
        <x:v>6307</x:v>
      </x:c>
      <x:c r="B287" s="49" t="str">
        <x:v>Dhole Patil Education Society, Dhole Patil College of Engineering, Wagholi, Tal. Haveli</x:v>
      </x:c>
      <x:c r="C287" s="49" t="str">
        <x:v>Pune</x:v>
      </x:c>
      <x:c r="D287" s="49" t="str">
        <x:v>2024-25</x:v>
      </x:c>
      <x:c r="E287" s="64" t="n">
        <x:v>82824</x:v>
      </x:c>
      <x:c r="F287" s="64" t="n">
        <x:v>12176</x:v>
      </x:c>
      <x:c r="G287" s="64" t="n">
        <x:v>95000</x:v>
      </x:c>
      <x:c r="H287" s="49" t="str">
        <x:v>Verified FRA annual tuition + development fee</x:v>
      </x:c>
      <x:c r="I287" s="49" t="str">
        <x:v>Normal annual approved fee; not category/seat-type payable amount</x:v>
      </x:c>
      <x:c r="J287" s="49" t="str">
        <x:v>https://fe2025.mahacet.org/StaticPages/frmInstituteSummary.aspx?InstituteCode=06307</x:v>
      </x:c>
    </x:row>
    <x:row r="288">
      <x:c r="A288" s="63" t="n">
        <x:v>6308</x:v>
      </x:c>
      <x:c r="B288" s="49" t="str">
        <x:v>Shanti Education Society, A.G. Patil Institute of Technology, Soregaon, Solapur(North)</x:v>
      </x:c>
      <x:c r="C288" s="49" t="str">
        <x:v>Solapur</x:v>
      </x:c>
      <x:c r="D288" s="49" t="str">
        <x:v>2024-25</x:v>
      </x:c>
      <x:c r="E288" s="64" t="n">
        <x:v>71682</x:v>
      </x:c>
      <x:c r="F288" s="64" t="n">
        <x:v>9318</x:v>
      </x:c>
      <x:c r="G288" s="64" t="n">
        <x:v>81000</x:v>
      </x:c>
      <x:c r="H288" s="49" t="str">
        <x:v>Verified FRA annual tuition + development fee</x:v>
      </x:c>
      <x:c r="I288" s="49" t="str">
        <x:v>Normal annual approved fee; not category/seat-type payable amount</x:v>
      </x:c>
      <x:c r="J288" s="49" t="str">
        <x:v>https://fe2025.mahacet.org/StaticPages/frmInstituteSummary.aspx?InstituteCode=06308</x:v>
      </x:c>
    </x:row>
    <x:row r="289">
      <x:c r="A289" s="63" t="n">
        <x:v>6310</x:v>
      </x:c>
      <x:c r="B289" s="49" t="str">
        <x:v>Nutan Maharashtra Vidya Prasarak Mandal, Nutan Maharashtra Institute of Engineering &amp;Technology, Talegaon station, Pune</x:v>
      </x:c>
      <x:c r="C289" s="49" t="str">
        <x:v>Pune</x:v>
      </x:c>
      <x:c r="D289" s="49" t="str">
        <x:v>2024-25</x:v>
      </x:c>
      <x:c r="E289" s="64" t="n">
        <x:v>99382</x:v>
      </x:c>
      <x:c r="F289" s="64" t="n">
        <x:v>13118</x:v>
      </x:c>
      <x:c r="G289" s="64" t="n">
        <x:v>112500</x:v>
      </x:c>
      <x:c r="H289" s="49" t="str">
        <x:v>Verified FRA annual tuition + development fee</x:v>
      </x:c>
      <x:c r="I289" s="49" t="str">
        <x:v>Normal annual approved fee; not category/seat-type payable amount</x:v>
      </x:c>
      <x:c r="J289" s="49" t="str">
        <x:v>https://fe2025.mahacet.org/StaticPages/frmInstituteSummary.aspx?InstituteCode=06310</x:v>
      </x:c>
    </x:row>
    <x:row r="290">
      <x:c r="A290" s="63" t="n">
        <x:v>6311</x:v>
      </x:c>
      <x:c r="B290" s="49" t="str">
        <x:v>Jayawant Shikshan Prasarak Mandal, Bhivarabai Sawant Institute of Technology &amp; Research, Wagholi</x:v>
      </x:c>
      <x:c r="C290" s="49" t="str">
        <x:v>Pune</x:v>
      </x:c>
      <x:c r="D290" s="49" t="str">
        <x:v>2024-25</x:v>
      </x:c>
      <x:c r="E290" s="64" t="n">
        <x:v>87796</x:v>
      </x:c>
      <x:c r="F290" s="64" t="n">
        <x:v>12204</x:v>
      </x:c>
      <x:c r="G290" s="64" t="n">
        <x:v>100000</x:v>
      </x:c>
      <x:c r="H290" s="49" t="str">
        <x:v>Verified FRA annual tuition + development fee</x:v>
      </x:c>
      <x:c r="I290" s="49" t="str">
        <x:v>Normal annual approved fee; not category/seat-type payable amount</x:v>
      </x:c>
      <x:c r="J290" s="49" t="str">
        <x:v>https://fe2025.mahacet.org/StaticPages/frmInstituteSummary.aspx?InstituteCode=06311</x:v>
      </x:c>
    </x:row>
    <x:row r="291">
      <x:c r="A291" s="63" t="n">
        <x:v>6313</x:v>
      </x:c>
      <x:c r="B291" s="49" t="str">
        <x:v>Jaywant College of Engineering &amp; Polytechnic , Kille Macchindragad Tal. Walva District- Sangali</x:v>
      </x:c>
      <x:c r="C291" s="49" t="str">
        <x:v>Sangli</x:v>
      </x:c>
      <x:c r="D291" s="49" t="str">
        <x:v>2024-25</x:v>
      </x:c>
      <x:c r="E291" s="64" t="n">
        <x:v>47512</x:v>
      </x:c>
      <x:c r="F291" s="64" t="n">
        <x:v>4988</x:v>
      </x:c>
      <x:c r="G291" s="64" t="n">
        <x:v>52500</x:v>
      </x:c>
      <x:c r="H291" s="49" t="str">
        <x:v>Verified FRA annual tuition + development fee</x:v>
      </x:c>
      <x:c r="I291" s="49" t="str">
        <x:v>Normal annual approved fee; not category/seat-type payable amount</x:v>
      </x:c>
      <x:c r="J291" s="49" t="str">
        <x:v>https://fe2025.mahacet.org/StaticPages/frmInstituteSummary.aspx?InstituteCode=06313</x:v>
      </x:c>
    </x:row>
    <x:row r="292">
      <x:c r="A292" s="63" t="n">
        <x:v>6315</x:v>
      </x:c>
      <x:c r="B292" s="49" t="str">
        <x:v>Sanjeevan Group of Institutions</x:v>
      </x:c>
      <x:c r="C292" s="49" t="str">
        <x:v>Kolhapur</x:v>
      </x:c>
      <x:c r="D292" s="49" t="str">
        <x:v>2024-25</x:v>
      </x:c>
      <x:c r="E292" s="64" t="n">
        <x:v>80071</x:v>
      </x:c>
      <x:c r="F292" s="64" t="n">
        <x:v>9929</x:v>
      </x:c>
      <x:c r="G292" s="64" t="n">
        <x:v>90000</x:v>
      </x:c>
      <x:c r="H292" s="49" t="str">
        <x:v>Verified FRA annual tuition + development fee</x:v>
      </x:c>
      <x:c r="I292" s="49" t="str">
        <x:v>Normal annual approved fee; not category/seat-type payable amount</x:v>
      </x:c>
      <x:c r="J292" s="49" t="str">
        <x:v>https://fe2025.mahacet.org/StaticPages/frmInstituteSummary.aspx?InstituteCode=06315</x:v>
      </x:c>
    </x:row>
    <x:row r="293">
      <x:c r="A293" s="63" t="n">
        <x:v>6317</x:v>
      </x:c>
      <x:c r="B293" s="49" t="str">
        <x:v>Sharad Institute of Technology College of Engineering, Yadrav(Ichalkaranji)</x:v>
      </x:c>
      <x:c r="C293" s="49" t="str">
        <x:v>Kolhapur</x:v>
      </x:c>
      <x:c r="D293" s="49" t="str">
        <x:v>2024-25</x:v>
      </x:c>
      <x:c r="E293" s="64" t="n">
        <x:v>74783</x:v>
      </x:c>
      <x:c r="F293" s="64" t="n">
        <x:v>11217</x:v>
      </x:c>
      <x:c r="G293" s="64" t="n">
        <x:v>86000</x:v>
      </x:c>
      <x:c r="H293" s="49" t="str">
        <x:v>Verified FRA annual tuition + development fee</x:v>
      </x:c>
      <x:c r="I293" s="49" t="str">
        <x:v>Normal annual approved fee; not category/seat-type payable amount</x:v>
      </x:c>
      <x:c r="J293" s="49" t="str">
        <x:v>https://fe2025.mahacet.org/StaticPages/frmInstituteSummary.aspx?InstituteCode=06317</x:v>
      </x:c>
    </x:row>
    <x:row r="294">
      <x:c r="A294" s="63" t="n">
        <x:v>6318</x:v>
      </x:c>
      <x:c r="B294" s="49" t="str">
        <x:v>Abhinav Education Societys College of Engineering and Technology (Degree), Wadwadi</x:v>
      </x:c>
      <x:c r="C294" s="49" t="str">
        <x:v>Satara</x:v>
      </x:c>
      <x:c r="D294" s="49" t="str">
        <x:v>2024-25</x:v>
      </x:c>
      <x:c r="E294" s="64" t="n">
        <x:v>40650</x:v>
      </x:c>
      <x:c r="F294" s="64" t="n">
        <x:v>4350</x:v>
      </x:c>
      <x:c r="G294" s="64" t="n">
        <x:v>45000</x:v>
      </x:c>
      <x:c r="H294" s="49" t="str">
        <x:v>Verified FRA annual tuition + development fee</x:v>
      </x:c>
      <x:c r="I294" s="49" t="str">
        <x:v>Normal annual approved fee; not category/seat-type payable amount</x:v>
      </x:c>
      <x:c r="J294" s="49" t="str">
        <x:v>https://fe2025.mahacet.org/StaticPages/frmInstituteList.aspx?did=1884</x:v>
      </x:c>
    </x:row>
    <x:row r="295">
      <x:c r="A295" s="63" t="n">
        <x:v>6319</x:v>
      </x:c>
      <x:c r="B295" s="49" t="str">
        <x:v>Shahajirao Patil Vikas Pratishthan, S.B.Patil College of Engineering, Vangali, Tal. Indapur</x:v>
      </x:c>
      <x:c r="C295" s="49" t="str">
        <x:v>Pune</x:v>
      </x:c>
      <x:c r="D295" s="49" t="str">
        <x:v>2024-25</x:v>
      </x:c>
      <x:c r="E295" s="64" t="n">
        <x:v>74889</x:v>
      </x:c>
      <x:c r="F295" s="64" t="n">
        <x:v>10111</x:v>
      </x:c>
      <x:c r="G295" s="64" t="n">
        <x:v>85000</x:v>
      </x:c>
      <x:c r="H295" s="49" t="str">
        <x:v>Verified FRA annual tuition + development fee</x:v>
      </x:c>
      <x:c r="I295" s="49" t="str">
        <x:v>Normal annual approved fee; not category/seat-type payable amount</x:v>
      </x:c>
      <x:c r="J295" s="49" t="str">
        <x:v>https://fe2025.mahacet.org/StaticPages/frmInstituteSummary.aspx?InstituteCode=06319</x:v>
      </x:c>
    </x:row>
    <x:row r="296">
      <x:c r="A296" s="63" t="n">
        <x:v>6320</x:v>
      </x:c>
      <x:c r="B296" s="49" t="str">
        <x:v>K.J.'s Educational Institute's K.J.College of Engineering &amp; Management Research, Pisoli</x:v>
      </x:c>
      <x:c r="C296" s="49" t="str">
        <x:v>Pune</x:v>
      </x:c>
      <x:c r="D296" s="49" t="str">
        <x:v>2024-25</x:v>
      </x:c>
      <x:c r="E296" s="64" t="n">
        <x:v>76518</x:v>
      </x:c>
      <x:c r="F296" s="64" t="n">
        <x:v>10482</x:v>
      </x:c>
      <x:c r="G296" s="64" t="n">
        <x:v>87000</x:v>
      </x:c>
      <x:c r="H296" s="49" t="str">
        <x:v>Verified FRA annual tuition + development fee</x:v>
      </x:c>
      <x:c r="I296" s="49" t="str">
        <x:v>Normal annual approved fee; not category/seat-type payable amount</x:v>
      </x:c>
      <x:c r="J296" s="49" t="str">
        <x:v>https://fe2025.mahacet.org/StaticPages/frmInstituteSummary.aspx?InstituteCode=06320</x:v>
      </x:c>
    </x:row>
    <x:row r="297">
      <x:c r="A297" s="63" t="n">
        <x:v>6321</x:v>
      </x:c>
      <x:c r="B297" s="49" t="str">
        <x:v>Vidya Vikas Pratishthan Institute of Engineering and Technology, Solapur</x:v>
      </x:c>
      <x:c r="C297" s="49" t="str">
        <x:v>Solapur</x:v>
      </x:c>
      <x:c r="D297" s="49" t="str">
        <x:v>2024-25</x:v>
      </x:c>
      <x:c r="E297" s="64" t="n">
        <x:v>62221</x:v>
      </x:c>
      <x:c r="F297" s="64" t="n">
        <x:v>7779</x:v>
      </x:c>
      <x:c r="G297" s="64" t="n">
        <x:v>70000</x:v>
      </x:c>
      <x:c r="H297" s="49" t="str">
        <x:v>Verified FRA annual tuition + development fee</x:v>
      </x:c>
      <x:c r="I297" s="49" t="str">
        <x:v>Normal annual approved fee; not category/seat-type payable amount</x:v>
      </x:c>
      <x:c r="J297" s="49" t="str">
        <x:v>https://fe2025.mahacet.org/StaticPages/frmInstituteSummary.aspx?InstituteCode=06321</x:v>
      </x:c>
    </x:row>
    <x:row r="298">
      <x:c r="A298" s="63" t="n">
        <x:v>6322</x:v>
      </x:c>
      <x:c r="B298" s="49" t="str">
        <x:v>Shree Gajanan Maharaj Shikshan Prasarak Manda'l Sharadchandra Pawar College of Engineering, Dumbarwadi</x:v>
      </x:c>
      <x:c r="C298" s="49" t="str">
        <x:v>Pune</x:v>
      </x:c>
      <x:c r="D298" s="49" t="str">
        <x:v>2024-25</x:v>
      </x:c>
      <x:c r="E298" s="64" t="n">
        <x:v>70984</x:v>
      </x:c>
      <x:c r="F298" s="64" t="n">
        <x:v>9016</x:v>
      </x:c>
      <x:c r="G298" s="64" t="n">
        <x:v>80000</x:v>
      </x:c>
      <x:c r="H298" s="49" t="str">
        <x:v>Verified FRA annual tuition + development fee</x:v>
      </x:c>
      <x:c r="I298" s="49" t="str">
        <x:v>Normal annual approved fee; not category/seat-type payable amount</x:v>
      </x:c>
      <x:c r="J298" s="49" t="str">
        <x:v>https://fe2025.mahacet.org/StaticPages/frmInstituteSummary.aspx?InstituteCode=06322</x:v>
      </x:c>
    </x:row>
    <x:row r="299">
      <x:c r="A299" s="63" t="n">
        <x:v>6324</x:v>
      </x:c>
      <x:c r="B299" s="49" t="str">
        <x:v>Rajgad Technical Campus</x:v>
      </x:c>
      <x:c r="C299" s="49" t="str">
        <x:v>Pune</x:v>
      </x:c>
      <x:c r="D299" s="49" t="str">
        <x:v>2024-25</x:v>
      </x:c>
      <x:c r="E299" s="64" t="n">
        <x:v>103357</x:v>
      </x:c>
      <x:c r="F299" s="64" t="n">
        <x:v>13643</x:v>
      </x:c>
      <x:c r="G299" s="64" t="n">
        <x:v>117000</x:v>
      </x:c>
      <x:c r="H299" s="49" t="str">
        <x:v>Verified FRA annual tuition + development fee</x:v>
      </x:c>
      <x:c r="I299" s="49" t="str">
        <x:v>Normal annual approved fee; not category/seat-type payable amount</x:v>
      </x:c>
      <x:c r="J299" s="49" t="str">
        <x:v>https://fe2025.mahacet.org/StaticPages/frmInstituteSummary.aspx?InstituteCode=06324</x:v>
      </x:c>
    </x:row>
    <x:row r="300">
      <x:c r="A300" s="63" t="n">
        <x:v>6325</x:v>
      </x:c>
      <x:c r="B300" s="49" t="str">
        <x:v>Alard Charitable Trust's Alard College of Engineering and Management, Pune</x:v>
      </x:c>
      <x:c r="C300" s="49" t="str">
        <x:v>Pune</x:v>
      </x:c>
      <x:c r="D300" s="49" t="str">
        <x:v>2024-25</x:v>
      </x:c>
      <x:c r="E300" s="64" t="n">
        <x:v>41779</x:v>
      </x:c>
      <x:c r="F300" s="64" t="n">
        <x:v>5221</x:v>
      </x:c>
      <x:c r="G300" s="64" t="n">
        <x:v>47000</x:v>
      </x:c>
      <x:c r="H300" s="49" t="str">
        <x:v>Verified FRA annual tuition + development fee</x:v>
      </x:c>
      <x:c r="I300" s="49" t="str">
        <x:v>Normal annual approved fee; not category/seat-type payable amount</x:v>
      </x:c>
      <x:c r="J300" s="49" t="str">
        <x:v>https://fe2025.mahacet.org/StaticPages/frmInstituteSummary.aspx?InstituteCode=06325</x:v>
      </x:c>
    </x:row>
    <x:row r="301">
      <x:c r="A301" s="63" t="n">
        <x:v>6326</x:v>
      </x:c>
      <x:c r="B301" s="49" t="str">
        <x:v>Karmayogi Institute of Technology</x:v>
      </x:c>
      <x:c r="C301" s="49" t="str">
        <x:v>Solapur</x:v>
      </x:c>
      <x:c r="D301" s="49" t="str">
        <x:v>2024-25</x:v>
      </x:c>
      <x:c r="E301" s="64" t="n">
        <x:v>86050</x:v>
      </x:c>
      <x:c r="F301" s="64" t="n">
        <x:v>8950</x:v>
      </x:c>
      <x:c r="G301" s="64" t="n">
        <x:v>95000</x:v>
      </x:c>
      <x:c r="H301" s="49" t="str">
        <x:v>Verified FRA annual tuition + development fee</x:v>
      </x:c>
      <x:c r="I301" s="49" t="str">
        <x:v>Normal annual approved fee; not category/seat-type payable amount</x:v>
      </x:c>
      <x:c r="J301" s="49" t="str">
        <x:v>https://fe2025.mahacet.org/StaticPages/frmInstituteSummary.aspx?InstituteCode=06326</x:v>
      </x:c>
    </x:row>
    <x:row r="302">
      <x:c r="A302" s="63" t="n">
        <x:v>6402</x:v>
      </x:c>
      <x:c r="B302" s="49" t="str">
        <x:v>NEW INSTITUTE OF TECHNOLOGY,KOLHAPUR</x:v>
      </x:c>
      <x:c r="C302" s="49"/>
      <x:c r="D302" s="49"/>
      <x:c r="E302" s="64"/>
      <x:c r="F302" s="64"/>
      <x:c r="G302" s="64"/>
      <x:c r="H302" s="49" t="str">
        <x:v>No verified FRA match in extracted history</x:v>
      </x:c>
      <x:c r="I302" s="49" t="str">
        <x:v>Normal annual approved fee; not category/seat-type payable amount</x:v>
      </x:c>
      <x:c r="J302" s="49" t="str">
        <x:v>https://fe2025.mahacet.org/StaticPages/frmInstituteSummary.aspx?InstituteCode=06402</x:v>
      </x:c>
    </x:row>
    <x:row r="303">
      <x:c r="A303" s="63" t="n">
        <x:v>6419</x:v>
      </x:c>
      <x:c r="B303" s="49" t="str">
        <x:v>Nutan College of Engineering and Research, Talegaon Dabhade Tal. Maval, Pune</x:v>
      </x:c>
      <x:c r="C303" s="49" t="str">
        <x:v>Pune</x:v>
      </x:c>
      <x:c r="D303" s="49" t="str">
        <x:v>2024-25</x:v>
      </x:c>
      <x:c r="E303" s="64" t="n">
        <x:v>73424</x:v>
      </x:c>
      <x:c r="F303" s="64" t="n">
        <x:v>8076</x:v>
      </x:c>
      <x:c r="G303" s="64" t="n">
        <x:v>81500</x:v>
      </x:c>
      <x:c r="H303" s="49" t="str">
        <x:v>Verified FRA annual tuition + development fee</x:v>
      </x:c>
      <x:c r="I303" s="49" t="str">
        <x:v>Normal annual approved fee; not category/seat-type payable amount</x:v>
      </x:c>
      <x:c r="J303" s="49" t="str">
        <x:v>https://fe2025.mahacet.org/StaticPages/frmInstituteList.aspx?did=1884</x:v>
      </x:c>
    </x:row>
    <x:row r="304">
      <x:c r="A304" s="63" t="n">
        <x:v>6444</x:v>
      </x:c>
      <x:c r="B304" s="49" t="str">
        <x:v>Shriram Institute Of Engineering &amp; Technology, (Poly), Paniv</x:v>
      </x:c>
      <x:c r="C304" s="49"/>
      <x:c r="D304" s="49"/>
      <x:c r="E304" s="64"/>
      <x:c r="F304" s="64"/>
      <x:c r="G304" s="64"/>
      <x:c r="H304" s="49" t="str">
        <x:v>No verified FRA match in extracted history</x:v>
      </x:c>
      <x:c r="I304" s="49" t="str">
        <x:v>Normal annual approved fee; not category/seat-type payable amount</x:v>
      </x:c>
      <x:c r="J304" s="49" t="str">
        <x:v>https://fe2025.mahacet.org/StaticPages/frmInstituteSummary.aspx?InstituteCode=06444</x:v>
      </x:c>
    </x:row>
    <x:row r="305">
      <x:c r="A305" s="63" t="n">
        <x:v>6466</x:v>
      </x:c>
      <x:c r="B305" s="49" t="str">
        <x:v>Shree Santkrupa Shikshan Sanstha, Shree Santkrupa Institute Of Engineering &amp; Technology, Karad</x:v>
      </x:c>
      <x:c r="C305" s="49" t="str">
        <x:v>Satara</x:v>
      </x:c>
      <x:c r="D305" s="49" t="str">
        <x:v>2024-25</x:v>
      </x:c>
      <x:c r="E305" s="64" t="n">
        <x:v>68202</x:v>
      </x:c>
      <x:c r="F305" s="64" t="n">
        <x:v>7298</x:v>
      </x:c>
      <x:c r="G305" s="64" t="n">
        <x:v>75500</x:v>
      </x:c>
      <x:c r="H305" s="49" t="str">
        <x:v>Verified FRA annual tuition + development fee</x:v>
      </x:c>
      <x:c r="I305" s="49" t="str">
        <x:v>Normal annual approved fee; not category/seat-type payable amount</x:v>
      </x:c>
      <x:c r="J305" s="49" t="str">
        <x:v>https://fe2025.mahacet.org/StaticPages/frmInstituteSummary.aspx?InstituteCode=06466</x:v>
      </x:c>
    </x:row>
    <x:row r="306">
      <x:c r="A306" s="63" t="n">
        <x:v>6468</x:v>
      </x:c>
      <x:c r="B306" s="49" t="str">
        <x:v>Swami Vivekananda Shikshan Sanstha, Dr. Bapuji Salunkhe Institute Of Engineering &amp; Technology,Kolhapur</x:v>
      </x:c>
      <x:c r="C306" s="49"/>
      <x:c r="D306" s="49"/>
      <x:c r="E306" s="64"/>
      <x:c r="F306" s="64"/>
      <x:c r="G306" s="64"/>
      <x:c r="H306" s="49" t="str">
        <x:v>No verified FRA match in extracted history</x:v>
      </x:c>
      <x:c r="I306" s="49" t="str">
        <x:v>Normal annual approved fee; not category/seat-type payable amount</x:v>
      </x:c>
      <x:c r="J306" s="49" t="str">
        <x:v>https://fe2025.mahacet.org/StaticPages/frmInstituteSummary.aspx?InstituteCode=06468</x:v>
      </x:c>
    </x:row>
    <x:row r="307">
      <x:c r="A307" s="63" t="n">
        <x:v>6545</x:v>
      </x:c>
      <x:c r="B307" s="49" t="str">
        <x:v>Samarth Education Trust's Arvind Gavali College Of Engineering Panwalewadi, Varye,Satara.</x:v>
      </x:c>
      <x:c r="C307" s="49" t="str">
        <x:v>Satara</x:v>
      </x:c>
      <x:c r="D307" s="49" t="str">
        <x:v>2024-25</x:v>
      </x:c>
      <x:c r="E307" s="64" t="n">
        <x:v>72316</x:v>
      </x:c>
      <x:c r="F307" s="64" t="n">
        <x:v>9184</x:v>
      </x:c>
      <x:c r="G307" s="64" t="n">
        <x:v>81500</x:v>
      </x:c>
      <x:c r="H307" s="49" t="str">
        <x:v>Verified FRA annual tuition + development fee</x:v>
      </x:c>
      <x:c r="I307" s="49" t="str">
        <x:v>Normal annual approved fee; not category/seat-type payable amount</x:v>
      </x:c>
      <x:c r="J307" s="49" t="str">
        <x:v>https://fe2025.mahacet.org/StaticPages/frmInstituteSummary.aspx?InstituteCode=06545</x:v>
      </x:c>
    </x:row>
    <x:row r="308">
      <x:c r="A308" s="63" t="n">
        <x:v>6609</x:v>
      </x:c>
      <x:c r="B308" s="49" t="str">
        <x:v>Jaihind College Of Engineering,Kuran</x:v>
      </x:c>
      <x:c r="C308" s="49" t="str">
        <x:v>Pune</x:v>
      </x:c>
      <x:c r="D308" s="49" t="str">
        <x:v>2024-25</x:v>
      </x:c>
      <x:c r="E308" s="64" t="n">
        <x:v>61428</x:v>
      </x:c>
      <x:c r="F308" s="64" t="n">
        <x:v>6572</x:v>
      </x:c>
      <x:c r="G308" s="64" t="n">
        <x:v>68000</x:v>
      </x:c>
      <x:c r="H308" s="49" t="str">
        <x:v>Verified FRA annual tuition + development fee</x:v>
      </x:c>
      <x:c r="I308" s="49" t="str">
        <x:v>Normal annual approved fee; not category/seat-type payable amount</x:v>
      </x:c>
      <x:c r="J308" s="49" t="str">
        <x:v>https://fe2025.mahacet.org/StaticPages/frmInstituteSummary.aspx?InstituteCode=06609</x:v>
      </x:c>
    </x:row>
    <x:row r="309">
      <x:c r="A309" s="63" t="n">
        <x:v>6622</x:v>
      </x:c>
      <x:c r="B309" s="49" t="str">
        <x:v>ISBM College Of Engineering Pune</x:v>
      </x:c>
      <x:c r="C309" s="49" t="str">
        <x:v>Pune</x:v>
      </x:c>
      <x:c r="D309" s="49" t="str">
        <x:v>2024-25</x:v>
      </x:c>
      <x:c r="E309" s="64" t="n">
        <x:v>61728</x:v>
      </x:c>
      <x:c r="F309" s="64" t="n">
        <x:v>8272</x:v>
      </x:c>
      <x:c r="G309" s="64" t="n">
        <x:v>70000</x:v>
      </x:c>
      <x:c r="H309" s="49" t="str">
        <x:v>Verified FRA annual tuition + development fee</x:v>
      </x:c>
      <x:c r="I309" s="49" t="str">
        <x:v>Normal annual approved fee; not category/seat-type payable amount</x:v>
      </x:c>
      <x:c r="J309" s="49" t="str">
        <x:v>https://fe2025.mahacet.org/StaticPages/frmInstituteSummary.aspx?InstituteCode=06622</x:v>
      </x:c>
    </x:row>
    <x:row r="310">
      <x:c r="A310" s="63" t="n">
        <x:v>6625</x:v>
      </x:c>
      <x:c r="B310" s="49" t="str">
        <x:v>Universal College of Engineering &amp; Research, Sasewadi</x:v>
      </x:c>
      <x:c r="C310" s="49" t="str">
        <x:v>Pune</x:v>
      </x:c>
      <x:c r="D310" s="49" t="str">
        <x:v>2024-25</x:v>
      </x:c>
      <x:c r="E310" s="64" t="n">
        <x:v>32433</x:v>
      </x:c>
      <x:c r="F310" s="64" t="n">
        <x:v>3567</x:v>
      </x:c>
      <x:c r="G310" s="64" t="n">
        <x:v>36000</x:v>
      </x:c>
      <x:c r="H310" s="49" t="str">
        <x:v>Verified FRA annual tuition + development fee</x:v>
      </x:c>
      <x:c r="I310" s="49" t="str">
        <x:v>Normal annual approved fee; not category/seat-type payable amount</x:v>
      </x:c>
      <x:c r="J310" s="49" t="str">
        <x:v>https://fe2025.mahacet.org/StaticPages/frmInstituteSummary.aspx?InstituteCode=06625</x:v>
      </x:c>
    </x:row>
    <x:row r="311">
      <x:c r="A311" s="63" t="n">
        <x:v>6628</x:v>
      </x:c>
      <x:c r="B311" s="49" t="str">
        <x:v>Dattakala Group Of Institutions, Swami - Chincholi Tal. Daund Dist. Pune</x:v>
      </x:c>
      <x:c r="C311" s="49" t="str">
        <x:v>Pune</x:v>
      </x:c>
      <x:c r="D311" s="49" t="str">
        <x:v>2024-25</x:v>
      </x:c>
      <x:c r="E311" s="64" t="n">
        <x:v>82666</x:v>
      </x:c>
      <x:c r="F311" s="64" t="n">
        <x:v>10334</x:v>
      </x:c>
      <x:c r="G311" s="64" t="n">
        <x:v>93000</x:v>
      </x:c>
      <x:c r="H311" s="49" t="str">
        <x:v>Verified FRA annual tuition + development fee</x:v>
      </x:c>
      <x:c r="I311" s="49" t="str">
        <x:v>Normal annual approved fee; not category/seat-type payable amount</x:v>
      </x:c>
      <x:c r="J311" s="49" t="str">
        <x:v>https://fe2025.mahacet.org/StaticPages/frmInstituteSummary.aspx?InstituteCode=06628</x:v>
      </x:c>
    </x:row>
    <x:row r="312">
      <x:c r="A312" s="63" t="n">
        <x:v>6632</x:v>
      </x:c>
      <x:c r="B312" s="49" t="str">
        <x:v>Navsahyadri Education Society's Group of Institutions</x:v>
      </x:c>
      <x:c r="C312" s="49" t="str">
        <x:v>Pune</x:v>
      </x:c>
      <x:c r="D312" s="49" t="str">
        <x:v>2024-25</x:v>
      </x:c>
      <x:c r="E312" s="64" t="n">
        <x:v>82452</x:v>
      </x:c>
      <x:c r="F312" s="64" t="n">
        <x:v>11048</x:v>
      </x:c>
      <x:c r="G312" s="64" t="n">
        <x:v>93500</x:v>
      </x:c>
      <x:c r="H312" s="49" t="str">
        <x:v>Verified FRA annual tuition + development fee</x:v>
      </x:c>
      <x:c r="I312" s="49" t="str">
        <x:v>Normal annual approved fee; not category/seat-type payable amount</x:v>
      </x:c>
      <x:c r="J312" s="49" t="str">
        <x:v>https://fe2025.mahacet.org/StaticPages/frmInstituteSummary.aspx?InstituteCode=06632</x:v>
      </x:c>
    </x:row>
    <x:row r="313">
      <x:c r="A313" s="63" t="n">
        <x:v>6634</x:v>
      </x:c>
      <x:c r="B313" s="49" t="str">
        <x:v>KJEI's Trinity Academy of Engineering, Yewalewadi, Pune</x:v>
      </x:c>
      <x:c r="C313" s="49" t="str">
        <x:v>Pune</x:v>
      </x:c>
      <x:c r="D313" s="49" t="str">
        <x:v>2024-25</x:v>
      </x:c>
      <x:c r="E313" s="64" t="n">
        <x:v>76956</x:v>
      </x:c>
      <x:c r="F313" s="64" t="n">
        <x:v>11544</x:v>
      </x:c>
      <x:c r="G313" s="64" t="n">
        <x:v>88500</x:v>
      </x:c>
      <x:c r="H313" s="49" t="str">
        <x:v>Verified FRA annual tuition + development fee</x:v>
      </x:c>
      <x:c r="I313" s="49" t="str">
        <x:v>Normal annual approved fee; not category/seat-type payable amount</x:v>
      </x:c>
      <x:c r="J313" s="49" t="str">
        <x:v>https://fe2025.mahacet.org/StaticPages/frmInstituteSummary.aspx?InstituteCode=06634</x:v>
      </x:c>
    </x:row>
    <x:row r="314">
      <x:c r="A314" s="63" t="n">
        <x:v>6635</x:v>
      </x:c>
      <x:c r="B314" s="49" t="str">
        <x:v>Samarth College of Engineering and Management</x:v>
      </x:c>
      <x:c r="C314" s="49" t="str">
        <x:v>Pune</x:v>
      </x:c>
      <x:c r="D314" s="49" t="str">
        <x:v>2024-25</x:v>
      </x:c>
      <x:c r="E314" s="64" t="n">
        <x:v>80444</x:v>
      </x:c>
      <x:c r="F314" s="64" t="n">
        <x:v>10056</x:v>
      </x:c>
      <x:c r="G314" s="64" t="n">
        <x:v>90500</x:v>
      </x:c>
      <x:c r="H314" s="49" t="str">
        <x:v>Verified FRA annual tuition + development fee</x:v>
      </x:c>
      <x:c r="I314" s="49" t="str">
        <x:v>Normal annual approved fee; not category/seat-type payable amount</x:v>
      </x:c>
      <x:c r="J314" s="49" t="str">
        <x:v>https://fe2025.mahacet.org/StaticPages/frmInstituteSummary.aspx?InstituteCode=06635</x:v>
      </x:c>
    </x:row>
    <x:row r="315">
      <x:c r="A315" s="63" t="n">
        <x:v>6640</x:v>
      </x:c>
      <x:c r="B315" s="49" t="str">
        <x:v>N. B. Navale Sinhgad College of Engineering, Kegaon, solapur</x:v>
      </x:c>
      <x:c r="C315" s="49" t="str">
        <x:v>Solapur</x:v>
      </x:c>
      <x:c r="D315" s="49" t="str">
        <x:v>2024-25</x:v>
      </x:c>
      <x:c r="E315" s="64" t="n">
        <x:v>83624</x:v>
      </x:c>
      <x:c r="F315" s="64" t="n">
        <x:v>11876</x:v>
      </x:c>
      <x:c r="G315" s="64" t="n">
        <x:v>95500</x:v>
      </x:c>
      <x:c r="H315" s="49" t="str">
        <x:v>Verified FRA annual tuition + development fee</x:v>
      </x:c>
      <x:c r="I315" s="49" t="str">
        <x:v>Normal annual approved fee; not category/seat-type payable amount</x:v>
      </x:c>
      <x:c r="J315" s="49" t="str">
        <x:v>https://fe2025.mahacet.org/StaticPages/frmInstituteSummary.aspx?InstituteCode=06640</x:v>
      </x:c>
    </x:row>
    <x:row r="316">
      <x:c r="A316" s="63" t="n">
        <x:v>6643</x:v>
      </x:c>
      <x:c r="B316" s="49" t="str">
        <x:v>S K N Sinhgad College of Engineering, Korti Tal. Pandharpur Dist Solapur</x:v>
      </x:c>
      <x:c r="C316" s="49" t="str">
        <x:v>Solapur</x:v>
      </x:c>
      <x:c r="D316" s="49" t="str">
        <x:v>2024-25</x:v>
      </x:c>
      <x:c r="E316" s="64" t="n">
        <x:v>83478</x:v>
      </x:c>
      <x:c r="F316" s="64" t="n">
        <x:v>12522</x:v>
      </x:c>
      <x:c r="G316" s="64" t="n">
        <x:v>96000</x:v>
      </x:c>
      <x:c r="H316" s="49" t="str">
        <x:v>Verified FRA annual tuition + development fee</x:v>
      </x:c>
      <x:c r="I316" s="49" t="str">
        <x:v>Normal annual approved fee; not category/seat-type payable amount</x:v>
      </x:c>
      <x:c r="J316" s="49" t="str">
        <x:v>https://fe2025.mahacet.org/StaticPages/frmInstituteSummary.aspx?InstituteCode=06643</x:v>
      </x:c>
    </x:row>
    <x:row r="317">
      <x:c r="A317" s="63" t="n">
        <x:v>6644</x:v>
      </x:c>
      <x:c r="B317" s="49" t="str">
        <x:v>Shri. Ambabai Talim Sanstha's Sanjay Bhokare Group of Institutes, Miraj</x:v>
      </x:c>
      <x:c r="C317" s="49" t="str">
        <x:v>Sangli</x:v>
      </x:c>
      <x:c r="D317" s="49" t="str">
        <x:v>2024-25</x:v>
      </x:c>
      <x:c r="E317" s="64" t="n">
        <x:v>74562</x:v>
      </x:c>
      <x:c r="F317" s="64" t="n">
        <x:v>10438</x:v>
      </x:c>
      <x:c r="G317" s="64" t="n">
        <x:v>85000</x:v>
      </x:c>
      <x:c r="H317" s="49" t="str">
        <x:v>Verified FRA annual tuition + development fee</x:v>
      </x:c>
      <x:c r="I317" s="49" t="str">
        <x:v>Normal annual approved fee; not category/seat-type payable amount</x:v>
      </x:c>
      <x:c r="J317" s="49" t="str">
        <x:v>https://fe2025.mahacet.org/StaticPages/frmInstituteSummary.aspx?InstituteCode=06644</x:v>
      </x:c>
    </x:row>
    <x:row r="318">
      <x:c r="A318" s="63" t="n">
        <x:v>6649</x:v>
      </x:c>
      <x:c r="B318" s="49" t="str">
        <x:v>TSSM's Bhivarabai Sawant College of Engineering and Research, Narhe, Pune</x:v>
      </x:c>
      <x:c r="C318" s="49" t="str">
        <x:v>Pune</x:v>
      </x:c>
      <x:c r="D318" s="49" t="str">
        <x:v>2024-25</x:v>
      </x:c>
      <x:c r="E318" s="64" t="n">
        <x:v>91309</x:v>
      </x:c>
      <x:c r="F318" s="64" t="n">
        <x:v>12691</x:v>
      </x:c>
      <x:c r="G318" s="64" t="n">
        <x:v>104000</x:v>
      </x:c>
      <x:c r="H318" s="49" t="str">
        <x:v>Verified FRA annual tuition + development fee</x:v>
      </x:c>
      <x:c r="I318" s="49" t="str">
        <x:v>Normal annual approved fee; not category/seat-type payable amount</x:v>
      </x:c>
      <x:c r="J318" s="49" t="str">
        <x:v>https://fe2025.mahacet.org/StaticPages/frmInstituteSummary.aspx?InstituteCode=06649</x:v>
      </x:c>
    </x:row>
    <x:row r="319">
      <x:c r="A319" s="63" t="n">
        <x:v>6714</x:v>
      </x:c>
      <x:c r="B319" s="49" t="str">
        <x:v>APPASAHEB ALIAS SA.RE.PATIL INSTITUTE OF TECHNOLOGY, Dattanagar Tal-Shirol, Dist Kolhapur</x:v>
      </x:c>
      <x:c r="C319" s="49"/>
      <x:c r="D319" s="49"/>
      <x:c r="E319" s="64"/>
      <x:c r="F319" s="64"/>
      <x:c r="G319" s="64"/>
      <x:c r="H319" s="49" t="str">
        <x:v>No verified FRA match in extracted history</x:v>
      </x:c>
      <x:c r="I319" s="49" t="str">
        <x:v>Normal annual approved fee; not category/seat-type payable amount</x:v>
      </x:c>
      <x:c r="J319" s="49" t="str">
        <x:v>https://fe2025.mahacet.org/StaticPages/frmInstituteSummary.aspx?InstituteCode=06714</x:v>
      </x:c>
    </x:row>
    <x:row r="320">
      <x:c r="A320" s="63" t="n">
        <x:v>6732</x:v>
      </x:c>
      <x:c r="B320" s="49" t="str">
        <x:v>Ajeenkya DY Patil School of Engineering, Lohegaon, Pune</x:v>
      </x:c>
      <x:c r="C320" s="49" t="str">
        <x:v>Pune</x:v>
      </x:c>
      <x:c r="D320" s="49" t="str">
        <x:v>2024-25</x:v>
      </x:c>
      <x:c r="E320" s="64" t="n">
        <x:v>90192</x:v>
      </x:c>
      <x:c r="F320" s="64" t="n">
        <x:v>12808</x:v>
      </x:c>
      <x:c r="G320" s="64" t="n">
        <x:v>103000</x:v>
      </x:c>
      <x:c r="H320" s="49" t="str">
        <x:v>Verified FRA annual tuition + development fee</x:v>
      </x:c>
      <x:c r="I320" s="49" t="str">
        <x:v>Normal annual approved fee; not category/seat-type payable amount</x:v>
      </x:c>
      <x:c r="J320" s="49" t="str">
        <x:v>https://fe2025.mahacet.org/StaticPages/frmInstituteSummary.aspx?InstituteCode=06732</x:v>
      </x:c>
    </x:row>
    <x:row r="321">
      <x:c r="A321" s="63" t="n">
        <x:v>6754</x:v>
      </x:c>
      <x:c r="B321" s="49" t="str">
        <x:v>International Institute of Information Technology (I²IT), Pune.</x:v>
      </x:c>
      <x:c r="C321" s="49" t="str">
        <x:v>Pune</x:v>
      </x:c>
      <x:c r="D321" s="49" t="str">
        <x:v>2024-25</x:v>
      </x:c>
      <x:c r="E321" s="64" t="n">
        <x:v>96930</x:v>
      </x:c>
      <x:c r="F321" s="64" t="n">
        <x:v>13570</x:v>
      </x:c>
      <x:c r="G321" s="64" t="n">
        <x:v>110500</x:v>
      </x:c>
      <x:c r="H321" s="49" t="str">
        <x:v>Verified FRA annual tuition + development fee</x:v>
      </x:c>
      <x:c r="I321" s="49" t="str">
        <x:v>Normal annual approved fee; not category/seat-type payable amount</x:v>
      </x:c>
      <x:c r="J321" s="49" t="str">
        <x:v>https://fe2025.mahacet.org/StaticPages/frmInstituteSummary.aspx?InstituteCode=06754</x:v>
      </x:c>
    </x:row>
    <x:row r="322">
      <x:c r="A322" s="63" t="n">
        <x:v>6755</x:v>
      </x:c>
      <x:c r="B322" s="49" t="str">
        <x:v>JSPM Narhe Technical Campus, Pune.</x:v>
      </x:c>
      <x:c r="C322" s="49" t="str">
        <x:v>Pune</x:v>
      </x:c>
      <x:c r="D322" s="49" t="str">
        <x:v>2024-25</x:v>
      </x:c>
      <x:c r="E322" s="64" t="n">
        <x:v>88183</x:v>
      </x:c>
      <x:c r="F322" s="64" t="n">
        <x:v>11817</x:v>
      </x:c>
      <x:c r="G322" s="64" t="n">
        <x:v>100000</x:v>
      </x:c>
      <x:c r="H322" s="49" t="str">
        <x:v>Verified FRA annual tuition + development fee</x:v>
      </x:c>
      <x:c r="I322" s="49" t="str">
        <x:v>Normal annual approved fee; not category/seat-type payable amount</x:v>
      </x:c>
      <x:c r="J322" s="49" t="str">
        <x:v>https://fe2025.mahacet.org/StaticPages/frmInstituteSummary.aspx?InstituteCode=06755</x:v>
      </x:c>
    </x:row>
    <x:row r="323">
      <x:c r="A323" s="63" t="n">
        <x:v>6756</x:v>
      </x:c>
      <x:c r="B323" s="49" t="str">
        <x:v>Fabtech Technical Campus College of Engineering and Research, Sangola</x:v>
      </x:c>
      <x:c r="C323" s="49" t="str">
        <x:v>Solapur</x:v>
      </x:c>
      <x:c r="D323" s="49" t="str">
        <x:v>2024-25</x:v>
      </x:c>
      <x:c r="E323" s="64" t="n">
        <x:v>71428</x:v>
      </x:c>
      <x:c r="F323" s="64" t="n">
        <x:v>8572</x:v>
      </x:c>
      <x:c r="G323" s="64" t="n">
        <x:v>80000</x:v>
      </x:c>
      <x:c r="H323" s="49" t="str">
        <x:v>Verified FRA annual tuition + development fee</x:v>
      </x:c>
      <x:c r="I323" s="49" t="str">
        <x:v>Normal annual approved fee; not category/seat-type payable amount</x:v>
      </x:c>
      <x:c r="J323" s="49" t="str">
        <x:v>https://fe2025.mahacet.org/StaticPages/frmInstituteSummary.aspx?InstituteCode=06756</x:v>
      </x:c>
    </x:row>
    <x:row r="324">
      <x:c r="A324" s="63" t="n">
        <x:v>6757</x:v>
      </x:c>
      <x:c r="B324" s="49" t="str">
        <x:v>Yashoda Technical Campus, Wadhe, Satara.</x:v>
      </x:c>
      <x:c r="C324" s="49" t="str">
        <x:v>Satara</x:v>
      </x:c>
      <x:c r="D324" s="49" t="str">
        <x:v>2024-25</x:v>
      </x:c>
      <x:c r="E324" s="64" t="n">
        <x:v>93806</x:v>
      </x:c>
      <x:c r="F324" s="64" t="n">
        <x:v>12194</x:v>
      </x:c>
      <x:c r="G324" s="64" t="n">
        <x:v>106000</x:v>
      </x:c>
      <x:c r="H324" s="49" t="str">
        <x:v>Verified FRA annual tuition + development fee</x:v>
      </x:c>
      <x:c r="I324" s="49" t="str">
        <x:v>Normal annual approved fee; not category/seat-type payable amount</x:v>
      </x:c>
      <x:c r="J324" s="49" t="str">
        <x:v>https://fe2025.mahacet.org/StaticPages/frmInstituteSummary.aspx?InstituteCode=06757</x:v>
      </x:c>
    </x:row>
    <x:row r="325">
      <x:c r="A325" s="63" t="n">
        <x:v>6758</x:v>
      </x:c>
      <x:c r="B325" s="49" t="str">
        <x:v>Sahyadri Valley College of Engineering &amp; Technology, Rajuri, Pune.</x:v>
      </x:c>
      <x:c r="C325" s="49" t="str">
        <x:v>Pune</x:v>
      </x:c>
      <x:c r="D325" s="49" t="str">
        <x:v>2024-25</x:v>
      </x:c>
      <x:c r="E325" s="64" t="n">
        <x:v>46667</x:v>
      </x:c>
      <x:c r="F325" s="64" t="n">
        <x:v>5833</x:v>
      </x:c>
      <x:c r="G325" s="64" t="n">
        <x:v>52500</x:v>
      </x:c>
      <x:c r="H325" s="49" t="str">
        <x:v>Verified FRA annual tuition + development fee</x:v>
      </x:c>
      <x:c r="I325" s="49" t="str">
        <x:v>Normal annual approved fee; not category/seat-type payable amount</x:v>
      </x:c>
      <x:c r="J325" s="49" t="str">
        <x:v>https://fe2025.mahacet.org/StaticPages/frmInstituteSummary.aspx?InstituteCode=06758</x:v>
      </x:c>
    </x:row>
    <x:row r="326">
      <x:c r="A326" s="63" t="n">
        <x:v>6759</x:v>
      </x:c>
      <x:c r="B326" s="49" t="str">
        <x:v>Shree Ramchandra College of Engineering, Lonikand,Pune</x:v>
      </x:c>
      <x:c r="C326" s="49" t="str">
        <x:v>Pune</x:v>
      </x:c>
      <x:c r="D326" s="49" t="str">
        <x:v>2024-25</x:v>
      </x:c>
      <x:c r="E326" s="64" t="n">
        <x:v>67256</x:v>
      </x:c>
      <x:c r="F326" s="64" t="n">
        <x:v>8744</x:v>
      </x:c>
      <x:c r="G326" s="64" t="n">
        <x:v>76000</x:v>
      </x:c>
      <x:c r="H326" s="49" t="str">
        <x:v>Verified FRA annual tuition + development fee</x:v>
      </x:c>
      <x:c r="I326" s="49" t="str">
        <x:v>Normal annual approved fee; not category/seat-type payable amount</x:v>
      </x:c>
      <x:c r="J326" s="49" t="str">
        <x:v>https://fe2025.mahacet.org/StaticPages/frmInstituteSummary.aspx?InstituteCode=06759</x:v>
      </x:c>
    </x:row>
    <x:row r="327">
      <x:c r="A327" s="63" t="n">
        <x:v>6762</x:v>
      </x:c>
      <x:c r="B327" s="49" t="str">
        <x:v>Nanasaheb Mahadik College of Engineering,Walwa, Sangli.</x:v>
      </x:c>
      <x:c r="C327" s="49" t="str">
        <x:v>Sangli</x:v>
      </x:c>
      <x:c r="D327" s="49" t="str">
        <x:v>2024-25</x:v>
      </x:c>
      <x:c r="E327" s="64" t="n">
        <x:v>68445</x:v>
      </x:c>
      <x:c r="F327" s="64" t="n">
        <x:v>8555</x:v>
      </x:c>
      <x:c r="G327" s="64" t="n">
        <x:v>77000</x:v>
      </x:c>
      <x:c r="H327" s="49" t="str">
        <x:v>Verified FRA annual tuition + development fee</x:v>
      </x:c>
      <x:c r="I327" s="49" t="str">
        <x:v>Normal annual approved fee; not category/seat-type payable amount</x:v>
      </x:c>
      <x:c r="J327" s="49" t="str">
        <x:v>https://fe2025.mahacet.org/StaticPages/frmInstituteSummary.aspx?InstituteCode=06762</x:v>
      </x:c>
    </x:row>
    <x:row r="328">
      <x:c r="A328" s="63" t="n">
        <x:v>6766</x:v>
      </x:c>
      <x:c r="B328" s="49" t="str">
        <x:v>Phaltan Education Society's College of Engineering Thakurki Tal- Phaltan Dist-Satara</x:v>
      </x:c>
      <x:c r="C328" s="49" t="str">
        <x:v>Satara</x:v>
      </x:c>
      <x:c r="D328" s="49" t="str">
        <x:v>2024-25</x:v>
      </x:c>
      <x:c r="E328" s="64" t="n">
        <x:v>78292</x:v>
      </x:c>
      <x:c r="F328" s="64" t="n">
        <x:v>9708</x:v>
      </x:c>
      <x:c r="G328" s="64" t="n">
        <x:v>88000</x:v>
      </x:c>
      <x:c r="H328" s="49" t="str">
        <x:v>Verified FRA annual tuition + development fee</x:v>
      </x:c>
      <x:c r="I328" s="49" t="str">
        <x:v>Normal annual approved fee; not category/seat-type payable amount</x:v>
      </x:c>
      <x:c r="J328" s="49" t="str">
        <x:v>https://fe2025.mahacet.org/StaticPages/frmInstituteSummary.aspx?InstituteCode=06766</x:v>
      </x:c>
    </x:row>
    <x:row r="329">
      <x:c r="A329" s="63" t="n">
        <x:v>6767</x:v>
      </x:c>
      <x:c r="B329" s="49" t="str">
        <x:v>Suman Ramesh Tulsiani Technical Campus Faculty of Engineering, Kamshet,Pune.</x:v>
      </x:c>
      <x:c r="C329" s="49" t="str">
        <x:v>Pune</x:v>
      </x:c>
      <x:c r="D329" s="49" t="str">
        <x:v>2024-25</x:v>
      </x:c>
      <x:c r="E329" s="64" t="n">
        <x:v>62832</x:v>
      </x:c>
      <x:c r="F329" s="64" t="n">
        <x:v>8168</x:v>
      </x:c>
      <x:c r="G329" s="64" t="n">
        <x:v>71000</x:v>
      </x:c>
      <x:c r="H329" s="49" t="str">
        <x:v>Verified FRA annual tuition + development fee</x:v>
      </x:c>
      <x:c r="I329" s="49" t="str">
        <x:v>Normal annual approved fee; not category/seat-type payable amount</x:v>
      </x:c>
      <x:c r="J329" s="49" t="str">
        <x:v>https://fe2025.mahacet.org/StaticPages/frmInstituteSummary.aspx?InstituteCode=06767</x:v>
      </x:c>
    </x:row>
    <x:row r="330">
      <x:c r="A330" s="63" t="n">
        <x:v>6768</x:v>
      </x:c>
      <x:c r="B330" s="49" t="str">
        <x:v>P.K. Technical Campus, Pune.</x:v>
      </x:c>
      <x:c r="C330" s="49" t="str">
        <x:v>Pune</x:v>
      </x:c>
      <x:c r="D330" s="49" t="str">
        <x:v>2024-25</x:v>
      </x:c>
      <x:c r="E330" s="64" t="n">
        <x:v>57932</x:v>
      </x:c>
      <x:c r="F330" s="64" t="n">
        <x:v>7068</x:v>
      </x:c>
      <x:c r="G330" s="64" t="n">
        <x:v>65000</x:v>
      </x:c>
      <x:c r="H330" s="49" t="str">
        <x:v>Verified FRA annual tuition + development fee</x:v>
      </x:c>
      <x:c r="I330" s="49" t="str">
        <x:v>Normal annual approved fee; not category/seat-type payable amount</x:v>
      </x:c>
      <x:c r="J330" s="49" t="str">
        <x:v>https://fe2025.mahacet.org/StaticPages/frmInstituteSummary.aspx?InstituteCode=06768</x:v>
      </x:c>
    </x:row>
    <x:row r="331">
      <x:c r="A331" s="63" t="n">
        <x:v>6769</x:v>
      </x:c>
      <x:c r="B331" s="49" t="str">
        <x:v>Rasiklal M. Dhariwal Sinhgad Technical Institutes Campus, Warje, Pune.</x:v>
      </x:c>
      <x:c r="C331" s="49" t="str">
        <x:v>Pune</x:v>
      </x:c>
      <x:c r="D331" s="49" t="str">
        <x:v>2024-25</x:v>
      </x:c>
      <x:c r="E331" s="64" t="n">
        <x:v>82609</x:v>
      </x:c>
      <x:c r="F331" s="64" t="n">
        <x:v>12391</x:v>
      </x:c>
      <x:c r="G331" s="64" t="n">
        <x:v>95000</x:v>
      </x:c>
      <x:c r="H331" s="49" t="str">
        <x:v>Verified FRA annual tuition + development fee</x:v>
      </x:c>
      <x:c r="I331" s="49" t="str">
        <x:v>Normal annual approved fee; not category/seat-type payable amount</x:v>
      </x:c>
      <x:c r="J331" s="49" t="str">
        <x:v>https://fe2025.mahacet.org/StaticPages/frmInstituteSummary.aspx?InstituteCode=06769</x:v>
      </x:c>
    </x:row>
    <x:row r="332">
      <x:c r="A332" s="63" t="n">
        <x:v>6770</x:v>
      </x:c>
      <x:c r="B332" s="49" t="str">
        <x:v>SKN Sinhgad Institute of Technology &amp; Science, Kusgaon(BK),Pune.</x:v>
      </x:c>
      <x:c r="C332" s="49" t="str">
        <x:v>Pune</x:v>
      </x:c>
      <x:c r="D332" s="49" t="str">
        <x:v>2024-25</x:v>
      </x:c>
      <x:c r="E332" s="64" t="n">
        <x:v>107826</x:v>
      </x:c>
      <x:c r="F332" s="64" t="n">
        <x:v>16174</x:v>
      </x:c>
      <x:c r="G332" s="64" t="n">
        <x:v>124000</x:v>
      </x:c>
      <x:c r="H332" s="49" t="str">
        <x:v>Verified FRA annual tuition + development fee</x:v>
      </x:c>
      <x:c r="I332" s="49" t="str">
        <x:v>Normal annual approved fee; not category/seat-type payable amount</x:v>
      </x:c>
      <x:c r="J332" s="49" t="str">
        <x:v>https://fe2025.mahacet.org/StaticPages/frmInstituteSummary.aspx?InstituteCode=06770</x:v>
      </x:c>
    </x:row>
    <x:row r="333">
      <x:c r="A333" s="63" t="n">
        <x:v>6771</x:v>
      </x:c>
      <x:c r="B333" s="49" t="str">
        <x:v>Flora Institute of Technology, Khopi, Near Khed Shivapur Toll Plaza, Pune</x:v>
      </x:c>
      <x:c r="C333" s="49"/>
      <x:c r="D333" s="49"/>
      <x:c r="E333" s="64"/>
      <x:c r="F333" s="64"/>
      <x:c r="G333" s="64"/>
      <x:c r="H333" s="49" t="str">
        <x:v>No verified FRA match in extracted history</x:v>
      </x:c>
      <x:c r="I333" s="49" t="str">
        <x:v>Normal annual approved fee; not category/seat-type payable amount</x:v>
      </x:c>
      <x:c r="J333" s="49" t="str">
        <x:v>https://fe2025.mahacet.org/StaticPages/frmInstituteSummary.aspx?InstituteCode=06771</x:v>
      </x:c>
    </x:row>
    <x:row r="334">
      <x:c r="A334" s="63" t="n">
        <x:v>6772</x:v>
      </x:c>
      <x:c r="B334" s="49" t="str">
        <x:v>NBN Sinhgad Technical Institutes Campus, Pune</x:v>
      </x:c>
      <x:c r="C334" s="49" t="str">
        <x:v>Pune</x:v>
      </x:c>
      <x:c r="D334" s="49" t="str">
        <x:v>2024-25</x:v>
      </x:c>
      <x:c r="E334" s="64" t="n">
        <x:v>87610</x:v>
      </x:c>
      <x:c r="F334" s="64" t="n">
        <x:v>11390</x:v>
      </x:c>
      <x:c r="G334" s="64" t="n">
        <x:v>99000</x:v>
      </x:c>
      <x:c r="H334" s="49" t="str">
        <x:v>Verified FRA annual tuition + development fee</x:v>
      </x:c>
      <x:c r="I334" s="49" t="str">
        <x:v>Normal annual approved fee; not category/seat-type payable amount</x:v>
      </x:c>
      <x:c r="J334" s="49" t="str">
        <x:v>https://fe2025.mahacet.org/StaticPages/frmInstituteSummary.aspx?InstituteCode=06772</x:v>
      </x:c>
    </x:row>
    <x:row r="335">
      <x:c r="A335" s="63" t="n">
        <x:v>6780</x:v>
      </x:c>
      <x:c r="B335" s="49" t="str">
        <x:v>D.Y.Patil Education Society's,D.Y.Patil Technical Campus, Faculty of Engineering &amp; Faculty of Management,Talsande,Kolhapur.</x:v>
      </x:c>
      <x:c r="C335" s="49" t="str">
        <x:v>Kolhapur</x:v>
      </x:c>
      <x:c r="D335" s="49" t="str">
        <x:v>2024-25</x:v>
      </x:c>
      <x:c r="E335" s="64" t="n">
        <x:v>72595</x:v>
      </x:c>
      <x:c r="F335" s="64" t="n">
        <x:v>7405</x:v>
      </x:c>
      <x:c r="G335" s="64" t="n">
        <x:v>80000</x:v>
      </x:c>
      <x:c r="H335" s="49" t="str">
        <x:v>Verified FRA annual tuition + development fee</x:v>
      </x:c>
      <x:c r="I335" s="49" t="str">
        <x:v>Normal annual approved fee; not category/seat-type payable amount</x:v>
      </x:c>
      <x:c r="J335" s="49" t="str">
        <x:v>https://fe2025.mahacet.org/StaticPages/frmInstituteSummary.aspx?InstituteCode=06780</x:v>
      </x:c>
    </x:row>
    <x:row r="336">
      <x:c r="A336" s="63" t="n">
        <x:v>6781</x:v>
      </x:c>
      <x:c r="B336" s="49" t="str">
        <x:v>Bhagwant Institute of Technology, Barshi</x:v>
      </x:c>
      <x:c r="C336" s="49" t="str">
        <x:v>Solapur</x:v>
      </x:c>
      <x:c r="D336" s="49" t="str">
        <x:v>2024-25</x:v>
      </x:c>
      <x:c r="E336" s="64" t="n">
        <x:v>52679</x:v>
      </x:c>
      <x:c r="F336" s="64" t="n">
        <x:v>6321</x:v>
      </x:c>
      <x:c r="G336" s="64" t="n">
        <x:v>59000</x:v>
      </x:c>
      <x:c r="H336" s="49" t="str">
        <x:v>Verified FRA annual tuition + development fee</x:v>
      </x:c>
      <x:c r="I336" s="49" t="str">
        <x:v>Normal annual approved fee; not category/seat-type payable amount</x:v>
      </x:c>
      <x:c r="J336" s="49" t="str">
        <x:v>https://fe2025.mahacet.org/StaticPages/frmInstituteSummary.aspx?InstituteCode=06781</x:v>
      </x:c>
    </x:row>
    <x:row r="337">
      <x:c r="A337" s="63" t="n">
        <x:v>6782</x:v>
      </x:c>
      <x:c r="B337" s="49" t="str">
        <x:v>Sahakar Maharshee Shankarrao Mohite Patil Institute of Technology &amp; Research, Akluj</x:v>
      </x:c>
      <x:c r="C337" s="49" t="str">
        <x:v>Solapur</x:v>
      </x:c>
      <x:c r="D337" s="49" t="str">
        <x:v>2024-25</x:v>
      </x:c>
      <x:c r="E337" s="64" t="n">
        <x:v>47297</x:v>
      </x:c>
      <x:c r="F337" s="64" t="n">
        <x:v>5203</x:v>
      </x:c>
      <x:c r="G337" s="64" t="n">
        <x:v>52500</x:v>
      </x:c>
      <x:c r="H337" s="49" t="str">
        <x:v>Verified FRA annual tuition + development fee</x:v>
      </x:c>
      <x:c r="I337" s="49" t="str">
        <x:v>Normal annual approved fee; not category/seat-type payable amount</x:v>
      </x:c>
      <x:c r="J337" s="49" t="str">
        <x:v>https://fe2025.mahacet.org/StaticPages/frmInstituteSummary.aspx?InstituteCode=06782</x:v>
      </x:c>
    </x:row>
    <x:row r="338">
      <x:c r="A338" s="63" t="n">
        <x:v>6794</x:v>
      </x:c>
      <x:c r="B338" s="49" t="str">
        <x:v>Anantrao Pawar College of Engineering &amp; Research, Pune</x:v>
      </x:c>
      <x:c r="C338" s="49" t="str">
        <x:v>Pune</x:v>
      </x:c>
      <x:c r="D338" s="49" t="str">
        <x:v>2024-25</x:v>
      </x:c>
      <x:c r="E338" s="64" t="n">
        <x:v>62999</x:v>
      </x:c>
      <x:c r="F338" s="64" t="n">
        <x:v>8001</x:v>
      </x:c>
      <x:c r="G338" s="64" t="n">
        <x:v>71000</x:v>
      </x:c>
      <x:c r="H338" s="49" t="str">
        <x:v>Verified FRA annual tuition + development fee</x:v>
      </x:c>
      <x:c r="I338" s="49" t="str">
        <x:v>Normal annual approved fee; not category/seat-type payable amount</x:v>
      </x:c>
      <x:c r="J338" s="49" t="str">
        <x:v>https://fe2025.mahacet.org/StaticPages/frmInstituteSummary.aspx?InstituteCode=06794</x:v>
      </x:c>
    </x:row>
    <x:row r="339">
      <x:c r="A339" s="63" t="n">
        <x:v>6795</x:v>
      </x:c>
      <x:c r="B339" s="49" t="str">
        <x:v>Shri.Someshwar Shikshan Prasarak Mandal, Sharadchandra Pawar College of Engineering &amp; Technology, Someshwar Nagar</x:v>
      </x:c>
      <x:c r="C339" s="49" t="str">
        <x:v>Pune</x:v>
      </x:c>
      <x:c r="D339" s="49" t="str">
        <x:v>2024-25</x:v>
      </x:c>
      <x:c r="E339" s="64" t="n">
        <x:v>54299</x:v>
      </x:c>
      <x:c r="F339" s="64" t="n">
        <x:v>5701</x:v>
      </x:c>
      <x:c r="G339" s="64" t="n">
        <x:v>60000</x:v>
      </x:c>
      <x:c r="H339" s="49" t="str">
        <x:v>Verified FRA annual tuition + development fee</x:v>
      </x:c>
      <x:c r="I339" s="49" t="str">
        <x:v>Normal annual approved fee; not category/seat-type payable amount</x:v>
      </x:c>
      <x:c r="J339" s="49" t="str">
        <x:v>https://fe2025.mahacet.org/StaticPages/frmInstituteSummary.aspx?InstituteCode=06795</x:v>
      </x:c>
    </x:row>
    <x:row r="340">
      <x:c r="A340" s="63" t="n">
        <x:v>6796</x:v>
      </x:c>
      <x:c r="B340" s="49" t="str">
        <x:v>Bharati Vidyapeeth's College of Engineering,Lavale, Pune</x:v>
      </x:c>
      <x:c r="C340" s="49" t="str">
        <x:v>Pune</x:v>
      </x:c>
      <x:c r="D340" s="49" t="str">
        <x:v>2024-25</x:v>
      </x:c>
      <x:c r="E340" s="64" t="n">
        <x:v>95175</x:v>
      </x:c>
      <x:c r="F340" s="64" t="n">
        <x:v>11325</x:v>
      </x:c>
      <x:c r="G340" s="64" t="n">
        <x:v>106500</x:v>
      </x:c>
      <x:c r="H340" s="49" t="str">
        <x:v>Verified FRA annual tuition + development fee</x:v>
      </x:c>
      <x:c r="I340" s="49" t="str">
        <x:v>Normal annual approved fee; not category/seat-type payable amount</x:v>
      </x:c>
      <x:c r="J340" s="49" t="str">
        <x:v>https://fe2025.mahacet.org/StaticPages/frmInstituteSummary.aspx?InstituteCode=06796</x:v>
      </x:c>
    </x:row>
    <x:row r="341">
      <x:c r="A341" s="63" t="n">
        <x:v>6797</x:v>
      </x:c>
      <x:c r="B341" s="49" t="str">
        <x:v>Dnyanshree Institute Engineering and Technology, Satara</x:v>
      </x:c>
      <x:c r="C341" s="49" t="str">
        <x:v>Satara</x:v>
      </x:c>
      <x:c r="D341" s="49" t="str">
        <x:v>2024-25</x:v>
      </x:c>
      <x:c r="E341" s="64" t="n">
        <x:v>90265</x:v>
      </x:c>
      <x:c r="F341" s="64" t="n">
        <x:v>11735</x:v>
      </x:c>
      <x:c r="G341" s="64" t="n">
        <x:v>102000</x:v>
      </x:c>
      <x:c r="H341" s="49" t="str">
        <x:v>Verified FRA annual tuition + development fee</x:v>
      </x:c>
      <x:c r="I341" s="49" t="str">
        <x:v>Normal annual approved fee; not category/seat-type payable amount</x:v>
      </x:c>
      <x:c r="J341" s="49" t="str">
        <x:v>https://fe2025.mahacet.org/StaticPages/frmInstituteSummary.aspx?InstituteCode=06797</x:v>
      </x:c>
    </x:row>
    <x:row r="342">
      <x:c r="A342" s="63" t="n">
        <x:v>6799</x:v>
      </x:c>
      <x:c r="B342" s="49" t="str">
        <x:v>Shivganga Charitable Trust, Sangli Vishveshwarya Technical Campus, Faculty of Diploma Engineering, Patgaon, Miraj</x:v>
      </x:c>
      <x:c r="C342" s="49" t="str">
        <x:v>Sangli</x:v>
      </x:c>
      <x:c r="D342" s="49" t="str">
        <x:v>2024-25</x:v>
      </x:c>
      <x:c r="E342" s="64" t="n">
        <x:v>63636</x:v>
      </x:c>
      <x:c r="F342" s="64" t="n">
        <x:v>6364</x:v>
      </x:c>
      <x:c r="G342" s="64" t="n">
        <x:v>70000</x:v>
      </x:c>
      <x:c r="H342" s="49" t="str">
        <x:v>Verified FRA annual tuition + development fee</x:v>
      </x:c>
      <x:c r="I342" s="49" t="str">
        <x:v>Normal annual approved fee; not category/seat-type payable amount</x:v>
      </x:c>
      <x:c r="J342" s="49" t="str">
        <x:v>https://fe2025.mahacet.org/StaticPages/frmInstituteSummary.aspx?InstituteCode=06799</x:v>
      </x:c>
    </x:row>
    <x:row r="343">
      <x:c r="A343" s="63" t="n">
        <x:v>6802</x:v>
      </x:c>
      <x:c r="B343" s="49" t="str">
        <x:v>Dr. D.Y.Patil Institute of Engineering, Management &amp; Reseach, Akurdi, Pune</x:v>
      </x:c>
      <x:c r="C343" s="49" t="str">
        <x:v>Pune</x:v>
      </x:c>
      <x:c r="D343" s="49" t="str">
        <x:v>2024-25</x:v>
      </x:c>
      <x:c r="E343" s="64" t="n">
        <x:v>89709</x:v>
      </x:c>
      <x:c r="F343" s="64" t="n">
        <x:v>12291</x:v>
      </x:c>
      <x:c r="G343" s="64" t="n">
        <x:v>102000</x:v>
      </x:c>
      <x:c r="H343" s="49" t="str">
        <x:v>Verified FRA annual tuition + development fee</x:v>
      </x:c>
      <x:c r="I343" s="49" t="str">
        <x:v>Normal annual approved fee; not category/seat-type payable amount</x:v>
      </x:c>
      <x:c r="J343" s="49" t="str">
        <x:v>https://fe2025.mahacet.org/StaticPages/frmInstituteList.aspx?did=1884</x:v>
      </x:c>
    </x:row>
    <x:row r="344">
      <x:c r="A344" s="63" t="n">
        <x:v>6803</x:v>
      </x:c>
      <x:c r="B344" s="49" t="str">
        <x:v>Sant Gajanan Maharaj College of Engineering, Gadhinglaj</x:v>
      </x:c>
      <x:c r="C344" s="49" t="str">
        <x:v>Kolhapur</x:v>
      </x:c>
      <x:c r="D344" s="49" t="str">
        <x:v>2024-25</x:v>
      </x:c>
      <x:c r="E344" s="64" t="n">
        <x:v>54770</x:v>
      </x:c>
      <x:c r="F344" s="64" t="n">
        <x:v>7230</x:v>
      </x:c>
      <x:c r="G344" s="64" t="n">
        <x:v>62000</x:v>
      </x:c>
      <x:c r="H344" s="49" t="str">
        <x:v>Verified FRA annual tuition + development fee</x:v>
      </x:c>
      <x:c r="I344" s="49" t="str">
        <x:v>Normal annual approved fee; not category/seat-type payable amount</x:v>
      </x:c>
      <x:c r="J344" s="49" t="str">
        <x:v>https://fe2025.mahacet.org/StaticPages/frmInstituteSummary.aspx?InstituteCode=06803</x:v>
      </x:c>
    </x:row>
    <x:row r="345">
      <x:c r="A345" s="63" t="n">
        <x:v>6808</x:v>
      </x:c>
      <x:c r="B345" s="49" t="str">
        <x:v>Keystone School of Engineering, Pune</x:v>
      </x:c>
      <x:c r="C345" s="49" t="str">
        <x:v>Pune</x:v>
      </x:c>
      <x:c r="D345" s="49" t="str">
        <x:v>2024-25</x:v>
      </x:c>
      <x:c r="E345" s="64" t="n">
        <x:v>84806</x:v>
      </x:c>
      <x:c r="F345" s="64" t="n">
        <x:v>11194</x:v>
      </x:c>
      <x:c r="G345" s="64" t="n">
        <x:v>96000</x:v>
      </x:c>
      <x:c r="H345" s="49" t="str">
        <x:v>Verified FRA annual tuition + development fee</x:v>
      </x:c>
      <x:c r="I345" s="49" t="str">
        <x:v>Normal annual approved fee; not category/seat-type payable amount</x:v>
      </x:c>
      <x:c r="J345" s="49" t="str">
        <x:v>https://fe2025.mahacet.org/StaticPages/frmInstituteSummary.aspx?InstituteCode=06808</x:v>
      </x:c>
    </x:row>
    <x:row r="346">
      <x:c r="A346" s="63" t="n">
        <x:v>6811</x:v>
      </x:c>
      <x:c r="B346" s="49" t="str">
        <x:v>Sanjay Ghodawat Institute</x:v>
      </x:c>
      <x:c r="C346" s="49"/>
      <x:c r="D346" s="49"/>
      <x:c r="E346" s="64"/>
      <x:c r="F346" s="64"/>
      <x:c r="G346" s="64"/>
      <x:c r="H346" s="49" t="str">
        <x:v>No verified FRA match in extracted history</x:v>
      </x:c>
      <x:c r="I346" s="49" t="str">
        <x:v>Normal annual approved fee; not category/seat-type payable amount</x:v>
      </x:c>
      <x:c r="J346" s="49" t="str">
        <x:v>https://fe2025.mahacet.org/StaticPages/frmInstituteSummary.aspx?InstituteCode=06811</x:v>
      </x:c>
    </x:row>
    <x:row r="347">
      <x:c r="A347" s="63" t="n">
        <x:v>6815</x:v>
      </x:c>
      <x:c r="B347" s="49" t="str">
        <x:v>Vidya Prasarini Sabha's College of Engineering &amp; Technology, Lonavala</x:v>
      </x:c>
      <x:c r="C347" s="49" t="str">
        <x:v>Pune</x:v>
      </x:c>
      <x:c r="D347" s="49" t="str">
        <x:v>2024-25</x:v>
      </x:c>
      <x:c r="E347" s="64" t="n">
        <x:v>33185</x:v>
      </x:c>
      <x:c r="F347" s="64" t="n">
        <x:v>4315</x:v>
      </x:c>
      <x:c r="G347" s="64" t="n">
        <x:v>37500</x:v>
      </x:c>
      <x:c r="H347" s="49" t="str">
        <x:v>Verified FRA annual tuition + development fee</x:v>
      </x:c>
      <x:c r="I347" s="49" t="str">
        <x:v>Normal annual approved fee; not category/seat-type payable amount</x:v>
      </x:c>
      <x:c r="J347" s="49" t="str">
        <x:v>https://fe2025.mahacet.org/StaticPages/frmInstituteSummary.aspx?InstituteCode=06815</x:v>
      </x:c>
    </x:row>
    <x:row r="348">
      <x:c r="A348" s="63" t="n">
        <x:v>6822</x:v>
      </x:c>
      <x:c r="B348" s="49" t="str">
        <x:v>Pimpri Chinchwad Education Trust's Pimpri Chinchwad College Of Engineering And Research, Ravet</x:v>
      </x:c>
      <x:c r="C348" s="49" t="str">
        <x:v>Pune</x:v>
      </x:c>
      <x:c r="D348" s="49" t="str">
        <x:v>2024-25</x:v>
      </x:c>
      <x:c r="E348" s="64" t="n">
        <x:v>113044</x:v>
      </x:c>
      <x:c r="F348" s="64" t="n">
        <x:v>16956</x:v>
      </x:c>
      <x:c r="G348" s="64" t="n">
        <x:v>130000</x:v>
      </x:c>
      <x:c r="H348" s="49" t="str">
        <x:v>Verified FRA annual tuition + development fee</x:v>
      </x:c>
      <x:c r="I348" s="49" t="str">
        <x:v>Normal annual approved fee; not category/seat-type payable amount</x:v>
      </x:c>
      <x:c r="J348" s="49" t="str">
        <x:v>https://fe2025.mahacet.org/StaticPages/frmInstituteSummary.aspx?InstituteCode=06822</x:v>
      </x:c>
    </x:row>
    <x:row r="349">
      <x:c r="A349" s="63" t="n">
        <x:v>6834</x:v>
      </x:c>
      <x:c r="B349" s="49" t="str">
        <x:v>Dr.D.Y.Patil College Of Engineering &amp; Innovation,Talegaon</x:v>
      </x:c>
      <x:c r="C349" s="49" t="str">
        <x:v>Pune</x:v>
      </x:c>
      <x:c r="D349" s="49" t="str">
        <x:v>2024-25</x:v>
      </x:c>
      <x:c r="E349" s="64" t="n">
        <x:v>85663</x:v>
      </x:c>
      <x:c r="F349" s="64" t="n">
        <x:v>9337</x:v>
      </x:c>
      <x:c r="G349" s="64" t="n">
        <x:v>95000</x:v>
      </x:c>
      <x:c r="H349" s="49" t="str">
        <x:v>Verified FRA annual tuition + development fee</x:v>
      </x:c>
      <x:c r="I349" s="49" t="str">
        <x:v>Normal annual approved fee; not category/seat-type payable amount</x:v>
      </x:c>
      <x:c r="J349" s="49" t="str">
        <x:v>https://fe2025.mahacet.org/StaticPages/frmInstituteSummary.aspx?InstituteCode=06834</x:v>
      </x:c>
    </x:row>
    <x:row r="350">
      <x:c r="A350" s="63" t="n">
        <x:v>6839</x:v>
      </x:c>
      <x:c r="B350" s="49" t="str">
        <x:v>Dr. D Y Patil Pratishthan's College of Engineering, Kolhapur</x:v>
      </x:c>
      <x:c r="C350" s="49" t="str">
        <x:v>Kolhapur</x:v>
      </x:c>
      <x:c r="D350" s="49" t="str">
        <x:v>2024-25</x:v>
      </x:c>
      <x:c r="E350" s="64" t="n">
        <x:v>69745</x:v>
      </x:c>
      <x:c r="F350" s="64" t="n">
        <x:v>7255</x:v>
      </x:c>
      <x:c r="G350" s="64" t="n">
        <x:v>77000</x:v>
      </x:c>
      <x:c r="H350" s="49" t="str">
        <x:v>Verified FRA annual tuition + development fee</x:v>
      </x:c>
      <x:c r="I350" s="49" t="str">
        <x:v>Normal annual approved fee; not category/seat-type payable amount</x:v>
      </x:c>
      <x:c r="J350" s="49" t="str">
        <x:v>https://fe2025.mahacet.org/StaticPages/frmInstituteSummary.aspx?InstituteCode=06839</x:v>
      </x:c>
    </x:row>
    <x:row r="351">
      <x:c r="A351" s="63" t="n">
        <x:v>6878</x:v>
      </x:c>
      <x:c r="B351" s="49" t="str">
        <x:v>Dr. A. D. Shinde College Of Engineering, Tal.Gadhinglaj, Kolhapur</x:v>
      </x:c>
      <x:c r="C351" s="49" t="str">
        <x:v>Kolhapur</x:v>
      </x:c>
      <x:c r="D351" s="49" t="str">
        <x:v>2024-25</x:v>
      </x:c>
      <x:c r="E351" s="64" t="n">
        <x:v>58266</x:v>
      </x:c>
      <x:c r="F351" s="64" t="n">
        <x:v>6234</x:v>
      </x:c>
      <x:c r="G351" s="64" t="n">
        <x:v>64500</x:v>
      </x:c>
      <x:c r="H351" s="49" t="str">
        <x:v>Verified FRA annual tuition + development fee</x:v>
      </x:c>
      <x:c r="I351" s="49" t="str">
        <x:v>Normal annual approved fee; not category/seat-type payable amount</x:v>
      </x:c>
      <x:c r="J351" s="49" t="str">
        <x:v>https://fe2025.mahacet.org/StaticPages/frmInstituteSummary.aspx?InstituteCode=06878</x:v>
      </x:c>
    </x:row>
    <x:row r="352">
      <x:c r="A352" s="63" t="n">
        <x:v>6901</x:v>
      </x:c>
      <x:c r="B352" s="49" t="str">
        <x:v>MAEER's MIT College of Railway Engineering and Research, Jamgaon, Barshi</x:v>
      </x:c>
      <x:c r="C352" s="49" t="str">
        <x:v>Solapur</x:v>
      </x:c>
      <x:c r="D352" s="49" t="str">
        <x:v>2024-25</x:v>
      </x:c>
      <x:c r="E352" s="64" t="n">
        <x:v>72267</x:v>
      </x:c>
      <x:c r="F352" s="64" t="n">
        <x:v>7733</x:v>
      </x:c>
      <x:c r="G352" s="64" t="n">
        <x:v>80000</x:v>
      </x:c>
      <x:c r="H352" s="49" t="str">
        <x:v>Verified FRA annual tuition + development fee</x:v>
      </x:c>
      <x:c r="I352" s="49" t="str">
        <x:v>Normal annual approved fee; not category/seat-type payable amount</x:v>
      </x:c>
      <x:c r="J352" s="49" t="str">
        <x:v>https://fe2025.mahacet.org/StaticPages/frmInstituteSummary.aspx?InstituteCode=06901</x:v>
      </x:c>
    </x:row>
    <x:row r="353">
      <x:c r="A353" s="63" t="n">
        <x:v>6938</x:v>
      </x:c>
      <x:c r="B353" s="49" t="str">
        <x:v>Shree Siddheshwar Womens College Of Engineering Solapur.</x:v>
      </x:c>
      <x:c r="C353" s="49" t="str">
        <x:v>Solapur</x:v>
      </x:c>
      <x:c r="D353" s="49" t="str">
        <x:v>2024-25</x:v>
      </x:c>
      <x:c r="E353" s="64" t="n">
        <x:v>72137</x:v>
      </x:c>
      <x:c r="F353" s="64" t="n">
        <x:v>7863</x:v>
      </x:c>
      <x:c r="G353" s="64" t="n">
        <x:v>80000</x:v>
      </x:c>
      <x:c r="H353" s="49" t="str">
        <x:v>Verified FRA annual tuition + development fee</x:v>
      </x:c>
      <x:c r="I353" s="49" t="str">
        <x:v>Normal annual approved fee; not category/seat-type payable amount</x:v>
      </x:c>
      <x:c r="J353" s="49" t="str">
        <x:v>https://fe2025.mahacet.org/StaticPages/frmInstituteSummary.aspx?InstituteCode=06938</x:v>
      </x:c>
    </x:row>
    <x:row r="354">
      <x:c r="A354" s="63" t="n">
        <x:v>6991</x:v>
      </x:c>
      <x:c r="B354" s="49" t="str">
        <x:v>Dr. D.Y. Patil Technical Campus, Varale, Talegaon, Pune</x:v>
      </x:c>
      <x:c r="C354" s="49"/>
      <x:c r="D354" s="49"/>
      <x:c r="E354" s="64"/>
      <x:c r="F354" s="64"/>
      <x:c r="G354" s="64"/>
      <x:c r="H354" s="49" t="str">
        <x:v>No verified FRA match in extracted history</x:v>
      </x:c>
      <x:c r="I354" s="49" t="str">
        <x:v>Normal annual approved fee; not category/seat-type payable amount</x:v>
      </x:c>
      <x:c r="J354" s="49" t="str">
        <x:v>https://fe2025.mahacet.org/StaticPages/frmInstituteSummary.aspx?InstituteCode=06991</x:v>
      </x:c>
    </x:row>
  </x:sheetData>
  <x:pageMargins left="0.7" right="0.7" top="0.75" bottom="0.75" header="0.3" footer="0.3"/>
  <x:tableParts count="1">
    <x:tablePart xmlns:r="http://schemas.openxmlformats.org/officeDocument/2006/relationships" r:id="R1ad55fe0b93f48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22" hidden="0" customWidth="1"/>
    <x:col min="4" max="4" width="34" hidden="0" customWidth="1"/>
    <x:col min="5" max="5" width="23" hidden="0" customWidth="1"/>
    <x:col min="6" max="6" width="50" hidden="0" customWidth="1"/>
  </x:cols>
  <x:sheetData>
    <x:row r="1" ht="32" customHeight="1">
      <x:c r="A1" s="61" t="str">
        <x:v>Institute Code</x:v>
      </x:c>
      <x:c r="B1" s="61" t="str">
        <x:v>Institute Name</x:v>
      </x:c>
      <x:c r="C1" s="61" t="str">
        <x:v>District / City</x:v>
      </x:c>
      <x:c r="D1" s="61" t="str">
        <x:v>Official Website</x:v>
      </x:c>
      <x:c r="E1" s="61" t="str">
        <x:v>Verification Status</x:v>
      </x:c>
      <x:c r="F1" s="61" t="str">
        <x:v>Website Completeness Status</x:v>
      </x:c>
    </x:row>
    <x:row r="2">
      <x:c r="A2" s="63" t="n">
        <x:v>1002</x:v>
      </x:c>
      <x:c r="B2" s="49" t="str">
        <x:v>Government College of Engineering, Amravati</x:v>
      </x:c>
      <x:c r="C2" s="49" t="str">
        <x:v>Amravati</x:v>
      </x:c>
      <x:c r="D2" s="49" t="str">
        <x:v>https://gcoea.ac.in/</x:v>
      </x:c>
      <x:c r="E2" s="49" t="str">
        <x:v>Verified official domain</x:v>
      </x:c>
      <x:c r="F2" s="49" t="str">
        <x:v>Official domain verified; page-by-page completeness not scored</x:v>
      </x:c>
    </x:row>
    <x:row r="3">
      <x:c r="A3" s="63" t="n">
        <x:v>1005</x:v>
      </x:c>
      <x:c r="B3" s="49" t="str">
        <x:v>Sant Gadge Baba Amravati University,Amravati</x:v>
      </x:c>
      <x:c r="C3" s="49" t="str">
        <x:v>Amravati</x:v>
      </x:c>
      <x:c r="D3" s="49"/>
      <x:c r="E3" s="49" t="str">
        <x:v>Not centrally verified</x:v>
      </x:c>
      <x:c r="F3" s="49" t="str">
        <x:v>Not scored because official domain was not centrally verified</x:v>
      </x:c>
    </x:row>
    <x:row r="4">
      <x:c r="A4" s="63" t="n">
        <x:v>1012</x:v>
      </x:c>
      <x:c r="B4" s="49" t="str">
        <x:v>Government College of Engineering,Yavatmal</x:v>
      </x:c>
      <x:c r="C4" s="49" t="str">
        <x:v>Yavatmal</x:v>
      </x:c>
      <x:c r="D4" s="49"/>
      <x:c r="E4" s="49" t="str">
        <x:v>Not centrally verified</x:v>
      </x:c>
      <x:c r="F4" s="49" t="str">
        <x:v>Not scored because official domain was not centrally verified</x:v>
      </x:c>
    </x:row>
    <x:row r="5">
      <x:c r="A5" s="63" t="n">
        <x:v>1101</x:v>
      </x:c>
      <x:c r="B5" s="49" t="str">
        <x:v>Shri Sant Gajanan Maharaj College of Engineering,Shegaon</x:v>
      </x:c>
      <x:c r="C5" s="49" t="str">
        <x:v>Buldhana</x:v>
      </x:c>
      <x:c r="D5" s="49"/>
      <x:c r="E5" s="49" t="str">
        <x:v>Not centrally verified</x:v>
      </x:c>
      <x:c r="F5" s="49" t="str">
        <x:v>Not scored because official domain was not centrally verified</x:v>
      </x:c>
    </x:row>
    <x:row r="6">
      <x:c r="A6" s="63" t="n">
        <x:v>1105</x:v>
      </x:c>
      <x:c r="B6" s="49" t="str">
        <x:v>Prof. Ram Meghe Institute of Technology &amp; Research, Amravati</x:v>
      </x:c>
      <x:c r="C6" s="49" t="str">
        <x:v>Amravati</x:v>
      </x:c>
      <x:c r="D6" s="49"/>
      <x:c r="E6" s="49" t="str">
        <x:v>Not centrally verified</x:v>
      </x:c>
      <x:c r="F6" s="49" t="str">
        <x:v>Not scored because official domain was not centrally verified</x:v>
      </x:c>
    </x:row>
    <x:row r="7">
      <x:c r="A7" s="63" t="n">
        <x:v>1107</x:v>
      </x:c>
      <x:c r="B7" s="49" t="str">
        <x:v>P. R. Pote Patil College of Engineering &amp; Management, Amravati</x:v>
      </x:c>
      <x:c r="C7" s="49" t="str">
        <x:v>Amravati</x:v>
      </x:c>
      <x:c r="D7" s="49"/>
      <x:c r="E7" s="49" t="str">
        <x:v>Not centrally verified</x:v>
      </x:c>
      <x:c r="F7" s="49" t="str">
        <x:v>Not scored because official domain was not centrally verified</x:v>
      </x:c>
    </x:row>
    <x:row r="8">
      <x:c r="A8" s="63" t="n">
        <x:v>1114</x:v>
      </x:c>
      <x:c r="B8" s="49" t="str">
        <x:v>Sipna Shikshan Prasarak Mandal College of Engineering &amp; Technology, Amravati</x:v>
      </x:c>
      <x:c r="C8" s="49" t="str">
        <x:v>Amravati</x:v>
      </x:c>
      <x:c r="D8" s="49"/>
      <x:c r="E8" s="49" t="str">
        <x:v>Not centrally verified</x:v>
      </x:c>
      <x:c r="F8" s="49" t="str">
        <x:v>Not scored because official domain was not centrally verified</x:v>
      </x:c>
    </x:row>
    <x:row r="9">
      <x:c r="A9" s="63" t="n">
        <x:v>1116</x:v>
      </x:c>
      <x:c r="B9" s="49" t="str">
        <x:v>Shri Shivaji Education Society's College of Engineering and Technology, Akola</x:v>
      </x:c>
      <x:c r="C9" s="49" t="str">
        <x:v>Akola</x:v>
      </x:c>
      <x:c r="D9" s="49"/>
      <x:c r="E9" s="49" t="str">
        <x:v>Not centrally verified</x:v>
      </x:c>
      <x:c r="F9" s="49" t="str">
        <x:v>Not scored because official domain was not centrally verified</x:v>
      </x:c>
    </x:row>
    <x:row r="10">
      <x:c r="A10" s="63" t="n">
        <x:v>1117</x:v>
      </x:c>
      <x:c r="B10" s="49" t="str">
        <x:v>Janata Shikshan Prasarak Mandals Babasaheb Naik College Of Engineering, Pusad</x:v>
      </x:c>
      <x:c r="C10" s="49" t="str">
        <x:v>Yavatmal</x:v>
      </x:c>
      <x:c r="D10" s="49"/>
      <x:c r="E10" s="49" t="str">
        <x:v>Not centrally verified</x:v>
      </x:c>
      <x:c r="F10" s="49" t="str">
        <x:v>Not scored because official domain was not centrally verified</x:v>
      </x:c>
    </x:row>
    <x:row r="11">
      <x:c r="A11" s="63" t="n">
        <x:v>1119</x:v>
      </x:c>
      <x:c r="B11" s="49" t="str">
        <x:v>ANURADHA COLLEGE OF ENGINEERING &amp; TECHNOLOGY</x:v>
      </x:c>
      <x:c r="C11" s="49" t="str">
        <x:v>Buldhana</x:v>
      </x:c>
      <x:c r="D11" s="49"/>
      <x:c r="E11" s="49" t="str">
        <x:v>Not centrally verified</x:v>
      </x:c>
      <x:c r="F11" s="49" t="str">
        <x:v>Not scored because official domain was not centrally verified</x:v>
      </x:c>
    </x:row>
    <x:row r="12">
      <x:c r="A12" s="63" t="n">
        <x:v>1120</x:v>
      </x:c>
      <x:c r="B12" s="49" t="str">
        <x:v>Jawaharlal Darda Institute of Engineering and Technology, Yavatmal</x:v>
      </x:c>
      <x:c r="C12" s="49" t="str">
        <x:v>Yavatmal</x:v>
      </x:c>
      <x:c r="D12" s="49"/>
      <x:c r="E12" s="49" t="str">
        <x:v>Not centrally verified</x:v>
      </x:c>
      <x:c r="F12" s="49" t="str">
        <x:v>Not scored because official domain was not centrally verified</x:v>
      </x:c>
    </x:row>
    <x:row r="13">
      <x:c r="A13" s="63" t="n">
        <x:v>1121</x:v>
      </x:c>
      <x:c r="B13" s="49" t="str">
        <x:v>Shri Hanuman Vyayam Prasarak Mandals College of Engineering &amp; Technology, Amravati</x:v>
      </x:c>
      <x:c r="C13" s="49" t="str">
        <x:v>Amravati</x:v>
      </x:c>
      <x:c r="D13" s="49"/>
      <x:c r="E13" s="49" t="str">
        <x:v>Not centrally verified</x:v>
      </x:c>
      <x:c r="F13" s="49" t="str">
        <x:v>Not scored because official domain was not centrally verified</x:v>
      </x:c>
    </x:row>
    <x:row r="14">
      <x:c r="A14" s="63" t="n">
        <x:v>1123</x:v>
      </x:c>
      <x:c r="B14" s="49" t="str">
        <x:v>Dr.Rajendra Gode Institute of Technology &amp; Research, Amravati</x:v>
      </x:c>
      <x:c r="C14" s="49" t="str">
        <x:v>Amravati</x:v>
      </x:c>
      <x:c r="D14" s="49"/>
      <x:c r="E14" s="49" t="str">
        <x:v>Not centrally verified</x:v>
      </x:c>
      <x:c r="F14" s="49" t="str">
        <x:v>Not scored because official domain was not centrally verified</x:v>
      </x:c>
    </x:row>
    <x:row r="15">
      <x:c r="A15" s="63" t="n">
        <x:v>1125</x:v>
      </x:c>
      <x:c r="B15" s="49" t="str">
        <x:v>Dwarka Bahu Uddeshiya Gramin Vikas Foundation, Rajarshi Shahu College of Engineering, Buldhana</x:v>
      </x:c>
      <x:c r="C15" s="49" t="str">
        <x:v>Buldhana</x:v>
      </x:c>
      <x:c r="D15" s="49"/>
      <x:c r="E15" s="49" t="str">
        <x:v>Not centrally verified</x:v>
      </x:c>
      <x:c r="F15" s="49" t="str">
        <x:v>Not scored because official domain was not centrally verified</x:v>
      </x:c>
    </x:row>
    <x:row r="16">
      <x:c r="A16" s="63" t="n">
        <x:v>1126</x:v>
      </x:c>
      <x:c r="B16" s="49" t="str">
        <x:v>Takshashila Institute of Engineering &amp; Technology, Darapur, Amravati</x:v>
      </x:c>
      <x:c r="C16" s="49" t="str">
        <x:v>Amravati</x:v>
      </x:c>
      <x:c r="D16" s="49"/>
      <x:c r="E16" s="49" t="str">
        <x:v>Not centrally verified</x:v>
      </x:c>
      <x:c r="F16" s="49" t="str">
        <x:v>Not scored because official domain was not centrally verified</x:v>
      </x:c>
    </x:row>
    <x:row r="17">
      <x:c r="A17" s="63" t="n">
        <x:v>1127</x:v>
      </x:c>
      <x:c r="B17" s="49" t="str">
        <x:v>Jagadambha Bahuuddeshiya Gramin Vikas Sanstha's Jagdambha College of Engineering and Technology, Yavatmal</x:v>
      </x:c>
      <x:c r="C17" s="49" t="str">
        <x:v>Yavatmal</x:v>
      </x:c>
      <x:c r="D17" s="49"/>
      <x:c r="E17" s="49" t="str">
        <x:v>Not centrally verified</x:v>
      </x:c>
      <x:c r="F17" s="49" t="str">
        <x:v>Not scored because official domain was not centrally verified</x:v>
      </x:c>
    </x:row>
    <x:row r="18">
      <x:c r="A18" s="63" t="n">
        <x:v>1128</x:v>
      </x:c>
      <x:c r="B18" s="49" t="str">
        <x:v>Prof Ram Meghe College of Engineering and Management, Badnera</x:v>
      </x:c>
      <x:c r="C18" s="49" t="str">
        <x:v>Amravati</x:v>
      </x:c>
      <x:c r="D18" s="49"/>
      <x:c r="E18" s="49" t="str">
        <x:v>Not centrally verified</x:v>
      </x:c>
      <x:c r="F18" s="49" t="str">
        <x:v>Not scored because official domain was not centrally verified</x:v>
      </x:c>
    </x:row>
    <x:row r="19">
      <x:c r="A19" s="63" t="n">
        <x:v>1130</x:v>
      </x:c>
      <x:c r="B19" s="49" t="str">
        <x:v>Vision Buldhana Educational &amp; Welfare Society's Pankaj Laddhad Institute of Technology &amp; Management Studies, Yelgaon</x:v>
      </x:c>
      <x:c r="C19" s="49" t="str">
        <x:v>Buldhana</x:v>
      </x:c>
      <x:c r="D19" s="49"/>
      <x:c r="E19" s="49" t="str">
        <x:v>Not centrally verified</x:v>
      </x:c>
      <x:c r="F19" s="49" t="str">
        <x:v>Not scored because official domain was not centrally verified</x:v>
      </x:c>
    </x:row>
    <x:row r="20">
      <x:c r="A20" s="63" t="n">
        <x:v>1180</x:v>
      </x:c>
      <x:c r="B20" s="49" t="str">
        <x:v>Sanmati Engineering College, Sawargaon Barde, Washim</x:v>
      </x:c>
      <x:c r="C20" s="49" t="str">
        <x:v>Washim</x:v>
      </x:c>
      <x:c r="D20" s="49"/>
      <x:c r="E20" s="49" t="str">
        <x:v>Not centrally verified</x:v>
      </x:c>
      <x:c r="F20" s="49" t="str">
        <x:v>Not scored because official domain was not centrally verified</x:v>
      </x:c>
    </x:row>
    <x:row r="21">
      <x:c r="A21" s="63" t="n">
        <x:v>1182</x:v>
      </x:c>
      <x:c r="B21" s="49" t="str">
        <x:v>Padmashri Dr. V.B. Kolte College of Engineering, Malkapur, Buldhana</x:v>
      </x:c>
      <x:c r="C21" s="49" t="str">
        <x:v>Buldhana</x:v>
      </x:c>
      <x:c r="D21" s="49"/>
      <x:c r="E21" s="49" t="str">
        <x:v>Not centrally verified</x:v>
      </x:c>
      <x:c r="F21" s="49" t="str">
        <x:v>Not scored because official domain was not centrally verified</x:v>
      </x:c>
    </x:row>
    <x:row r="22">
      <x:c r="A22" s="63" t="n">
        <x:v>1265</x:v>
      </x:c>
      <x:c r="B22" s="49" t="str">
        <x:v>Mauli Group of Institutions, College of Engineering and Technology, Shegaon.</x:v>
      </x:c>
      <x:c r="C22" s="49" t="str">
        <x:v>Buldhana</x:v>
      </x:c>
      <x:c r="D22" s="49"/>
      <x:c r="E22" s="49" t="str">
        <x:v>Not centrally verified</x:v>
      </x:c>
      <x:c r="F22" s="49" t="str">
        <x:v>Not scored because official domain was not centrally verified</x:v>
      </x:c>
    </x:row>
    <x:row r="23">
      <x:c r="A23" s="63" t="n">
        <x:v>1268</x:v>
      </x:c>
      <x:c r="B23" s="49" t="str">
        <x:v>Siddhivinayak Technical Campus, School of Engineering &amp; Research Technology, Shirasgon, Nile</x:v>
      </x:c>
      <x:c r="C23" s="49" t="str">
        <x:v>Buldhana</x:v>
      </x:c>
      <x:c r="D23" s="49"/>
      <x:c r="E23" s="49" t="str">
        <x:v>Not centrally verified</x:v>
      </x:c>
      <x:c r="F23" s="49" t="str">
        <x:v>Not scored because official domain was not centrally verified</x:v>
      </x:c>
    </x:row>
    <x:row r="24">
      <x:c r="A24" s="63" t="n">
        <x:v>1276</x:v>
      </x:c>
      <x:c r="B24" s="49" t="str">
        <x:v>Manav School of Engineering &amp; Technology, Gut No. 1035 Nagpur Surat Highway, NH No. 6 Tal.Vyala, Balapur, Akola, 444302</x:v>
      </x:c>
      <x:c r="C24" s="49" t="str">
        <x:v>Akola</x:v>
      </x:c>
      <x:c r="D24" s="49"/>
      <x:c r="E24" s="49" t="str">
        <x:v>Not centrally verified</x:v>
      </x:c>
      <x:c r="F24" s="49" t="str">
        <x:v>Not scored because official domain was not centrally verified</x:v>
      </x:c>
    </x:row>
    <x:row r="25">
      <x:c r="A25" s="63" t="n">
        <x:v>2008</x:v>
      </x:c>
      <x:c r="B25" s="49" t="str">
        <x:v>Government College of Engineering, Chhatrapati Sambhajinagar</x:v>
      </x:c>
      <x:c r="C25" s="49" t="str">
        <x:v>Chhatrapati Sambhajinagar</x:v>
      </x:c>
      <x:c r="D25" s="49" t="str">
        <x:v>https://geca.ac.in/</x:v>
      </x:c>
      <x:c r="E25" s="49" t="str">
        <x:v>Verified official domain</x:v>
      </x:c>
      <x:c r="F25" s="49" t="str">
        <x:v>Official domain verified; page-by-page completeness not scored</x:v>
      </x:c>
    </x:row>
    <x:row r="26">
      <x:c r="A26" s="63" t="n">
        <x:v>2020</x:v>
      </x:c>
      <x:c r="B26" s="49" t="str">
        <x:v>Shri Guru Gobind Singhji Institute of Engineering and Technology, Nanded</x:v>
      </x:c>
      <x:c r="C26" s="49" t="str">
        <x:v>Nanded</x:v>
      </x:c>
      <x:c r="D26" s="49" t="str">
        <x:v>https://www.sggs.ac.in/</x:v>
      </x:c>
      <x:c r="E26" s="49" t="str">
        <x:v>Verified official domain</x:v>
      </x:c>
      <x:c r="F26" s="49" t="str">
        <x:v>Official domain verified; page-by-page completeness not scored</x:v>
      </x:c>
    </x:row>
    <x:row r="27">
      <x:c r="A27" s="63" t="n">
        <x:v>2021</x:v>
      </x:c>
      <x:c r="B27" s="49" t="str">
        <x:v>University Department of Chemical Technology, Aurangabad</x:v>
      </x:c>
      <x:c r="C27" s="49" t="str">
        <x:v>Chhatrapati Sambhajinagar</x:v>
      </x:c>
      <x:c r="D27" s="49"/>
      <x:c r="E27" s="49" t="str">
        <x:v>Not centrally verified</x:v>
      </x:c>
      <x:c r="F27" s="49" t="str">
        <x:v>Not scored because official domain was not centrally verified</x:v>
      </x:c>
    </x:row>
    <x:row r="28">
      <x:c r="A28" s="63" t="n">
        <x:v>2111</x:v>
      </x:c>
      <x:c r="B28" s="49" t="str">
        <x:v>Everest Education Society, Group of Institutions (Integrated Campus), Ohar</x:v>
      </x:c>
      <x:c r="C28" s="49" t="str">
        <x:v>Chhatrapati Sambhajinagar</x:v>
      </x:c>
      <x:c r="D28" s="49"/>
      <x:c r="E28" s="49" t="str">
        <x:v>Not centrally verified</x:v>
      </x:c>
      <x:c r="F28" s="49" t="str">
        <x:v>Not scored because official domain was not centrally verified</x:v>
      </x:c>
    </x:row>
    <x:row r="29">
      <x:c r="A29" s="63" t="n">
        <x:v>2112</x:v>
      </x:c>
      <x:c r="B29" s="49" t="str">
        <x:v>Shree Yash Pratishthan, Shreeyash College of Engineering and Technology, Aurangabad</x:v>
      </x:c>
      <x:c r="C29" s="49" t="str">
        <x:v>Chhatrapati Sambhajinagar</x:v>
      </x:c>
      <x:c r="D29" s="49"/>
      <x:c r="E29" s="49" t="str">
        <x:v>Not centrally verified</x:v>
      </x:c>
      <x:c r="F29" s="49" t="str">
        <x:v>Not scored because official domain was not centrally verified</x:v>
      </x:c>
    </x:row>
    <x:row r="30">
      <x:c r="A30" s="63" t="n">
        <x:v>2113</x:v>
      </x:c>
      <x:c r="B30" s="49" t="str">
        <x:v>G. S. Mandal's Maharashtra Institute of Technology, Aurangabad</x:v>
      </x:c>
      <x:c r="C30" s="49" t="str">
        <x:v>Chhatrapati Sambhajinagar</x:v>
      </x:c>
      <x:c r="D30" s="49"/>
      <x:c r="E30" s="49" t="str">
        <x:v>Not centrally verified</x:v>
      </x:c>
      <x:c r="F30" s="49" t="str">
        <x:v>Not scored because official domain was not centrally verified</x:v>
      </x:c>
    </x:row>
    <x:row r="31">
      <x:c r="A31" s="63" t="n">
        <x:v>2114</x:v>
      </x:c>
      <x:c r="B31" s="49" t="str">
        <x:v>Deogiri Institute of Engineering and Management Studies, Aurangabad</x:v>
      </x:c>
      <x:c r="C31" s="49" t="str">
        <x:v>Chhatrapati Sambhajinagar</x:v>
      </x:c>
      <x:c r="D31" s="49"/>
      <x:c r="E31" s="49" t="str">
        <x:v>Not centrally verified</x:v>
      </x:c>
      <x:c r="F31" s="49" t="str">
        <x:v>Not scored because official domain was not centrally verified</x:v>
      </x:c>
    </x:row>
    <x:row r="32">
      <x:c r="A32" s="63" t="n">
        <x:v>2116</x:v>
      </x:c>
      <x:c r="B32" s="49" t="str">
        <x:v>Matoshri Pratishan's Group of Institutions (Integrated Campus), Kupsarwadi , Nanded</x:v>
      </x:c>
      <x:c r="C32" s="49" t="str">
        <x:v>Nanded</x:v>
      </x:c>
      <x:c r="D32" s="49"/>
      <x:c r="E32" s="49" t="str">
        <x:v>Not centrally verified</x:v>
      </x:c>
      <x:c r="F32" s="49" t="str">
        <x:v>Not scored because official domain was not centrally verified</x:v>
      </x:c>
    </x:row>
    <x:row r="33">
      <x:c r="A33" s="63" t="n">
        <x:v>2127</x:v>
      </x:c>
      <x:c r="B33" s="49" t="str">
        <x:v>Mahatma Gandhi Missions College of Engineering, Hingoli Rd, Nanded.</x:v>
      </x:c>
      <x:c r="C33" s="49" t="str">
        <x:v>Nanded</x:v>
      </x:c>
      <x:c r="D33" s="49"/>
      <x:c r="E33" s="49" t="str">
        <x:v>Not centrally verified</x:v>
      </x:c>
      <x:c r="F33" s="49" t="str">
        <x:v>Not scored because official domain was not centrally verified</x:v>
      </x:c>
    </x:row>
    <x:row r="34">
      <x:c r="A34" s="63" t="n">
        <x:v>2129</x:v>
      </x:c>
      <x:c r="B34" s="49" t="str">
        <x:v>M.S. Bidve Engineering College, Latur</x:v>
      </x:c>
      <x:c r="C34" s="49" t="str">
        <x:v>Latur</x:v>
      </x:c>
      <x:c r="D34" s="49"/>
      <x:c r="E34" s="49" t="str">
        <x:v>Not centrally verified</x:v>
      </x:c>
      <x:c r="F34" s="49" t="str">
        <x:v>Not scored because official domain was not centrally verified</x:v>
      </x:c>
    </x:row>
    <x:row r="35">
      <x:c r="A35" s="63" t="n">
        <x:v>2130</x:v>
      </x:c>
      <x:c r="B35" s="49" t="str">
        <x:v>Terna Public Charitable Trust's College of Engineering, Osmanabad</x:v>
      </x:c>
      <x:c r="C35" s="49" t="str">
        <x:v>Dharashiv</x:v>
      </x:c>
      <x:c r="D35" s="49"/>
      <x:c r="E35" s="49" t="str">
        <x:v>Not centrally verified</x:v>
      </x:c>
      <x:c r="F35" s="49" t="str">
        <x:v>Not scored because official domain was not centrally verified</x:v>
      </x:c>
    </x:row>
    <x:row r="36">
      <x:c r="A36" s="63" t="n">
        <x:v>2131</x:v>
      </x:c>
      <x:c r="B36" s="49" t="str">
        <x:v>Shree Tuljabhavani College of Engineering, Tuljapur</x:v>
      </x:c>
      <x:c r="C36" s="49" t="str">
        <x:v>Dharashiv</x:v>
      </x:c>
      <x:c r="D36" s="49"/>
      <x:c r="E36" s="49" t="str">
        <x:v>Not centrally verified</x:v>
      </x:c>
      <x:c r="F36" s="49" t="str">
        <x:v>Not scored because official domain was not centrally verified</x:v>
      </x:c>
    </x:row>
    <x:row r="37">
      <x:c r="A37" s="63" t="n">
        <x:v>2133</x:v>
      </x:c>
      <x:c r="B37" s="49" t="str">
        <x:v>Mahatma Basaweshwar Education Society's College of Engineering, Ambejogai</x:v>
      </x:c>
      <x:c r="C37" s="49" t="str">
        <x:v>Beed</x:v>
      </x:c>
      <x:c r="D37" s="49"/>
      <x:c r="E37" s="49" t="str">
        <x:v>Not centrally verified</x:v>
      </x:c>
      <x:c r="F37" s="49" t="str">
        <x:v>Not scored because official domain was not centrally verified</x:v>
      </x:c>
    </x:row>
    <x:row r="38">
      <x:c r="A38" s="63" t="n">
        <x:v>2134</x:v>
      </x:c>
      <x:c r="B38" s="49" t="str">
        <x:v>Peoples Education Society's College of Engineering, Aurangabad</x:v>
      </x:c>
      <x:c r="C38" s="49" t="str">
        <x:v>Chhatrapati Sambhajinagar</x:v>
      </x:c>
      <x:c r="D38" s="49"/>
      <x:c r="E38" s="49" t="str">
        <x:v>Not centrally verified</x:v>
      </x:c>
      <x:c r="F38" s="49" t="str">
        <x:v>Not scored because official domain was not centrally verified</x:v>
      </x:c>
    </x:row>
    <x:row r="39">
      <x:c r="A39" s="63" t="n">
        <x:v>2135</x:v>
      </x:c>
      <x:c r="B39" s="49" t="str">
        <x:v>Hi-Tech Institute of Technology, Aurangabad</x:v>
      </x:c>
      <x:c r="C39" s="49" t="str">
        <x:v>Chhatrapati Sambhajinagar</x:v>
      </x:c>
      <x:c r="D39" s="49"/>
      <x:c r="E39" s="49" t="str">
        <x:v>Not centrally verified</x:v>
      </x:c>
      <x:c r="F39" s="49" t="str">
        <x:v>Not scored because official domain was not centrally verified</x:v>
      </x:c>
    </x:row>
    <x:row r="40">
      <x:c r="A40" s="63" t="n">
        <x:v>2136</x:v>
      </x:c>
      <x:c r="B40" s="49" t="str">
        <x:v>Aditya Engineering College , Beed</x:v>
      </x:c>
      <x:c r="C40" s="49" t="str">
        <x:v>Beed</x:v>
      </x:c>
      <x:c r="D40" s="49"/>
      <x:c r="E40" s="49" t="str">
        <x:v>Not centrally verified</x:v>
      </x:c>
      <x:c r="F40" s="49" t="str">
        <x:v>Not scored because official domain was not centrally verified</x:v>
      </x:c>
    </x:row>
    <x:row r="41">
      <x:c r="A41" s="63" t="n">
        <x:v>2137</x:v>
      </x:c>
      <x:c r="B41" s="49" t="str">
        <x:v>Nagnathappa Halge Engineering College, Parli, Beed</x:v>
      </x:c>
      <x:c r="C41" s="49" t="str">
        <x:v>Beed</x:v>
      </x:c>
      <x:c r="D41" s="49"/>
      <x:c r="E41" s="49" t="str">
        <x:v>Not centrally verified</x:v>
      </x:c>
      <x:c r="F41" s="49" t="str">
        <x:v>Not scored because official domain was not centrally verified</x:v>
      </x:c>
    </x:row>
    <x:row r="42">
      <x:c r="A42" s="63" t="n">
        <x:v>2138</x:v>
      </x:c>
      <x:c r="B42" s="49" t="str">
        <x:v>Matsyodari Shikshan Sansatha's College of Engineering and Technology, Jalna</x:v>
      </x:c>
      <x:c r="C42" s="49" t="str">
        <x:v>Jalna</x:v>
      </x:c>
      <x:c r="D42" s="49"/>
      <x:c r="E42" s="49" t="str">
        <x:v>Not centrally verified</x:v>
      </x:c>
      <x:c r="F42" s="49" t="str">
        <x:v>Not scored because official domain was not centrally verified</x:v>
      </x:c>
    </x:row>
    <x:row r="43">
      <x:c r="A43" s="63" t="n">
        <x:v>2146</x:v>
      </x:c>
      <x:c r="B43" s="49" t="str">
        <x:v>Adarsh Shikshan Prasarak Mandal's K. T. Patil College of Engineering and Technology, Osmanabad</x:v>
      </x:c>
      <x:c r="C43" s="49" t="str">
        <x:v>Dharashiv</x:v>
      </x:c>
      <x:c r="D43" s="49"/>
      <x:c r="E43" s="49" t="str">
        <x:v>Not centrally verified</x:v>
      </x:c>
      <x:c r="F43" s="49" t="str">
        <x:v>Not scored because official domain was not centrally verified</x:v>
      </x:c>
    </x:row>
    <x:row r="44">
      <x:c r="A44" s="63" t="n">
        <x:v>2250</x:v>
      </x:c>
      <x:c r="B44" s="49" t="str">
        <x:v>Aurangabad College of Engineering, Naygaon Savangi, Aurangabad</x:v>
      </x:c>
      <x:c r="C44" s="49" t="str">
        <x:v>Chhatrapati Sambhajinagar</x:v>
      </x:c>
      <x:c r="D44" s="49"/>
      <x:c r="E44" s="49" t="str">
        <x:v>Not centrally verified</x:v>
      </x:c>
      <x:c r="F44" s="49" t="str">
        <x:v>Not scored because official domain was not centrally verified</x:v>
      </x:c>
    </x:row>
    <x:row r="45">
      <x:c r="A45" s="63" t="n">
        <x:v>2252</x:v>
      </x:c>
      <x:c r="B45" s="49" t="str">
        <x:v>Marathwada Shikshan Prasarak Mandal's Shri Shivaji Institute of Engineering and Management Studies, Parbhani</x:v>
      </x:c>
      <x:c r="C45" s="49" t="str">
        <x:v>Parbhani</x:v>
      </x:c>
      <x:c r="D45" s="49"/>
      <x:c r="E45" s="49" t="str">
        <x:v>Not centrally verified</x:v>
      </x:c>
      <x:c r="F45" s="49" t="str">
        <x:v>Not scored because official domain was not centrally verified</x:v>
      </x:c>
    </x:row>
    <x:row r="46">
      <x:c r="A46" s="63" t="n">
        <x:v>2254</x:v>
      </x:c>
      <x:c r="B46" s="49" t="str">
        <x:v>Vilasrao Deshmukh Foundation Group of Institutions, Latur</x:v>
      </x:c>
      <x:c r="C46" s="49" t="str">
        <x:v>Latur</x:v>
      </x:c>
      <x:c r="D46" s="49"/>
      <x:c r="E46" s="49" t="str">
        <x:v>Not centrally verified</x:v>
      </x:c>
      <x:c r="F46" s="49" t="str">
        <x:v>Not scored because official domain was not centrally verified</x:v>
      </x:c>
    </x:row>
    <x:row r="47">
      <x:c r="A47" s="63" t="n">
        <x:v>2282</x:v>
      </x:c>
      <x:c r="B47" s="49" t="str">
        <x:v>Mitthulalji Sarada Institute Of Technology, Nalwandi Road, Beed</x:v>
      </x:c>
      <x:c r="C47" s="49" t="str">
        <x:v>Beed</x:v>
      </x:c>
      <x:c r="D47" s="49"/>
      <x:c r="E47" s="49" t="str">
        <x:v>Not centrally verified</x:v>
      </x:c>
      <x:c r="F47" s="49" t="str">
        <x:v>Not scored because official domain was not centrally verified</x:v>
      </x:c>
    </x:row>
    <x:row r="48">
      <x:c r="A48" s="63" t="n">
        <x:v>2508</x:v>
      </x:c>
      <x:c r="B48" s="49" t="str">
        <x:v>GRAMIN TECHNICAL AND MANAGEMENT CAMPUS NANDED.</x:v>
      </x:c>
      <x:c r="C48" s="49" t="str">
        <x:v>Nanded</x:v>
      </x:c>
      <x:c r="D48" s="49"/>
      <x:c r="E48" s="49" t="str">
        <x:v>Not centrally verified</x:v>
      </x:c>
      <x:c r="F48" s="49" t="str">
        <x:v>Not scored because official domain was not centrally verified</x:v>
      </x:c>
    </x:row>
    <x:row r="49">
      <x:c r="A49" s="63" t="n">
        <x:v>2516</x:v>
      </x:c>
      <x:c r="B49" s="49" t="str">
        <x:v>International Centre Of Excellence In Engineering and Management (ICEEM)</x:v>
      </x:c>
      <x:c r="C49" s="49" t="str">
        <x:v>Chhatrapati Sambhajinagar</x:v>
      </x:c>
      <x:c r="D49" s="49"/>
      <x:c r="E49" s="49" t="str">
        <x:v>Not centrally verified</x:v>
      </x:c>
      <x:c r="F49" s="49" t="str">
        <x:v>Not scored because official domain was not centrally verified</x:v>
      </x:c>
    </x:row>
    <x:row r="50">
      <x:c r="A50" s="63" t="n">
        <x:v>2522</x:v>
      </x:c>
      <x:c r="B50" s="49" t="str">
        <x:v>STMEI's Sandipani Technical Campus-Faculty of Engineering, Latur.</x:v>
      </x:c>
      <x:c r="C50" s="49" t="str">
        <x:v>Latur</x:v>
      </x:c>
      <x:c r="D50" s="49"/>
      <x:c r="E50" s="49" t="str">
        <x:v>Not centrally verified</x:v>
      </x:c>
      <x:c r="F50" s="49" t="str">
        <x:v>Not scored because official domain was not centrally verified</x:v>
      </x:c>
    </x:row>
    <x:row r="51">
      <x:c r="A51" s="63" t="n">
        <x:v>2533</x:v>
      </x:c>
      <x:c r="B51" s="49" t="str">
        <x:v>CSMSS Chh. Shahu College of Engineering, Aurangabad</x:v>
      </x:c>
      <x:c r="C51" s="49" t="str">
        <x:v>Chhatrapati Sambhajinagar</x:v>
      </x:c>
      <x:c r="D51" s="49"/>
      <x:c r="E51" s="49" t="str">
        <x:v>Not centrally verified</x:v>
      </x:c>
      <x:c r="F51" s="49" t="str">
        <x:v>Not scored because official domain was not centrally verified</x:v>
      </x:c>
    </x:row>
    <x:row r="52">
      <x:c r="A52" s="63" t="n">
        <x:v>2637</x:v>
      </x:c>
      <x:c r="B52" s="49" t="str">
        <x:v>Jijau Institute of Engineering Technology and Management, Khandgaon (Bendri), Taluka Naigaon, District Nanded</x:v>
      </x:c>
      <x:c r="C52" s="49" t="str">
        <x:v>Nanded</x:v>
      </x:c>
      <x:c r="D52" s="49"/>
      <x:c r="E52" s="49" t="str">
        <x:v>Not centrally verified</x:v>
      </x:c>
      <x:c r="F52" s="49" t="str">
        <x:v>Not scored because official domain was not centrally verified</x:v>
      </x:c>
    </x:row>
    <x:row r="53">
      <x:c r="A53" s="63" t="n">
        <x:v>2641</x:v>
      </x:c>
      <x:c r="B53" s="49" t="str">
        <x:v>Dr. V.K. Patil College of Engineering &amp; Technology</x:v>
      </x:c>
      <x:c r="C53" s="49" t="str">
        <x:v>Dharashiv</x:v>
      </x:c>
      <x:c r="D53" s="49"/>
      <x:c r="E53" s="49" t="str">
        <x:v>Not centrally verified</x:v>
      </x:c>
      <x:c r="F53" s="49" t="str">
        <x:v>Not scored because official domain was not centrally verified</x:v>
      </x:c>
    </x:row>
    <x:row r="54">
      <x:c r="A54" s="63" t="n">
        <x:v>2666</x:v>
      </x:c>
      <x:c r="B54" s="49" t="str">
        <x:v>Mangaldeep College of Engineering</x:v>
      </x:c>
      <x:c r="C54" s="49" t="str">
        <x:v>Chhatrapati Sambhajinagar</x:v>
      </x:c>
      <x:c r="D54" s="49"/>
      <x:c r="E54" s="49" t="str">
        <x:v>Not centrally verified</x:v>
      </x:c>
      <x:c r="F54" s="49" t="str">
        <x:v>Not scored because official domain was not centrally verified</x:v>
      </x:c>
    </x:row>
    <x:row r="55">
      <x:c r="A55" s="63" t="n">
        <x:v>2758</x:v>
      </x:c>
      <x:c r="B55" s="49" t="str">
        <x:v>Sant Eknath College of Engineering</x:v>
      </x:c>
      <x:c r="C55" s="49" t="str">
        <x:v>Chhatrapati Sambhajinagar</x:v>
      </x:c>
      <x:c r="D55" s="49"/>
      <x:c r="E55" s="49" t="str">
        <x:v>Not centrally verified</x:v>
      </x:c>
      <x:c r="F55" s="49" t="str">
        <x:v>Not scored because official domain was not centrally verified</x:v>
      </x:c>
    </x:row>
    <x:row r="56">
      <x:c r="A56" s="63" t="n">
        <x:v>3012</x:v>
      </x:c>
      <x:c r="B56" s="49" t="str">
        <x:v>Veermata Jijabai Technological Institute(VJTI), Matunga, Mumbai</x:v>
      </x:c>
      <x:c r="C56" s="49" t="str">
        <x:v>Mumbai City</x:v>
      </x:c>
      <x:c r="D56" s="49" t="str">
        <x:v>https://vjti.ac.in/</x:v>
      </x:c>
      <x:c r="E56" s="49" t="str">
        <x:v>Verified official domain</x:v>
      </x:c>
      <x:c r="F56" s="49" t="str">
        <x:v>Official domain verified; page-by-page completeness not scored</x:v>
      </x:c>
    </x:row>
    <x:row r="57">
      <x:c r="A57" s="63" t="n">
        <x:v>3014</x:v>
      </x:c>
      <x:c r="B57" s="49" t="str">
        <x:v>Sardar Patel College of Engineering, Andheri</x:v>
      </x:c>
      <x:c r="C57" s="49" t="str">
        <x:v>Mumbai Suburban</x:v>
      </x:c>
      <x:c r="D57" s="49" t="str">
        <x:v>https://www.spce.ac.in/</x:v>
      </x:c>
      <x:c r="E57" s="49" t="str">
        <x:v>Verified official domain</x:v>
      </x:c>
      <x:c r="F57" s="49" t="str">
        <x:v>Official domain verified; page-by-page completeness not scored</x:v>
      </x:c>
    </x:row>
    <x:row r="58">
      <x:c r="A58" s="63" t="n">
        <x:v>3025</x:v>
      </x:c>
      <x:c r="B58" s="49" t="str">
        <x:v>Svkm's Shri Bhagubhai Mafatlal Polytechnic &amp; College of Engineering</x:v>
      </x:c>
      <x:c r="C58" s="49" t="str">
        <x:v>Mumbai City</x:v>
      </x:c>
      <x:c r="D58" s="49"/>
      <x:c r="E58" s="49" t="str">
        <x:v>Not centrally verified</x:v>
      </x:c>
      <x:c r="F58" s="49" t="str">
        <x:v>Not scored because official domain was not centrally verified</x:v>
      </x:c>
    </x:row>
    <x:row r="59">
      <x:c r="A59" s="63" t="n">
        <x:v>3033</x:v>
      </x:c>
      <x:c r="B59" s="49" t="str">
        <x:v>Dr. Babasaheb Ambedkar Technological University, Lonere</x:v>
      </x:c>
      <x:c r="C59" s="49" t="str">
        <x:v>Raigad</x:v>
      </x:c>
      <x:c r="D59" s="49"/>
      <x:c r="E59" s="49" t="str">
        <x:v>Not centrally verified</x:v>
      </x:c>
      <x:c r="F59" s="49" t="str">
        <x:v>Not scored because official domain was not centrally verified</x:v>
      </x:c>
    </x:row>
    <x:row r="60">
      <x:c r="A60" s="63" t="n">
        <x:v>3042</x:v>
      </x:c>
      <x:c r="B60" s="49" t="str">
        <x:v>Loknete Shamrao Peje Government College of Engineering, Ratnagiri</x:v>
      </x:c>
      <x:c r="C60" s="49" t="str">
        <x:v>Ratnagiri</x:v>
      </x:c>
      <x:c r="D60" s="49"/>
      <x:c r="E60" s="49" t="str">
        <x:v>Not centrally verified</x:v>
      </x:c>
      <x:c r="F60" s="49" t="str">
        <x:v>Not scored because official domain was not centrally verified</x:v>
      </x:c>
    </x:row>
    <x:row r="61">
      <x:c r="A61" s="63" t="n">
        <x:v>3135</x:v>
      </x:c>
      <x:c r="B61" s="49" t="str">
        <x:v>Manjara Charitable Trust's Rajiv Gandhi Institute of Technology, Mumbai</x:v>
      </x:c>
      <x:c r="C61" s="49" t="str">
        <x:v>Mumbai Suburban</x:v>
      </x:c>
      <x:c r="D61" s="49"/>
      <x:c r="E61" s="49" t="str">
        <x:v>Not centrally verified</x:v>
      </x:c>
      <x:c r="F61" s="49" t="str">
        <x:v>Not scored because official domain was not centrally verified</x:v>
      </x:c>
    </x:row>
    <x:row r="62">
      <x:c r="A62" s="63" t="n">
        <x:v>3139</x:v>
      </x:c>
      <x:c r="B62" s="49" t="str">
        <x:v>Vidyalankar Institute of Technology,Wadala, Mumbai</x:v>
      </x:c>
      <x:c r="C62" s="49" t="str">
        <x:v>Mumbai City</x:v>
      </x:c>
      <x:c r="D62" s="49"/>
      <x:c r="E62" s="49" t="str">
        <x:v>Not centrally verified</x:v>
      </x:c>
      <x:c r="F62" s="49" t="str">
        <x:v>Not scored because official domain was not centrally verified</x:v>
      </x:c>
    </x:row>
    <x:row r="63">
      <x:c r="A63" s="63" t="n">
        <x:v>3143</x:v>
      </x:c>
      <x:c r="B63" s="49" t="str">
        <x:v>Thakur Shyamnarayan Engineering College, Mumbai</x:v>
      </x:c>
      <x:c r="C63" s="49" t="str">
        <x:v>Mumbai Suburban</x:v>
      </x:c>
      <x:c r="D63" s="49"/>
      <x:c r="E63" s="49" t="str">
        <x:v>Not centrally verified</x:v>
      </x:c>
      <x:c r="F63" s="49" t="str">
        <x:v>Not scored because official domain was not centrally verified</x:v>
      </x:c>
    </x:row>
    <x:row r="64">
      <x:c r="A64" s="63" t="n">
        <x:v>3146</x:v>
      </x:c>
      <x:c r="B64" s="49" t="str">
        <x:v>Jawahar Education Society's Annasaheb Chudaman Patil College of Engineering,Kharghar, Navi Mumbai</x:v>
      </x:c>
      <x:c r="C64" s="49" t="str">
        <x:v>Raigad</x:v>
      </x:c>
      <x:c r="D64" s="49"/>
      <x:c r="E64" s="49" t="str">
        <x:v>Not centrally verified</x:v>
      </x:c>
      <x:c r="F64" s="49" t="str">
        <x:v>Not scored because official domain was not centrally verified</x:v>
      </x:c>
    </x:row>
    <x:row r="65">
      <x:c r="A65" s="63" t="n">
        <x:v>3147</x:v>
      </x:c>
      <x:c r="B65" s="49" t="str">
        <x:v>Saraswati Education Society, Yadavrao Tasgaonkar Institute of Engineering &amp; Technology, Karjat</x:v>
      </x:c>
      <x:c r="C65" s="49" t="str">
        <x:v>Raigad</x:v>
      </x:c>
      <x:c r="D65" s="49"/>
      <x:c r="E65" s="49" t="str">
        <x:v>Not centrally verified</x:v>
      </x:c>
      <x:c r="F65" s="49" t="str">
        <x:v>Not scored because official domain was not centrally verified</x:v>
      </x:c>
    </x:row>
    <x:row r="66">
      <x:c r="A66" s="63" t="n">
        <x:v>3148</x:v>
      </x:c>
      <x:c r="B66" s="49" t="str">
        <x:v>Mahavir Education Trust's Shah &amp; Anchor Kutchhi Engineering College, Mumbai</x:v>
      </x:c>
      <x:c r="C66" s="49" t="str">
        <x:v>Mumbai Suburban</x:v>
      </x:c>
      <x:c r="D66" s="49"/>
      <x:c r="E66" s="49" t="str">
        <x:v>Not centrally verified</x:v>
      </x:c>
      <x:c r="F66" s="49" t="str">
        <x:v>Not scored because official domain was not centrally verified</x:v>
      </x:c>
    </x:row>
    <x:row r="67">
      <x:c r="A67" s="63" t="n">
        <x:v>3154</x:v>
      </x:c>
      <x:c r="B67" s="49" t="str">
        <x:v>Saraswati Education Society's Saraswati College of Engineering,Kharghar Navi Mumbai</x:v>
      </x:c>
      <x:c r="C67" s="49" t="str">
        <x:v>Raigad</x:v>
      </x:c>
      <x:c r="D67" s="49"/>
      <x:c r="E67" s="49" t="str">
        <x:v>Not centrally verified</x:v>
      </x:c>
      <x:c r="F67" s="49" t="str">
        <x:v>Not scored because official domain was not centrally verified</x:v>
      </x:c>
    </x:row>
    <x:row r="68">
      <x:c r="A68" s="63" t="n">
        <x:v>3175</x:v>
      </x:c>
      <x:c r="B68" s="49" t="str">
        <x:v>M.G.M.'s College of Engineering and Technology, Kamothe, Navi Mumbai</x:v>
      </x:c>
      <x:c r="C68" s="49" t="str">
        <x:v>Raigad</x:v>
      </x:c>
      <x:c r="D68" s="49"/>
      <x:c r="E68" s="49" t="str">
        <x:v>Not centrally verified</x:v>
      </x:c>
      <x:c r="F68" s="49" t="str">
        <x:v>Not scored because official domain was not centrally verified</x:v>
      </x:c>
    </x:row>
    <x:row r="69">
      <x:c r="A69" s="63" t="n">
        <x:v>3176</x:v>
      </x:c>
      <x:c r="B69" s="49" t="str">
        <x:v>Thakur College of Engineering and Technology, Kandivali, Mumbai</x:v>
      </x:c>
      <x:c r="C69" s="49" t="str">
        <x:v>Mumbai Suburban</x:v>
      </x:c>
      <x:c r="D69" s="49"/>
      <x:c r="E69" s="49" t="str">
        <x:v>Not centrally verified</x:v>
      </x:c>
      <x:c r="F69" s="49" t="str">
        <x:v>Not scored because official domain was not centrally verified</x:v>
      </x:c>
    </x:row>
    <x:row r="70">
      <x:c r="A70" s="63" t="n">
        <x:v>3182</x:v>
      </x:c>
      <x:c r="B70" s="49" t="str">
        <x:v>Thadomal Shahani Engineering College, Bandra, Mumbai</x:v>
      </x:c>
      <x:c r="C70" s="49" t="str">
        <x:v>Mumbai Suburban</x:v>
      </x:c>
      <x:c r="D70" s="49" t="str">
        <x:v>https://tsec.edu/</x:v>
      </x:c>
      <x:c r="E70" s="49" t="str">
        <x:v>Verified official domain</x:v>
      </x:c>
      <x:c r="F70" s="49" t="str">
        <x:v>Official domain verified; page-by-page completeness not scored</x:v>
      </x:c>
    </x:row>
    <x:row r="71">
      <x:c r="A71" s="63" t="n">
        <x:v>3183</x:v>
      </x:c>
      <x:c r="B71" s="49" t="str">
        <x:v>Anjuman-I-Islam's M.H. Saboo Siddik College of Engineering, Byculla, Mumbai</x:v>
      </x:c>
      <x:c r="C71" s="49" t="str">
        <x:v>Mumbai City</x:v>
      </x:c>
      <x:c r="D71" s="49"/>
      <x:c r="E71" s="49" t="str">
        <x:v>Not centrally verified</x:v>
      </x:c>
      <x:c r="F71" s="49" t="str">
        <x:v>Not scored because official domain was not centrally verified</x:v>
      </x:c>
    </x:row>
    <x:row r="72">
      <x:c r="A72" s="63" t="n">
        <x:v>3184</x:v>
      </x:c>
      <x:c r="B72" s="49" t="str">
        <x:v>Fr. Conceicao Rodrigues College of Engineering, Bandra,Mumbai</x:v>
      </x:c>
      <x:c r="C72" s="49" t="str">
        <x:v>Mumbai Suburban</x:v>
      </x:c>
      <x:c r="D72" s="49"/>
      <x:c r="E72" s="49" t="str">
        <x:v>Not centrally verified</x:v>
      </x:c>
      <x:c r="F72" s="49" t="str">
        <x:v>Not scored because official domain was not centrally verified</x:v>
      </x:c>
    </x:row>
    <x:row r="73">
      <x:c r="A73" s="63" t="n">
        <x:v>3185</x:v>
      </x:c>
      <x:c r="B73" s="49" t="str">
        <x:v>Vivekanand Education Society's Institute of Technology, Chembur, Mumbai</x:v>
      </x:c>
      <x:c r="C73" s="49" t="str">
        <x:v>Mumbai Suburban</x:v>
      </x:c>
      <x:c r="D73" s="49"/>
      <x:c r="E73" s="49" t="str">
        <x:v>Not centrally verified</x:v>
      </x:c>
      <x:c r="F73" s="49" t="str">
        <x:v>Not scored because official domain was not centrally verified</x:v>
      </x:c>
    </x:row>
    <x:row r="74">
      <x:c r="A74" s="63" t="n">
        <x:v>3187</x:v>
      </x:c>
      <x:c r="B74" s="49" t="str">
        <x:v>N.Y.S.S.'s Datta Meghe College of Engineering, Airoli, Navi Mumbai</x:v>
      </x:c>
      <x:c r="C74" s="49" t="str">
        <x:v>Thane</x:v>
      </x:c>
      <x:c r="D74" s="49"/>
      <x:c r="E74" s="49" t="str">
        <x:v>Not centrally verified</x:v>
      </x:c>
      <x:c r="F74" s="49" t="str">
        <x:v>Not scored because official domain was not centrally verified</x:v>
      </x:c>
    </x:row>
    <x:row r="75">
      <x:c r="A75" s="63" t="n">
        <x:v>3188</x:v>
      </x:c>
      <x:c r="B75" s="49" t="str">
        <x:v>Vasantdada Patil Pratishthan's College Of Engineering and Visual Arts, Sion, Mumbai</x:v>
      </x:c>
      <x:c r="C75" s="49" t="str">
        <x:v>Mumbai City</x:v>
      </x:c>
      <x:c r="D75" s="49"/>
      <x:c r="E75" s="49" t="str">
        <x:v>Not centrally verified</x:v>
      </x:c>
      <x:c r="F75" s="49" t="str">
        <x:v>Not scored because official domain was not centrally verified</x:v>
      </x:c>
    </x:row>
    <x:row r="76">
      <x:c r="A76" s="63" t="n">
        <x:v>3189</x:v>
      </x:c>
      <x:c r="B76" s="49" t="str">
        <x:v>Bharati Vidyapeeth College of Engineering, Navi Mumbai</x:v>
      </x:c>
      <x:c r="C76" s="49" t="str">
        <x:v>Thane</x:v>
      </x:c>
      <x:c r="D76" s="49"/>
      <x:c r="E76" s="49" t="str">
        <x:v>Not centrally verified</x:v>
      </x:c>
      <x:c r="F76" s="49" t="str">
        <x:v>Not scored because official domain was not centrally verified</x:v>
      </x:c>
    </x:row>
    <x:row r="77">
      <x:c r="A77" s="63" t="n">
        <x:v>3190</x:v>
      </x:c>
      <x:c r="B77" s="49" t="str">
        <x:v>Terna Engineering College, Nerul, Navi Mumbai</x:v>
      </x:c>
      <x:c r="C77" s="49" t="str">
        <x:v>Thane</x:v>
      </x:c>
      <x:c r="D77" s="49"/>
      <x:c r="E77" s="49" t="str">
        <x:v>Not centrally verified</x:v>
      </x:c>
      <x:c r="F77" s="49" t="str">
        <x:v>Not scored because official domain was not centrally verified</x:v>
      </x:c>
    </x:row>
    <x:row r="78">
      <x:c r="A78" s="63" t="n">
        <x:v>3192</x:v>
      </x:c>
      <x:c r="B78" s="49" t="str">
        <x:v>Smt. Indira Gandhi College of Engineering, Navi Mumbai</x:v>
      </x:c>
      <x:c r="C78" s="49" t="str">
        <x:v>Thane</x:v>
      </x:c>
      <x:c r="D78" s="49"/>
      <x:c r="E78" s="49" t="str">
        <x:v>Not centrally verified</x:v>
      </x:c>
      <x:c r="F78" s="49" t="str">
        <x:v>Not scored because official domain was not centrally verified</x:v>
      </x:c>
    </x:row>
    <x:row r="79">
      <x:c r="A79" s="63" t="n">
        <x:v>3193</x:v>
      </x:c>
      <x:c r="B79" s="49" t="str">
        <x:v>Shivajirao S. Jondhale College of Engineering, Dombivali,Mumbai</x:v>
      </x:c>
      <x:c r="C79" s="49" t="str">
        <x:v>Thane</x:v>
      </x:c>
      <x:c r="D79" s="49"/>
      <x:c r="E79" s="49" t="str">
        <x:v>Not centrally verified</x:v>
      </x:c>
      <x:c r="F79" s="49" t="str">
        <x:v>Not scored because official domain was not centrally verified</x:v>
      </x:c>
    </x:row>
    <x:row r="80">
      <x:c r="A80" s="63" t="n">
        <x:v>3194</x:v>
      </x:c>
      <x:c r="B80" s="49" t="str">
        <x:v>Vidyavardhini's College of Engineering and Technology, Vasai</x:v>
      </x:c>
      <x:c r="C80" s="49" t="str">
        <x:v>Palghar</x:v>
      </x:c>
      <x:c r="D80" s="49"/>
      <x:c r="E80" s="49" t="str">
        <x:v>Not centrally verified</x:v>
      </x:c>
      <x:c r="F80" s="49" t="str">
        <x:v>Not scored because official domain was not centrally verified</x:v>
      </x:c>
    </x:row>
    <x:row r="81">
      <x:c r="A81" s="63" t="n">
        <x:v>3196</x:v>
      </x:c>
      <x:c r="B81" s="49" t="str">
        <x:v>Lokmanya Tilak College of Engineering, Kopar Khairane, Navi Mumbai</x:v>
      </x:c>
      <x:c r="C81" s="49" t="str">
        <x:v>Thane</x:v>
      </x:c>
      <x:c r="D81" s="49"/>
      <x:c r="E81" s="49" t="str">
        <x:v>Not centrally verified</x:v>
      </x:c>
      <x:c r="F81" s="49" t="str">
        <x:v>Not scored because official domain was not centrally verified</x:v>
      </x:c>
    </x:row>
    <x:row r="82">
      <x:c r="A82" s="63" t="n">
        <x:v>3197</x:v>
      </x:c>
      <x:c r="B82" s="49" t="str">
        <x:v>Agnel Charities' FR. C. Rodrigues Institute of Technology, Vashi, Navi Mumbai</x:v>
      </x:c>
      <x:c r="C82" s="49" t="str">
        <x:v>Thane</x:v>
      </x:c>
      <x:c r="D82" s="49" t="str">
        <x:v>https://www.fcrit.ac.in/</x:v>
      </x:c>
      <x:c r="E82" s="49" t="str">
        <x:v>Verified official domain</x:v>
      </x:c>
      <x:c r="F82" s="49" t="str">
        <x:v>Official domain verified; page-by-page completeness not scored</x:v>
      </x:c>
    </x:row>
    <x:row r="83">
      <x:c r="A83" s="63" t="n">
        <x:v>3198</x:v>
      </x:c>
      <x:c r="B83" s="49" t="str">
        <x:v>Konkan Gyanpeeth College of Engineering, Karjat</x:v>
      </x:c>
      <x:c r="C83" s="49" t="str">
        <x:v>Raigad</x:v>
      </x:c>
      <x:c r="D83" s="49"/>
      <x:c r="E83" s="49" t="str">
        <x:v>Not centrally verified</x:v>
      </x:c>
      <x:c r="F83" s="49" t="str">
        <x:v>Not scored because official domain was not centrally verified</x:v>
      </x:c>
    </x:row>
    <x:row r="84">
      <x:c r="A84" s="63" t="n">
        <x:v>3199</x:v>
      </x:c>
      <x:c r="B84" s="49" t="str">
        <x:v>Shri Vile Parle Kelvani Mandal's Dwarkadas J. Sanghvi College of Engineering, Vile Parle,Mumbai</x:v>
      </x:c>
      <x:c r="C84" s="49" t="str">
        <x:v>Mumbai Suburban</x:v>
      </x:c>
      <x:c r="D84" s="49" t="str">
        <x:v>https://www.djsce.ac.in/</x:v>
      </x:c>
      <x:c r="E84" s="49" t="str">
        <x:v>Verified official domain</x:v>
      </x:c>
      <x:c r="F84" s="49" t="str">
        <x:v>Official domain verified; page-by-page completeness not scored</x:v>
      </x:c>
    </x:row>
    <x:row r="85">
      <x:c r="A85" s="63" t="n">
        <x:v>3200</x:v>
      </x:c>
      <x:c r="B85" s="49" t="str">
        <x:v>Hope Foundation and research center's Finolex Academy of Management and Technology, Ratnagiri</x:v>
      </x:c>
      <x:c r="C85" s="49" t="str">
        <x:v>Ratnagiri</x:v>
      </x:c>
      <x:c r="D85" s="49"/>
      <x:c r="E85" s="49" t="str">
        <x:v>Not centrally verified</x:v>
      </x:c>
      <x:c r="F85" s="49" t="str">
        <x:v>Not scored because official domain was not centrally verified</x:v>
      </x:c>
    </x:row>
    <x:row r="86">
      <x:c r="A86" s="63" t="n">
        <x:v>3201</x:v>
      </x:c>
      <x:c r="B86" s="49" t="str">
        <x:v>Rizvi Education Society's Rizvi College of Engineering, Bandra,Mumbai</x:v>
      </x:c>
      <x:c r="C86" s="49" t="str">
        <x:v>Mumbai Suburban</x:v>
      </x:c>
      <x:c r="D86" s="49"/>
      <x:c r="E86" s="49" t="str">
        <x:v>Not centrally verified</x:v>
      </x:c>
      <x:c r="F86" s="49" t="str">
        <x:v>Not scored because official domain was not centrally verified</x:v>
      </x:c>
    </x:row>
    <x:row r="87">
      <x:c r="A87" s="63" t="n">
        <x:v>3202</x:v>
      </x:c>
      <x:c r="B87" s="49" t="str">
        <x:v>Rajendra Mane College of Engineering &amp; Technology Ambav Deorukh</x:v>
      </x:c>
      <x:c r="C87" s="49" t="str">
        <x:v>Ratnagiri</x:v>
      </x:c>
      <x:c r="D87" s="49"/>
      <x:c r="E87" s="49" t="str">
        <x:v>Not centrally verified</x:v>
      </x:c>
      <x:c r="F87" s="49" t="str">
        <x:v>Not scored because official domain was not centrally verified</x:v>
      </x:c>
    </x:row>
    <x:row r="88">
      <x:c r="A88" s="63" t="n">
        <x:v>3203</x:v>
      </x:c>
      <x:c r="B88" s="49" t="str">
        <x:v>Atharva College of Engineering,Malad(West),Mumbai</x:v>
      </x:c>
      <x:c r="C88" s="49" t="str">
        <x:v>Mumbai Suburban</x:v>
      </x:c>
      <x:c r="D88" s="49"/>
      <x:c r="E88" s="49" t="str">
        <x:v>Not centrally verified</x:v>
      </x:c>
      <x:c r="F88" s="49" t="str">
        <x:v>Not scored because official domain was not centrally verified</x:v>
      </x:c>
    </x:row>
    <x:row r="89">
      <x:c r="A89" s="63" t="n">
        <x:v>3204</x:v>
      </x:c>
      <x:c r="B89" s="49" t="str">
        <x:v>St. Francis Institute of Technology,Borivali, Mumbai</x:v>
      </x:c>
      <x:c r="C89" s="49" t="str">
        <x:v>Mumbai Suburban</x:v>
      </x:c>
      <x:c r="D89" s="49"/>
      <x:c r="E89" s="49" t="str">
        <x:v>Not centrally verified</x:v>
      </x:c>
      <x:c r="F89" s="49" t="str">
        <x:v>Not scored because official domain was not centrally verified</x:v>
      </x:c>
    </x:row>
    <x:row r="90">
      <x:c r="A90" s="63" t="n">
        <x:v>3206</x:v>
      </x:c>
      <x:c r="B90" s="49" t="str">
        <x:v>S.S.P.M.'s College of Engineering, Kankavli</x:v>
      </x:c>
      <x:c r="C90" s="49" t="str">
        <x:v>Sindhudurg</x:v>
      </x:c>
      <x:c r="D90" s="49"/>
      <x:c r="E90" s="49" t="str">
        <x:v>Not centrally verified</x:v>
      </x:c>
      <x:c r="F90" s="49" t="str">
        <x:v>Not scored because official domain was not centrally verified</x:v>
      </x:c>
    </x:row>
    <x:row r="91">
      <x:c r="A91" s="63" t="n">
        <x:v>3207</x:v>
      </x:c>
      <x:c r="B91" s="49" t="str">
        <x:v>Mahatma Education Society's Pillai College of Engineering, New Panvel</x:v>
      </x:c>
      <x:c r="C91" s="49" t="str">
        <x:v>Raigad</x:v>
      </x:c>
      <x:c r="D91" s="49"/>
      <x:c r="E91" s="49" t="str">
        <x:v>Not centrally verified</x:v>
      </x:c>
      <x:c r="F91" s="49" t="str">
        <x:v>Not scored because official domain was not centrally verified</x:v>
      </x:c>
    </x:row>
    <x:row r="92">
      <x:c r="A92" s="63" t="n">
        <x:v>3208</x:v>
      </x:c>
      <x:c r="B92" s="49" t="str">
        <x:v>Don Bosco Institute of Technology, Mumbai</x:v>
      </x:c>
      <x:c r="C92" s="49" t="str">
        <x:v>Mumbai Suburban</x:v>
      </x:c>
      <x:c r="D92" s="49"/>
      <x:c r="E92" s="49" t="str">
        <x:v>Not centrally verified</x:v>
      </x:c>
      <x:c r="F92" s="49" t="str">
        <x:v>Not scored because official domain was not centrally verified</x:v>
      </x:c>
    </x:row>
    <x:row r="93">
      <x:c r="A93" s="63" t="n">
        <x:v>3209</x:v>
      </x:c>
      <x:c r="B93" s="49" t="str">
        <x:v>K J Somaiya Institute of Technology</x:v>
      </x:c>
      <x:c r="C93" s="49" t="str">
        <x:v>Mumbai Suburban</x:v>
      </x:c>
      <x:c r="D93" s="49"/>
      <x:c r="E93" s="49" t="str">
        <x:v>Not centrally verified</x:v>
      </x:c>
      <x:c r="F93" s="49" t="str">
        <x:v>Not scored because official domain was not centrally verified</x:v>
      </x:c>
    </x:row>
    <x:row r="94">
      <x:c r="A94" s="63" t="n">
        <x:v>3210</x:v>
      </x:c>
      <x:c r="B94" s="49" t="str">
        <x:v>Excelsior Education Society's K.C. College of Engineering and Management Studies and Research, Kopri, Thane (E)</x:v>
      </x:c>
      <x:c r="C94" s="49" t="str">
        <x:v>Thane</x:v>
      </x:c>
      <x:c r="D94" s="49"/>
      <x:c r="E94" s="49" t="str">
        <x:v>Not centrally verified</x:v>
      </x:c>
      <x:c r="F94" s="49" t="str">
        <x:v>Not scored because official domain was not centrally verified</x:v>
      </x:c>
    </x:row>
    <x:row r="95">
      <x:c r="A95" s="63" t="n">
        <x:v>3211</x:v>
      </x:c>
      <x:c r="B95" s="49" t="str">
        <x:v>S.I.E.S. Graduate School of Technology, Nerul, Navi Mumbai</x:v>
      </x:c>
      <x:c r="C95" s="49" t="str">
        <x:v>Thane</x:v>
      </x:c>
      <x:c r="D95" s="49"/>
      <x:c r="E95" s="49" t="str">
        <x:v>Not centrally verified</x:v>
      </x:c>
      <x:c r="F95" s="49" t="str">
        <x:v>Not scored because official domain was not centrally verified</x:v>
      </x:c>
    </x:row>
    <x:row r="96">
      <x:c r="A96" s="63" t="n">
        <x:v>3212</x:v>
      </x:c>
      <x:c r="B96" s="49" t="str">
        <x:v>Watumull Institute of Engineering &amp; Technology, Ulhasnagar</x:v>
      </x:c>
      <x:c r="C96" s="49" t="str">
        <x:v>Thane</x:v>
      </x:c>
      <x:c r="D96" s="49"/>
      <x:c r="E96" s="49" t="str">
        <x:v>Not centrally verified</x:v>
      </x:c>
      <x:c r="F96" s="49" t="str">
        <x:v>Not scored because official domain was not centrally verified</x:v>
      </x:c>
    </x:row>
    <x:row r="97">
      <x:c r="A97" s="63" t="n">
        <x:v>3214</x:v>
      </x:c>
      <x:c r="B97" s="49" t="str">
        <x:v>Xavier Institute Of Engineering C/O Xavier Technical Institute,Mahim,Mumbai</x:v>
      </x:c>
      <x:c r="C97" s="49" t="str">
        <x:v>Mumbai City</x:v>
      </x:c>
      <x:c r="D97" s="49"/>
      <x:c r="E97" s="49" t="str">
        <x:v>Not centrally verified</x:v>
      </x:c>
      <x:c r="F97" s="49" t="str">
        <x:v>Not scored because official domain was not centrally verified</x:v>
      </x:c>
    </x:row>
    <x:row r="98">
      <x:c r="A98" s="63" t="n">
        <x:v>3215</x:v>
      </x:c>
      <x:c r="B98" s="49" t="str">
        <x:v>Bhartiya Vidya Bhavan's Sardar Patel Institute of Technology , Andheri, Mumbai</x:v>
      </x:c>
      <x:c r="C98" s="49" t="str">
        <x:v>Mumbai Suburban</x:v>
      </x:c>
      <x:c r="D98" s="49" t="str">
        <x:v>https://www.spit.ac.in/</x:v>
      </x:c>
      <x:c r="E98" s="49" t="str">
        <x:v>Verified official domain</x:v>
      </x:c>
      <x:c r="F98" s="49" t="str">
        <x:v>Official domain verified; page-by-page completeness not scored</x:v>
      </x:c>
    </x:row>
    <x:row r="99">
      <x:c r="A99" s="63" t="n">
        <x:v>3216</x:v>
      </x:c>
      <x:c r="B99" s="49" t="str">
        <x:v>Gharda Foundation's Gharda Institute of Technology,Khed, Ratnagiri</x:v>
      </x:c>
      <x:c r="C99" s="49" t="str">
        <x:v>Ratnagiri</x:v>
      </x:c>
      <x:c r="D99" s="49"/>
      <x:c r="E99" s="49" t="str">
        <x:v>Not centrally verified</x:v>
      </x:c>
      <x:c r="F99" s="49" t="str">
        <x:v>Not scored because official domain was not centrally verified</x:v>
      </x:c>
    </x:row>
    <x:row r="100">
      <x:c r="A100" s="63" t="n">
        <x:v>3217</x:v>
      </x:c>
      <x:c r="B100" s="49" t="str">
        <x:v>Vighnaharata Trust's Shivajirao S. Jondhale College of Engineering &amp; Technology, Shahapur, Asangaon, Dist Thane</x:v>
      </x:c>
      <x:c r="C100" s="49" t="str">
        <x:v>Thane</x:v>
      </x:c>
      <x:c r="D100" s="49"/>
      <x:c r="E100" s="49" t="str">
        <x:v>Not centrally verified</x:v>
      </x:c>
      <x:c r="F100" s="49" t="str">
        <x:v>Not scored because official domain was not centrally verified</x:v>
      </x:c>
    </x:row>
    <x:row r="101">
      <x:c r="A101" s="63" t="n">
        <x:v>3218</x:v>
      </x:c>
      <x:c r="B101" s="49" t="str">
        <x:v>Aldel Education Trust's St. John College of Engineering &amp; Management, Vevoor, Palghar</x:v>
      </x:c>
      <x:c r="C101" s="49" t="str">
        <x:v>Palghar</x:v>
      </x:c>
      <x:c r="D101" s="49"/>
      <x:c r="E101" s="49" t="str">
        <x:v>Not centrally verified</x:v>
      </x:c>
      <x:c r="F101" s="49" t="str">
        <x:v>Not scored because official domain was not centrally verified</x:v>
      </x:c>
    </x:row>
    <x:row r="102">
      <x:c r="A102" s="63" t="n">
        <x:v>3219</x:v>
      </x:c>
      <x:c r="B102" s="49" t="str">
        <x:v>Koti Vidya Charitable Trust's Smt. Alamuri Ratnamala Institute of Engineering and Technology, Sapgaon, Tal. Shahapur</x:v>
      </x:c>
      <x:c r="C102" s="49" t="str">
        <x:v>Thane</x:v>
      </x:c>
      <x:c r="D102" s="49"/>
      <x:c r="E102" s="49" t="str">
        <x:v>Not centrally verified</x:v>
      </x:c>
      <x:c r="F102" s="49" t="str">
        <x:v>Not scored because official domain was not centrally verified</x:v>
      </x:c>
    </x:row>
    <x:row r="103">
      <x:c r="A103" s="63" t="n">
        <x:v>3220</x:v>
      </x:c>
      <x:c r="B103" s="49" t="str">
        <x:v>Yadavrao Tasgaonkar College of Engineering &amp; Management</x:v>
      </x:c>
      <x:c r="C103" s="49" t="str">
        <x:v>Raigad</x:v>
      </x:c>
      <x:c r="D103" s="49"/>
      <x:c r="E103" s="49" t="str">
        <x:v>Not centrally verified</x:v>
      </x:c>
      <x:c r="F103" s="49" t="str">
        <x:v>Not scored because official domain was not centrally verified</x:v>
      </x:c>
    </x:row>
    <x:row r="104">
      <x:c r="A104" s="63" t="n">
        <x:v>3221</x:v>
      </x:c>
      <x:c r="B104" s="49" t="str">
        <x:v>Vishnu Waman Thakur Charitable Trust's VIVA Institute of Technology, Virar</x:v>
      </x:c>
      <x:c r="C104" s="49" t="str">
        <x:v>Palghar</x:v>
      </x:c>
      <x:c r="D104" s="49"/>
      <x:c r="E104" s="49" t="str">
        <x:v>Not centrally verified</x:v>
      </x:c>
      <x:c r="F104" s="49" t="str">
        <x:v>Not scored because official domain was not centrally verified</x:v>
      </x:c>
    </x:row>
    <x:row r="105">
      <x:c r="A105" s="63" t="n">
        <x:v>3222</x:v>
      </x:c>
      <x:c r="B105" s="49" t="str">
        <x:v>Haji Jamaluddin Thim Trust's Theem College of Engineering, At. Villege Betegaon, Boisar</x:v>
      </x:c>
      <x:c r="C105" s="49" t="str">
        <x:v>Palghar</x:v>
      </x:c>
      <x:c r="D105" s="49"/>
      <x:c r="E105" s="49" t="str">
        <x:v>Not centrally verified</x:v>
      </x:c>
      <x:c r="F105" s="49" t="str">
        <x:v>Not scored because official domain was not centrally verified</x:v>
      </x:c>
    </x:row>
    <x:row r="106">
      <x:c r="A106" s="63" t="n">
        <x:v>3223</x:v>
      </x:c>
      <x:c r="B106" s="49" t="str">
        <x:v>Mahatma Education Society's Pillai HOC College of Engineering &amp; Technology, Tal. Khalapur. Dist. Raigad</x:v>
      </x:c>
      <x:c r="C106" s="49" t="str">
        <x:v>Raigad</x:v>
      </x:c>
      <x:c r="D106" s="49"/>
      <x:c r="E106" s="49" t="str">
        <x:v>Not centrally verified</x:v>
      </x:c>
      <x:c r="F106" s="49" t="str">
        <x:v>Not scored because official domain was not centrally verified</x:v>
      </x:c>
    </x:row>
    <x:row r="107">
      <x:c r="A107" s="63" t="n">
        <x:v>3224</x:v>
      </x:c>
      <x:c r="B107" s="49" t="str">
        <x:v>Leela Education Society, G.V. Acharya Institute of Engineering and Technology, Shelu, Karjat</x:v>
      </x:c>
      <x:c r="C107" s="49" t="str">
        <x:v>Raigad</x:v>
      </x:c>
      <x:c r="D107" s="49"/>
      <x:c r="E107" s="49" t="str">
        <x:v>Not centrally verified</x:v>
      </x:c>
      <x:c r="F107" s="49" t="str">
        <x:v>Not scored because official domain was not centrally verified</x:v>
      </x:c>
    </x:row>
    <x:row r="108">
      <x:c r="A108" s="63" t="n">
        <x:v>3257</x:v>
      </x:c>
      <x:c r="B108" s="49" t="str">
        <x:v>Vidya Prasarak Mandal's College of Engineering, Thane</x:v>
      </x:c>
      <x:c r="C108" s="49" t="str">
        <x:v>Thane</x:v>
      </x:c>
      <x:c r="D108" s="49"/>
      <x:c r="E108" s="49" t="str">
        <x:v>Not centrally verified</x:v>
      </x:c>
      <x:c r="F108" s="49" t="str">
        <x:v>Not scored because official domain was not centrally verified</x:v>
      </x:c>
    </x:row>
    <x:row r="109">
      <x:c r="A109" s="63" t="n">
        <x:v>3277</x:v>
      </x:c>
      <x:c r="B109" s="49" t="str">
        <x:v>Pravin Rohidas Patil College of Engineering &amp; Technology</x:v>
      </x:c>
      <x:c r="C109" s="49" t="str">
        <x:v>Thane</x:v>
      </x:c>
      <x:c r="D109" s="49"/>
      <x:c r="E109" s="49" t="str">
        <x:v>Not centrally verified</x:v>
      </x:c>
      <x:c r="F109" s="49" t="str">
        <x:v>Not scored because official domain was not centrally verified</x:v>
      </x:c>
    </x:row>
    <x:row r="110">
      <x:c r="A110" s="63" t="n">
        <x:v>3351</x:v>
      </x:c>
      <x:c r="B110" s="49" t="str">
        <x:v>Bharat College of Engineering, Kanhor, Badlapur(W)</x:v>
      </x:c>
      <x:c r="C110" s="49" t="str">
        <x:v>Thane</x:v>
      </x:c>
      <x:c r="D110" s="49"/>
      <x:c r="E110" s="49" t="str">
        <x:v>Not centrally verified</x:v>
      </x:c>
      <x:c r="F110" s="49" t="str">
        <x:v>Not scored because official domain was not centrally verified</x:v>
      </x:c>
    </x:row>
    <x:row r="111">
      <x:c r="A111" s="63" t="n">
        <x:v>3353</x:v>
      </x:c>
      <x:c r="B111" s="49" t="str">
        <x:v>Dilkap Research Institute Of Engineering and Management Studies, At.Mamdapur, Post- Neral, Tal- Karjat, Mumbai</x:v>
      </x:c>
      <x:c r="C111" s="49" t="str">
        <x:v>Raigad</x:v>
      </x:c>
      <x:c r="D111" s="49"/>
      <x:c r="E111" s="49" t="str">
        <x:v>Not centrally verified</x:v>
      </x:c>
      <x:c r="F111" s="49" t="str">
        <x:v>Not scored because official domain was not centrally verified</x:v>
      </x:c>
    </x:row>
    <x:row r="112">
      <x:c r="A112" s="63" t="n">
        <x:v>3423</x:v>
      </x:c>
      <x:c r="B112" s="49" t="str">
        <x:v>Shree L.R. Tiwari College of Engineering, Mira Road, Mumbai</x:v>
      </x:c>
      <x:c r="C112" s="49" t="str">
        <x:v>Thane</x:v>
      </x:c>
      <x:c r="D112" s="49"/>
      <x:c r="E112" s="49" t="str">
        <x:v>Not centrally verified</x:v>
      </x:c>
      <x:c r="F112" s="49" t="str">
        <x:v>Not scored because official domain was not centrally verified</x:v>
      </x:c>
    </x:row>
    <x:row r="113">
      <x:c r="A113" s="63" t="n">
        <x:v>3436</x:v>
      </x:c>
      <x:c r="B113" s="49" t="str">
        <x:v>B.R. Harne College of Engineering &amp; Technology, Karav, Tal-Ambernath.</x:v>
      </x:c>
      <x:c r="C113" s="49" t="str">
        <x:v>Thane</x:v>
      </x:c>
      <x:c r="D113" s="49"/>
      <x:c r="E113" s="49" t="str">
        <x:v>Not centrally verified</x:v>
      </x:c>
      <x:c r="F113" s="49" t="str">
        <x:v>Not scored because official domain was not centrally verified</x:v>
      </x:c>
    </x:row>
    <x:row r="114">
      <x:c r="A114" s="63" t="n">
        <x:v>3439</x:v>
      </x:c>
      <x:c r="B114" s="49" t="str">
        <x:v>Anjuman-I-Islam's Kalsekar Technical Campus, Panvel</x:v>
      </x:c>
      <x:c r="C114" s="49" t="str">
        <x:v>Raigad</x:v>
      </x:c>
      <x:c r="D114" s="49"/>
      <x:c r="E114" s="49" t="str">
        <x:v>Not centrally verified</x:v>
      </x:c>
      <x:c r="F114" s="49" t="str">
        <x:v>Not scored because official domain was not centrally verified</x:v>
      </x:c>
    </x:row>
    <x:row r="115">
      <x:c r="A115" s="63" t="n">
        <x:v>3440</x:v>
      </x:c>
      <x:c r="B115" s="49" t="str">
        <x:v>Metropolitan Institute of Technology &amp; Management, Sukhalwad, Sindhudurg.</x:v>
      </x:c>
      <x:c r="C115" s="49" t="str">
        <x:v>Sindhudurg</x:v>
      </x:c>
      <x:c r="D115" s="49"/>
      <x:c r="E115" s="49" t="str">
        <x:v>Not centrally verified</x:v>
      </x:c>
      <x:c r="F115" s="49" t="str">
        <x:v>Not scored because official domain was not centrally verified</x:v>
      </x:c>
    </x:row>
    <x:row r="116">
      <x:c r="A116" s="63" t="n">
        <x:v>3445</x:v>
      </x:c>
      <x:c r="B116" s="49" t="str">
        <x:v>Vishwatmak Jangli Maharaj Ashram Trust (Kokamthan), Atma Malik Institute Of Technology &amp; Research</x:v>
      </x:c>
      <x:c r="C116" s="49" t="str">
        <x:v>Thane</x:v>
      </x:c>
      <x:c r="D116" s="49"/>
      <x:c r="E116" s="49" t="str">
        <x:v>Not centrally verified</x:v>
      </x:c>
      <x:c r="F116" s="49" t="str">
        <x:v>Not scored because official domain was not centrally verified</x:v>
      </x:c>
    </x:row>
    <x:row r="117">
      <x:c r="A117" s="63" t="n">
        <x:v>3447</x:v>
      </x:c>
      <x:c r="B117" s="49" t="str">
        <x:v>G.M.Vedak Institute of Technology, Tala, Raigad.</x:v>
      </x:c>
      <x:c r="C117" s="49" t="str">
        <x:v>Raigad</x:v>
      </x:c>
      <x:c r="D117" s="49"/>
      <x:c r="E117" s="49" t="str">
        <x:v>Not centrally verified</x:v>
      </x:c>
      <x:c r="F117" s="49" t="str">
        <x:v>Not scored because official domain was not centrally verified</x:v>
      </x:c>
    </x:row>
    <x:row r="118">
      <x:c r="A118" s="63" t="n">
        <x:v>3460</x:v>
      </x:c>
      <x:c r="B118" s="49" t="str">
        <x:v>Universal College of Engineering,Kaman Dist. Palghar</x:v>
      </x:c>
      <x:c r="C118" s="49"/>
      <x:c r="D118" s="49"/>
      <x:c r="E118" s="49" t="str">
        <x:v>Not centrally verified</x:v>
      </x:c>
      <x:c r="F118" s="49" t="str">
        <x:v>Not scored because official domain was not centrally verified</x:v>
      </x:c>
    </x:row>
    <x:row r="119">
      <x:c r="A119" s="63" t="n">
        <x:v>3462</x:v>
      </x:c>
      <x:c r="B119" s="49" t="str">
        <x:v>VPM's Maharshi Parshuram College of Engineering, Velneshwar, Ratnagiri.</x:v>
      </x:c>
      <x:c r="C119" s="49" t="str">
        <x:v>Ratnagiri</x:v>
      </x:c>
      <x:c r="D119" s="49"/>
      <x:c r="E119" s="49" t="str">
        <x:v>Not centrally verified</x:v>
      </x:c>
      <x:c r="F119" s="49" t="str">
        <x:v>Not scored because official domain was not centrally verified</x:v>
      </x:c>
    </x:row>
    <x:row r="120">
      <x:c r="A120" s="63" t="n">
        <x:v>3465</x:v>
      </x:c>
      <x:c r="B120" s="49" t="str">
        <x:v>Ideal Institute of Technology, Wada, Dist.Thane</x:v>
      </x:c>
      <x:c r="C120" s="49" t="str">
        <x:v>Palghar</x:v>
      </x:c>
      <x:c r="D120" s="49"/>
      <x:c r="E120" s="49" t="str">
        <x:v>Not centrally verified</x:v>
      </x:c>
      <x:c r="F120" s="49" t="str">
        <x:v>Not scored because official domain was not centrally verified</x:v>
      </x:c>
    </x:row>
    <x:row r="121">
      <x:c r="A121" s="63" t="n">
        <x:v>3467</x:v>
      </x:c>
      <x:c r="B121" s="49" t="str">
        <x:v>Vishwaniketan's Institute of Management Entrepreneurship and Engineering Technology(i MEET), Khalapur Dist Raigad</x:v>
      </x:c>
      <x:c r="C121" s="49" t="str">
        <x:v>Raigad</x:v>
      </x:c>
      <x:c r="D121" s="49"/>
      <x:c r="E121" s="49" t="str">
        <x:v>Not centrally verified</x:v>
      </x:c>
      <x:c r="F121" s="49" t="str">
        <x:v>Not scored because official domain was not centrally verified</x:v>
      </x:c>
    </x:row>
    <x:row r="122">
      <x:c r="A122" s="63" t="n">
        <x:v>3470</x:v>
      </x:c>
      <x:c r="B122" s="49" t="str">
        <x:v>YASHWANTRAO BHONSALE INSTITUTE OF TECHNOLOGY</x:v>
      </x:c>
      <x:c r="C122" s="49" t="str">
        <x:v>Sindhudurg</x:v>
      </x:c>
      <x:c r="D122" s="49"/>
      <x:c r="E122" s="49" t="str">
        <x:v>Not centrally verified</x:v>
      </x:c>
      <x:c r="F122" s="49" t="str">
        <x:v>Not scored because official domain was not centrally verified</x:v>
      </x:c>
    </x:row>
    <x:row r="123">
      <x:c r="A123" s="63" t="n">
        <x:v>3471</x:v>
      </x:c>
      <x:c r="B123" s="49" t="str">
        <x:v>New Horizon Institute of Technology &amp; Management, Thane</x:v>
      </x:c>
      <x:c r="C123" s="49" t="str">
        <x:v>Thane</x:v>
      </x:c>
      <x:c r="D123" s="49"/>
      <x:c r="E123" s="49" t="str">
        <x:v>Not centrally verified</x:v>
      </x:c>
      <x:c r="F123" s="49" t="str">
        <x:v>Not scored because official domain was not centrally verified</x:v>
      </x:c>
    </x:row>
    <x:row r="124">
      <x:c r="A124" s="63" t="n">
        <x:v>3475</x:v>
      </x:c>
      <x:c r="B124" s="49" t="str">
        <x:v>A. P. Shah Institute of Technology, Thane</x:v>
      </x:c>
      <x:c r="C124" s="49" t="str">
        <x:v>Thane</x:v>
      </x:c>
      <x:c r="D124" s="49"/>
      <x:c r="E124" s="49" t="str">
        <x:v>Not centrally verified</x:v>
      </x:c>
      <x:c r="F124" s="49" t="str">
        <x:v>Not scored because official domain was not centrally verified</x:v>
      </x:c>
    </x:row>
    <x:row r="125">
      <x:c r="A125" s="63" t="n">
        <x:v>3477</x:v>
      </x:c>
      <x:c r="B125" s="49" t="str">
        <x:v>Chhartrapati Shivaji Maharaj Institute of Technology, Shedung, Panvel</x:v>
      </x:c>
      <x:c r="C125" s="49" t="str">
        <x:v>Raigad</x:v>
      </x:c>
      <x:c r="D125" s="49"/>
      <x:c r="E125" s="49" t="str">
        <x:v>Not centrally verified</x:v>
      </x:c>
      <x:c r="F125" s="49" t="str">
        <x:v>Not scored because official domain was not centrally verified</x:v>
      </x:c>
    </x:row>
    <x:row r="126">
      <x:c r="A126" s="63" t="n">
        <x:v>3503</x:v>
      </x:c>
      <x:c r="B126" s="49" t="str">
        <x:v>Indala College Of Engineering, Bapsai Tal.Kalyan</x:v>
      </x:c>
      <x:c r="C126" s="49" t="str">
        <x:v>Thane</x:v>
      </x:c>
      <x:c r="D126" s="49"/>
      <x:c r="E126" s="49" t="str">
        <x:v>Not centrally verified</x:v>
      </x:c>
      <x:c r="F126" s="49" t="str">
        <x:v>Not scored because official domain was not centrally verified</x:v>
      </x:c>
    </x:row>
    <x:row r="127">
      <x:c r="A127" s="63" t="n">
        <x:v>3546</x:v>
      </x:c>
      <x:c r="B127" s="49" t="str">
        <x:v>Devi Mahalaxmi College of Engineering and Technology</x:v>
      </x:c>
      <x:c r="C127" s="49" t="str">
        <x:v>Thane</x:v>
      </x:c>
      <x:c r="D127" s="49"/>
      <x:c r="E127" s="49" t="str">
        <x:v>Not centrally verified</x:v>
      </x:c>
      <x:c r="F127" s="49" t="str">
        <x:v>Not scored because official domain was not centrally verified</x:v>
      </x:c>
    </x:row>
    <x:row r="128">
      <x:c r="A128" s="63" t="n">
        <x:v>4004</x:v>
      </x:c>
      <x:c r="B128" s="49" t="str">
        <x:v>Government College of Engineering, Chandrapur</x:v>
      </x:c>
      <x:c r="C128" s="49" t="str">
        <x:v>Chandrapur</x:v>
      </x:c>
      <x:c r="D128" s="49"/>
      <x:c r="E128" s="49" t="str">
        <x:v>Not centrally verified</x:v>
      </x:c>
      <x:c r="F128" s="49" t="str">
        <x:v>Not scored because official domain was not centrally verified</x:v>
      </x:c>
    </x:row>
    <x:row r="129">
      <x:c r="A129" s="63" t="n">
        <x:v>4005</x:v>
      </x:c>
      <x:c r="B129" s="49" t="str">
        <x:v>Laxminarayan Institute of Technology, Nagpur</x:v>
      </x:c>
      <x:c r="C129" s="49"/>
      <x:c r="D129" s="49"/>
      <x:c r="E129" s="49" t="str">
        <x:v>Not centrally verified</x:v>
      </x:c>
      <x:c r="F129" s="49" t="str">
        <x:v>Not scored because official domain was not centrally verified</x:v>
      </x:c>
    </x:row>
    <x:row r="130">
      <x:c r="A130" s="63" t="n">
        <x:v>4025</x:v>
      </x:c>
      <x:c r="B130" s="49" t="str">
        <x:v>Government College of Engineering, Nagpur</x:v>
      </x:c>
      <x:c r="C130" s="49" t="str">
        <x:v>Nagpur</x:v>
      </x:c>
      <x:c r="D130" s="49"/>
      <x:c r="E130" s="49" t="str">
        <x:v>Not centrally verified</x:v>
      </x:c>
      <x:c r="F130" s="49" t="str">
        <x:v>Not scored because official domain was not centrally verified</x:v>
      </x:c>
    </x:row>
    <x:row r="131">
      <x:c r="A131" s="63" t="n">
        <x:v>4104</x:v>
      </x:c>
      <x:c r="B131" s="49" t="str">
        <x:v>Kavi Kulguru Institute of Technology &amp; Science, Ramtek</x:v>
      </x:c>
      <x:c r="C131" s="49" t="str">
        <x:v>Nagpur</x:v>
      </x:c>
      <x:c r="D131" s="49"/>
      <x:c r="E131" s="49" t="str">
        <x:v>Not centrally verified</x:v>
      </x:c>
      <x:c r="F131" s="49" t="str">
        <x:v>Not scored because official domain was not centrally verified</x:v>
      </x:c>
    </x:row>
    <x:row r="132">
      <x:c r="A132" s="63" t="n">
        <x:v>4115</x:v>
      </x:c>
      <x:c r="B132" s="49" t="str">
        <x:v>Shri Ramdeobaba College of Engineering and Management, Nagpur</x:v>
      </x:c>
      <x:c r="C132" s="49"/>
      <x:c r="D132" s="49" t="str">
        <x:v>https://rbunagpur.in/</x:v>
      </x:c>
      <x:c r="E132" s="49" t="str">
        <x:v>Verified official domain</x:v>
      </x:c>
      <x:c r="F132" s="49" t="str">
        <x:v>Official domain verified; page-by-page completeness not scored</x:v>
      </x:c>
    </x:row>
    <x:row r="133">
      <x:c r="A133" s="63" t="n">
        <x:v>4116</x:v>
      </x:c>
      <x:c r="B133" s="49" t="str">
        <x:v>Ankush Shikshan Sanstha's G.H.Raisoni College of Engineering, Nagpur</x:v>
      </x:c>
      <x:c r="C133" s="49" t="str">
        <x:v>Nagpur</x:v>
      </x:c>
      <x:c r="D133" s="49" t="str">
        <x:v>https://ghrce.raisoni.net/</x:v>
      </x:c>
      <x:c r="E133" s="49" t="str">
        <x:v>Verified official domain</x:v>
      </x:c>
      <x:c r="F133" s="49" t="str">
        <x:v>Official domain verified; page-by-page completeness not scored</x:v>
      </x:c>
    </x:row>
    <x:row r="134">
      <x:c r="A134" s="63" t="n">
        <x:v>4118</x:v>
      </x:c>
      <x:c r="B134" s="49" t="str">
        <x:v>Bapurao Deshmukh College of Engineering, Sevagram</x:v>
      </x:c>
      <x:c r="C134" s="49" t="str">
        <x:v>Wardha</x:v>
      </x:c>
      <x:c r="D134" s="49"/>
      <x:c r="E134" s="49" t="str">
        <x:v>Not centrally verified</x:v>
      </x:c>
      <x:c r="F134" s="49" t="str">
        <x:v>Not scored because official domain was not centrally verified</x:v>
      </x:c>
    </x:row>
    <x:row r="135">
      <x:c r="A135" s="63" t="n">
        <x:v>4123</x:v>
      </x:c>
      <x:c r="B135" s="49" t="str">
        <x:v>Lokmanya Tilak Jankalyan Shikshan Sanstha, Priyadarshani College of Engineering, Nagpur</x:v>
      </x:c>
      <x:c r="C135" s="49" t="str">
        <x:v>Nagpur</x:v>
      </x:c>
      <x:c r="D135" s="49"/>
      <x:c r="E135" s="49" t="str">
        <x:v>Not centrally verified</x:v>
      </x:c>
      <x:c r="F135" s="49" t="str">
        <x:v>Not scored because official domain was not centrally verified</x:v>
      </x:c>
    </x:row>
    <x:row r="136">
      <x:c r="A136" s="63" t="n">
        <x:v>4133</x:v>
      </x:c>
      <x:c r="B136" s="49" t="str">
        <x:v>Sanmarg Shikshan Sanstha's Smt. Radhikatai Pandav College of Engineering, Nagpur</x:v>
      </x:c>
      <x:c r="C136" s="49" t="str">
        <x:v>Nagpur</x:v>
      </x:c>
      <x:c r="D136" s="49"/>
      <x:c r="E136" s="49" t="str">
        <x:v>Not centrally verified</x:v>
      </x:c>
      <x:c r="F136" s="49" t="str">
        <x:v>Not scored because official domain was not centrally verified</x:v>
      </x:c>
    </x:row>
    <x:row r="137">
      <x:c r="A137" s="63" t="n">
        <x:v>4134</x:v>
      </x:c>
      <x:c r="B137" s="49" t="str">
        <x:v>Guru Nanak Institute of Engineering &amp; Technology,Kalmeshwar, Nagpur</x:v>
      </x:c>
      <x:c r="C137" s="49" t="str">
        <x:v>Nagpur</x:v>
      </x:c>
      <x:c r="D137" s="49"/>
      <x:c r="E137" s="49" t="str">
        <x:v>Not centrally verified</x:v>
      </x:c>
      <x:c r="F137" s="49" t="str">
        <x:v>Not scored because official domain was not centrally verified</x:v>
      </x:c>
    </x:row>
    <x:row r="138">
      <x:c r="A138" s="63" t="n">
        <x:v>4135</x:v>
      </x:c>
      <x:c r="B138" s="49" t="str">
        <x:v>Amar Seva Mandal's Shree Govindrao Vanjari College of Engineering &amp; Technology, Nagpur</x:v>
      </x:c>
      <x:c r="C138" s="49" t="str">
        <x:v>Nagpur</x:v>
      </x:c>
      <x:c r="D138" s="49"/>
      <x:c r="E138" s="49" t="str">
        <x:v>Not centrally verified</x:v>
      </x:c>
      <x:c r="F138" s="49" t="str">
        <x:v>Not scored because official domain was not centrally verified</x:v>
      </x:c>
    </x:row>
    <x:row r="139">
      <x:c r="A139" s="63" t="n">
        <x:v>4136</x:v>
      </x:c>
      <x:c r="B139" s="49" t="str">
        <x:v>Lokmanya Tilak Jankalyan Shikshan Sastha, Priyadarshini J. L. College Of Engineering, Nagpur</x:v>
      </x:c>
      <x:c r="C139" s="49" t="str">
        <x:v>Nagpur</x:v>
      </x:c>
      <x:c r="D139" s="49"/>
      <x:c r="E139" s="49" t="str">
        <x:v>Not centrally verified</x:v>
      </x:c>
      <x:c r="F139" s="49" t="str">
        <x:v>Not scored because official domain was not centrally verified</x:v>
      </x:c>
    </x:row>
    <x:row r="140">
      <x:c r="A140" s="63" t="n">
        <x:v>4137</x:v>
      </x:c>
      <x:c r="B140" s="49" t="str">
        <x:v>Sir Shantilal Badjate Charitable Trust's S. B. Jain Institute of technology, Management &amp; Research, Nagpur</x:v>
      </x:c>
      <x:c r="C140" s="49" t="str">
        <x:v>Nagpur</x:v>
      </x:c>
      <x:c r="D140" s="49"/>
      <x:c r="E140" s="49" t="str">
        <x:v>Not centrally verified</x:v>
      </x:c>
      <x:c r="F140" s="49" t="str">
        <x:v>Not scored because official domain was not centrally verified</x:v>
      </x:c>
    </x:row>
    <x:row r="141">
      <x:c r="A141" s="63" t="n">
        <x:v>4138</x:v>
      </x:c>
      <x:c r="B141" s="49" t="str">
        <x:v>Jaidev Education Society, J D College of Engineering and Management, Nagpur</x:v>
      </x:c>
      <x:c r="C141" s="49" t="str">
        <x:v>Nagpur</x:v>
      </x:c>
      <x:c r="D141" s="49"/>
      <x:c r="E141" s="49" t="str">
        <x:v>Not centrally verified</x:v>
      </x:c>
      <x:c r="F141" s="49" t="str">
        <x:v>Not scored because official domain was not centrally verified</x:v>
      </x:c>
    </x:row>
    <x:row r="142">
      <x:c r="A142" s="63" t="n">
        <x:v>4139</x:v>
      </x:c>
      <x:c r="B142" s="49" t="str">
        <x:v>Samridhi Sarwajanik Charitable Trust, Jhulelal Institute of Technology, Nagpur</x:v>
      </x:c>
      <x:c r="C142" s="49" t="str">
        <x:v>Nagpur</x:v>
      </x:c>
      <x:c r="D142" s="49"/>
      <x:c r="E142" s="49" t="str">
        <x:v>Not centrally verified</x:v>
      </x:c>
      <x:c r="F142" s="49" t="str">
        <x:v>Not scored because official domain was not centrally verified</x:v>
      </x:c>
    </x:row>
    <x:row r="143">
      <x:c r="A143" s="63" t="n">
        <x:v>4141</x:v>
      </x:c>
      <x:c r="B143" s="49" t="str">
        <x:v>Shriram Gram Vikas Shikshan Sanstha, Vilasrao Deshmukh College of Engineering and Technology, Nagpur</x:v>
      </x:c>
      <x:c r="C143" s="49" t="str">
        <x:v>Nagpur</x:v>
      </x:c>
      <x:c r="D143" s="49"/>
      <x:c r="E143" s="49" t="str">
        <x:v>Not centrally verified</x:v>
      </x:c>
      <x:c r="F143" s="49" t="str">
        <x:v>Not scored because official domain was not centrally verified</x:v>
      </x:c>
    </x:row>
    <x:row r="144">
      <x:c r="A144" s="63" t="n">
        <x:v>4142</x:v>
      </x:c>
      <x:c r="B144" s="49" t="str">
        <x:v>G H Raisoni College of Engineering &amp; Management, Nagpur</x:v>
      </x:c>
      <x:c r="C144" s="49" t="str">
        <x:v>Nagpur</x:v>
      </x:c>
      <x:c r="D144" s="49"/>
      <x:c r="E144" s="49" t="str">
        <x:v>Not centrally verified</x:v>
      </x:c>
      <x:c r="F144" s="49" t="str">
        <x:v>Not scored because official domain was not centrally verified</x:v>
      </x:c>
    </x:row>
    <x:row r="145">
      <x:c r="A145" s="63" t="n">
        <x:v>4143</x:v>
      </x:c>
      <x:c r="B145" s="49" t="str">
        <x:v>Sanmarg Shikshan Sanstha, Mandukarrao Pandav College of Engineering, Bhandara</x:v>
      </x:c>
      <x:c r="C145" s="49" t="str">
        <x:v>Bhandara</x:v>
      </x:c>
      <x:c r="D145" s="49"/>
      <x:c r="E145" s="49" t="str">
        <x:v>Not centrally verified</x:v>
      </x:c>
      <x:c r="F145" s="49" t="str">
        <x:v>Not scored because official domain was not centrally verified</x:v>
      </x:c>
    </x:row>
    <x:row r="146">
      <x:c r="A146" s="63" t="n">
        <x:v>4144</x:v>
      </x:c>
      <x:c r="B146" s="49" t="str">
        <x:v>Shri. Sai Shikshan Sanstha, Nagpur Institute of Technology, Nagpur</x:v>
      </x:c>
      <x:c r="C146" s="49" t="str">
        <x:v>Nagpur</x:v>
      </x:c>
      <x:c r="D146" s="49"/>
      <x:c r="E146" s="49" t="str">
        <x:v>Not centrally verified</x:v>
      </x:c>
      <x:c r="F146" s="49" t="str">
        <x:v>Not scored because official domain was not centrally verified</x:v>
      </x:c>
    </x:row>
    <x:row r="147">
      <x:c r="A147" s="63" t="n">
        <x:v>4145</x:v>
      </x:c>
      <x:c r="B147" s="49" t="str">
        <x:v>Wainganga College of Engineering and Management, Dongargaon, Nagpur</x:v>
      </x:c>
      <x:c r="C147" s="49" t="str">
        <x:v>Nagpur</x:v>
      </x:c>
      <x:c r="D147" s="49"/>
      <x:c r="E147" s="49" t="str">
        <x:v>Not centrally verified</x:v>
      </x:c>
      <x:c r="F147" s="49" t="str">
        <x:v>Not scored because official domain was not centrally verified</x:v>
      </x:c>
    </x:row>
    <x:row r="148">
      <x:c r="A148" s="63" t="n">
        <x:v>4147</x:v>
      </x:c>
      <x:c r="B148" s="49" t="str">
        <x:v>K.D.K. College of Engineering, Nagpur</x:v>
      </x:c>
      <x:c r="C148" s="49" t="str">
        <x:v>Nagpur</x:v>
      </x:c>
      <x:c r="D148" s="49"/>
      <x:c r="E148" s="49" t="str">
        <x:v>Not centrally verified</x:v>
      </x:c>
      <x:c r="F148" s="49" t="str">
        <x:v>Not scored because official domain was not centrally verified</x:v>
      </x:c>
    </x:row>
    <x:row r="149">
      <x:c r="A149" s="63" t="n">
        <x:v>4151</x:v>
      </x:c>
      <x:c r="B149" s="49" t="str">
        <x:v>Tulsiramji Gaikwad Patil College of Engineering &amp; Technology, Nagpur</x:v>
      </x:c>
      <x:c r="C149" s="49" t="str">
        <x:v>Nagpur</x:v>
      </x:c>
      <x:c r="D149" s="49"/>
      <x:c r="E149" s="49" t="str">
        <x:v>Not centrally verified</x:v>
      </x:c>
      <x:c r="F149" s="49" t="str">
        <x:v>Not scored because official domain was not centrally verified</x:v>
      </x:c>
    </x:row>
    <x:row r="150">
      <x:c r="A150" s="63" t="n">
        <x:v>4163</x:v>
      </x:c>
      <x:c r="B150" s="49" t="str">
        <x:v>Rajiv Gandhi College of Engineering Research &amp; Technology Chandrapur</x:v>
      </x:c>
      <x:c r="C150" s="49" t="str">
        <x:v>Chandrapur</x:v>
      </x:c>
      <x:c r="D150" s="49"/>
      <x:c r="E150" s="49" t="str">
        <x:v>Not centrally verified</x:v>
      </x:c>
      <x:c r="F150" s="49" t="str">
        <x:v>Not scored because official domain was not centrally verified</x:v>
      </x:c>
    </x:row>
    <x:row r="151">
      <x:c r="A151" s="63" t="n">
        <x:v>4167</x:v>
      </x:c>
      <x:c r="B151" s="49" t="str">
        <x:v>Yeshwantrao Chavan College of Engineering,Wanadongri, Nagpur</x:v>
      </x:c>
      <x:c r="C151" s="49" t="str">
        <x:v>Nagpur</x:v>
      </x:c>
      <x:c r="D151" s="49" t="str">
        <x:v>https://ycce.edu/</x:v>
      </x:c>
      <x:c r="E151" s="49" t="str">
        <x:v>Verified official domain</x:v>
      </x:c>
      <x:c r="F151" s="49" t="str">
        <x:v>Official domain verified; page-by-page completeness not scored</x:v>
      </x:c>
    </x:row>
    <x:row r="152">
      <x:c r="A152" s="63" t="n">
        <x:v>4172</x:v>
      </x:c>
      <x:c r="B152" s="49" t="str">
        <x:v>Anjuman College of Engineering &amp; Technology, Nagpur</x:v>
      </x:c>
      <x:c r="C152" s="49" t="str">
        <x:v>Nagpur</x:v>
      </x:c>
      <x:c r="D152" s="49"/>
      <x:c r="E152" s="49" t="str">
        <x:v>Not centrally verified</x:v>
      </x:c>
      <x:c r="F152" s="49" t="str">
        <x:v>Not scored because official domain was not centrally verified</x:v>
      </x:c>
    </x:row>
    <x:row r="153">
      <x:c r="A153" s="63" t="n">
        <x:v>4174</x:v>
      </x:c>
      <x:c r="B153" s="49" t="str">
        <x:v>ST. Vincent Pallotti College of Engineering &amp; Technology, Nagpur</x:v>
      </x:c>
      <x:c r="C153" s="49" t="str">
        <x:v>Nagpur</x:v>
      </x:c>
      <x:c r="D153" s="49"/>
      <x:c r="E153" s="49" t="str">
        <x:v>Not centrally verified</x:v>
      </x:c>
      <x:c r="F153" s="49" t="str">
        <x:v>Not scored because official domain was not centrally verified</x:v>
      </x:c>
    </x:row>
    <x:row r="154">
      <x:c r="A154" s="63" t="n">
        <x:v>4175</x:v>
      </x:c>
      <x:c r="B154" s="49" t="str">
        <x:v>JMSS Shri Shankarprasad Agnihotri College of Engineering, Wardha</x:v>
      </x:c>
      <x:c r="C154" s="49" t="str">
        <x:v>Wardha</x:v>
      </x:c>
      <x:c r="D154" s="49"/>
      <x:c r="E154" s="49" t="str">
        <x:v>Not centrally verified</x:v>
      </x:c>
      <x:c r="F154" s="49" t="str">
        <x:v>Not scored because official domain was not centrally verified</x:v>
      </x:c>
    </x:row>
    <x:row r="155">
      <x:c r="A155" s="63" t="n">
        <x:v>4177</x:v>
      </x:c>
      <x:c r="B155" s="49" t="str">
        <x:v>Priyadarshini Bhagwati College of Engineering, Harpur Nagar, Umred Road,Nagpur</x:v>
      </x:c>
      <x:c r="C155" s="49" t="str">
        <x:v>Nagpur</x:v>
      </x:c>
      <x:c r="D155" s="49"/>
      <x:c r="E155" s="49" t="str">
        <x:v>Not centrally verified</x:v>
      </x:c>
      <x:c r="F155" s="49" t="str">
        <x:v>Not scored because official domain was not centrally verified</x:v>
      </x:c>
    </x:row>
    <x:row r="156">
      <x:c r="A156" s="63" t="n">
        <x:v>4181</x:v>
      </x:c>
      <x:c r="B156" s="49" t="str">
        <x:v>Swaminarayan Siddhanta Institute Of Technology, Nagpur</x:v>
      </x:c>
      <x:c r="C156" s="49" t="str">
        <x:v>Nagpur</x:v>
      </x:c>
      <x:c r="D156" s="49"/>
      <x:c r="E156" s="49" t="str">
        <x:v>Not centrally verified</x:v>
      </x:c>
      <x:c r="F156" s="49" t="str">
        <x:v>Not scored because official domain was not centrally verified</x:v>
      </x:c>
    </x:row>
    <x:row r="157">
      <x:c r="A157" s="63" t="n">
        <x:v>4188</x:v>
      </x:c>
      <x:c r="B157" s="49" t="str">
        <x:v>Krushi Jivan Vikas Pratishthan, Ballarpur Institute of Technology, Mouza Bamni</x:v>
      </x:c>
      <x:c r="C157" s="49" t="str">
        <x:v>Chandrapur</x:v>
      </x:c>
      <x:c r="D157" s="49"/>
      <x:c r="E157" s="49" t="str">
        <x:v>Not centrally verified</x:v>
      </x:c>
      <x:c r="F157" s="49" t="str">
        <x:v>Not scored because official domain was not centrally verified</x:v>
      </x:c>
    </x:row>
    <x:row r="158">
      <x:c r="A158" s="63" t="n">
        <x:v>4190</x:v>
      </x:c>
      <x:c r="B158" s="49" t="str">
        <x:v>M.D. Yergude Memorial Shikshan Prasarak Mandal's Shri Sai College of Engineering &amp; Technology, Bhadrawati</x:v>
      </x:c>
      <x:c r="C158" s="49" t="str">
        <x:v>Chandrapur</x:v>
      </x:c>
      <x:c r="D158" s="49"/>
      <x:c r="E158" s="49" t="str">
        <x:v>Not centrally verified</x:v>
      </x:c>
      <x:c r="F158" s="49" t="str">
        <x:v>Not scored because official domain was not centrally verified</x:v>
      </x:c>
    </x:row>
    <x:row r="159">
      <x:c r="A159" s="63" t="n">
        <x:v>4192</x:v>
      </x:c>
      <x:c r="B159" s="49" t="str">
        <x:v>Maitraya Education Society, Nagarjuna Institute of Engineering Technology &amp; Management, Nagpur</x:v>
      </x:c>
      <x:c r="C159" s="49" t="str">
        <x:v>Nagpur</x:v>
      </x:c>
      <x:c r="D159" s="49"/>
      <x:c r="E159" s="49" t="str">
        <x:v>Not centrally verified</x:v>
      </x:c>
      <x:c r="F159" s="49" t="str">
        <x:v>Not scored because official domain was not centrally verified</x:v>
      </x:c>
    </x:row>
    <x:row r="160">
      <x:c r="A160" s="63" t="n">
        <x:v>4193</x:v>
      </x:c>
      <x:c r="B160" s="49" t="str">
        <x:v>K.D.M. Education Society, Vidharbha Institute of Technology,Umred Road ,Nagpur</x:v>
      </x:c>
      <x:c r="C160" s="49" t="str">
        <x:v>Nagpur</x:v>
      </x:c>
      <x:c r="D160" s="49"/>
      <x:c r="E160" s="49" t="str">
        <x:v>Not centrally verified</x:v>
      </x:c>
      <x:c r="F160" s="49" t="str">
        <x:v>Not scored because official domain was not centrally verified</x:v>
      </x:c>
    </x:row>
    <x:row r="161">
      <x:c r="A161" s="63" t="n">
        <x:v>4196</x:v>
      </x:c>
      <x:c r="B161" s="49" t="str">
        <x:v>Gurunanak Educational Society's Gurunanak Institute of Technology, Nagpur</x:v>
      </x:c>
      <x:c r="C161" s="49" t="str">
        <x:v>Nagpur</x:v>
      </x:c>
      <x:c r="D161" s="49"/>
      <x:c r="E161" s="49" t="str">
        <x:v>Not centrally verified</x:v>
      </x:c>
      <x:c r="F161" s="49" t="str">
        <x:v>Not scored because official domain was not centrally verified</x:v>
      </x:c>
    </x:row>
    <x:row r="162">
      <x:c r="A162" s="63" t="n">
        <x:v>4197</x:v>
      </x:c>
      <x:c r="B162" s="49" t="str">
        <x:v>Jai Mahakali Shikshan Sanstha, Agnihotri College of Engineering, Sindhi(Meghe)</x:v>
      </x:c>
      <x:c r="C162" s="49" t="str">
        <x:v>Wardha</x:v>
      </x:c>
      <x:c r="D162" s="49"/>
      <x:c r="E162" s="49" t="str">
        <x:v>Not centrally verified</x:v>
      </x:c>
      <x:c r="F162" s="49" t="str">
        <x:v>Not scored because official domain was not centrally verified</x:v>
      </x:c>
    </x:row>
    <x:row r="163">
      <x:c r="A163" s="63" t="n">
        <x:v>4285</x:v>
      </x:c>
      <x:c r="B163" s="49" t="str">
        <x:v>V M Institute of Engineering and Technology, Dongargaon, Nagpur</x:v>
      </x:c>
      <x:c r="C163" s="49" t="str">
        <x:v>Nagpur</x:v>
      </x:c>
      <x:c r="D163" s="49"/>
      <x:c r="E163" s="49" t="str">
        <x:v>Not centrally verified</x:v>
      </x:c>
      <x:c r="F163" s="49" t="str">
        <x:v>Not scored because official domain was not centrally verified</x:v>
      </x:c>
    </x:row>
    <x:row r="164">
      <x:c r="A164" s="63" t="n">
        <x:v>4302</x:v>
      </x:c>
      <x:c r="B164" s="49" t="str">
        <x:v>Gondia Education Society's Manoharbhai Patel Institute Of Engineering &amp; Technology, Shahapur, Bhandara</x:v>
      </x:c>
      <x:c r="C164" s="49" t="str">
        <x:v>Bhandara</x:v>
      </x:c>
      <x:c r="D164" s="49"/>
      <x:c r="E164" s="49" t="str">
        <x:v>Not centrally verified</x:v>
      </x:c>
      <x:c r="F164" s="49" t="str">
        <x:v>Not scored because official domain was not centrally verified</x:v>
      </x:c>
    </x:row>
    <x:row r="165">
      <x:c r="A165" s="63" t="n">
        <x:v>4304</x:v>
      </x:c>
      <x:c r="B165" s="49" t="str">
        <x:v>Cummins College of Engineering For Women, Sukhali (Gupchup), Tal. Hingna Hingna Nagpur</x:v>
      </x:c>
      <x:c r="C165" s="49" t="str">
        <x:v>Nagpur</x:v>
      </x:c>
      <x:c r="D165" s="49"/>
      <x:c r="E165" s="49" t="str">
        <x:v>Not centrally verified</x:v>
      </x:c>
      <x:c r="F165" s="49" t="str">
        <x:v>Not scored because official domain was not centrally verified</x:v>
      </x:c>
    </x:row>
    <x:row r="166">
      <x:c r="A166" s="63" t="n">
        <x:v>4613</x:v>
      </x:c>
      <x:c r="B166" s="49" t="str">
        <x:v>Suryodaya College of Engineering &amp; Technology, Nagpur</x:v>
      </x:c>
      <x:c r="C166" s="49" t="str">
        <x:v>Nagpur</x:v>
      </x:c>
      <x:c r="D166" s="49"/>
      <x:c r="E166" s="49" t="str">
        <x:v>Not centrally verified</x:v>
      </x:c>
      <x:c r="F166" s="49" t="str">
        <x:v>Not scored because official domain was not centrally verified</x:v>
      </x:c>
    </x:row>
    <x:row r="167">
      <x:c r="A167" s="63" t="n">
        <x:v>4648</x:v>
      </x:c>
      <x:c r="B167" s="49" t="str">
        <x:v>R.V. Parankar College of Engineering &amp; Technology, Arvi, Dist Wardha</x:v>
      </x:c>
      <x:c r="C167" s="49" t="str">
        <x:v>Wardha</x:v>
      </x:c>
      <x:c r="D167" s="49"/>
      <x:c r="E167" s="49" t="str">
        <x:v>Not centrally verified</x:v>
      </x:c>
      <x:c r="F167" s="49" t="str">
        <x:v>Not scored because official domain was not centrally verified</x:v>
      </x:c>
    </x:row>
    <x:row r="168">
      <x:c r="A168" s="63" t="n">
        <x:v>4649</x:v>
      </x:c>
      <x:c r="B168" s="49" t="str">
        <x:v>Bajaj Institute of Technology, Wardha</x:v>
      </x:c>
      <x:c r="C168" s="49" t="str">
        <x:v>Wardha</x:v>
      </x:c>
      <x:c r="D168" s="49"/>
      <x:c r="E168" s="49" t="str">
        <x:v>Not centrally verified</x:v>
      </x:c>
      <x:c r="F168" s="49" t="str">
        <x:v>Not scored because official domain was not centrally verified</x:v>
      </x:c>
    </x:row>
    <x:row r="169">
      <x:c r="A169" s="63" t="n">
        <x:v>4679</x:v>
      </x:c>
      <x:c r="B169" s="49" t="str">
        <x:v>Karanjekar College of Engineering &amp; Management, Sakoli</x:v>
      </x:c>
      <x:c r="C169" s="49" t="str">
        <x:v>Bhandara</x:v>
      </x:c>
      <x:c r="D169" s="49"/>
      <x:c r="E169" s="49" t="str">
        <x:v>Not centrally verified</x:v>
      </x:c>
      <x:c r="F169" s="49" t="str">
        <x:v>Not scored because official domain was not centrally verified</x:v>
      </x:c>
    </x:row>
    <x:row r="170">
      <x:c r="A170" s="63" t="n">
        <x:v>4703</x:v>
      </x:c>
      <x:c r="B170" s="49" t="str">
        <x:v>Somayya Institute of Technology, Chandrapur</x:v>
      </x:c>
      <x:c r="C170" s="49" t="str">
        <x:v>Chandrapur</x:v>
      </x:c>
      <x:c r="D170" s="49"/>
      <x:c r="E170" s="49" t="str">
        <x:v>Not centrally verified</x:v>
      </x:c>
      <x:c r="F170" s="49" t="str">
        <x:v>Not scored because official domain was not centrally verified</x:v>
      </x:c>
    </x:row>
    <x:row r="171">
      <x:c r="A171" s="63" t="n">
        <x:v>5003</x:v>
      </x:c>
      <x:c r="B171" s="49" t="str">
        <x:v>University Institute of Chemical Technology, North Maharashtra University, Jalgaon</x:v>
      </x:c>
      <x:c r="C171" s="49" t="str">
        <x:v>Jalgaon</x:v>
      </x:c>
      <x:c r="D171" s="49"/>
      <x:c r="E171" s="49" t="str">
        <x:v>Not centrally verified</x:v>
      </x:c>
      <x:c r="F171" s="49" t="str">
        <x:v>Not scored because official domain was not centrally verified</x:v>
      </x:c>
    </x:row>
    <x:row r="172">
      <x:c r="A172" s="63" t="n">
        <x:v>5004</x:v>
      </x:c>
      <x:c r="B172" s="49" t="str">
        <x:v>Government College of Engineering, Jalgaon</x:v>
      </x:c>
      <x:c r="C172" s="49" t="str">
        <x:v>Jalgaon</x:v>
      </x:c>
      <x:c r="D172" s="49" t="str">
        <x:v>https://gcoej.ac.in/</x:v>
      </x:c>
      <x:c r="E172" s="49" t="str">
        <x:v>Verified official domain</x:v>
      </x:c>
      <x:c r="F172" s="49" t="str">
        <x:v>Official domain verified; page-by-page completeness not scored</x:v>
      </x:c>
    </x:row>
    <x:row r="173">
      <x:c r="A173" s="63" t="n">
        <x:v>5103</x:v>
      </x:c>
      <x:c r="B173" s="49" t="str">
        <x:v>Shri Shivaji Vidya Prasarak Sanstha's Late Bapusaheb Shivaji Rao Deore College of Engineering,Dhule</x:v>
      </x:c>
      <x:c r="C173" s="49" t="str">
        <x:v>Dhule</x:v>
      </x:c>
      <x:c r="D173" s="49"/>
      <x:c r="E173" s="49" t="str">
        <x:v>Not centrally verified</x:v>
      </x:c>
      <x:c r="F173" s="49" t="str">
        <x:v>Not scored because official domain was not centrally verified</x:v>
      </x:c>
    </x:row>
    <x:row r="174">
      <x:c r="A174" s="63" t="n">
        <x:v>5104</x:v>
      </x:c>
      <x:c r="B174" s="49" t="str">
        <x:v>Shramsadhana Bombay Trust, College of Engineering &amp; Technology, Jalgaon</x:v>
      </x:c>
      <x:c r="C174" s="49" t="str">
        <x:v>Jalgaon</x:v>
      </x:c>
      <x:c r="D174" s="49"/>
      <x:c r="E174" s="49" t="str">
        <x:v>Not centrally verified</x:v>
      </x:c>
      <x:c r="F174" s="49" t="str">
        <x:v>Not scored because official domain was not centrally verified</x:v>
      </x:c>
    </x:row>
    <x:row r="175">
      <x:c r="A175" s="63" t="n">
        <x:v>5106</x:v>
      </x:c>
      <x:c r="B175" s="49" t="str">
        <x:v>Khandesh College Education Society's College Of Engineering And Management, Jalgaon</x:v>
      </x:c>
      <x:c r="C175" s="49" t="str">
        <x:v>Jalgaon</x:v>
      </x:c>
      <x:c r="D175" s="49"/>
      <x:c r="E175" s="49" t="str">
        <x:v>Not centrally verified</x:v>
      </x:c>
      <x:c r="F175" s="49" t="str">
        <x:v>Not scored because official domain was not centrally verified</x:v>
      </x:c>
    </x:row>
    <x:row r="176">
      <x:c r="A176" s="63" t="n">
        <x:v>5108</x:v>
      </x:c>
      <x:c r="B176" s="49" t="str">
        <x:v>Maratha Vidya Prasarak Samaj's Karmaveer Adv. Baburao Ganpatrao Thakare College Of Engineering, Nashik</x:v>
      </x:c>
      <x:c r="C176" s="49" t="str">
        <x:v>Nashik</x:v>
      </x:c>
      <x:c r="D176" s="49"/>
      <x:c r="E176" s="49" t="str">
        <x:v>Not centrally verified</x:v>
      </x:c>
      <x:c r="F176" s="49" t="str">
        <x:v>Not scored because official domain was not centrally verified</x:v>
      </x:c>
    </x:row>
    <x:row r="177">
      <x:c r="A177" s="63" t="n">
        <x:v>5109</x:v>
      </x:c>
      <x:c r="B177" s="49" t="str">
        <x:v>Sandip Foundation, Sandip Institute of Technology and Research Centre, Mahiravani, Nashik</x:v>
      </x:c>
      <x:c r="C177" s="49" t="str">
        <x:v>Nashik</x:v>
      </x:c>
      <x:c r="D177" s="49"/>
      <x:c r="E177" s="49" t="str">
        <x:v>Not centrally verified</x:v>
      </x:c>
      <x:c r="F177" s="49" t="str">
        <x:v>Not scored because official domain was not centrally verified</x:v>
      </x:c>
    </x:row>
    <x:row r="178">
      <x:c r="A178" s="63" t="n">
        <x:v>5121</x:v>
      </x:c>
      <x:c r="B178" s="49" t="str">
        <x:v>K. K. Wagh Institute of Engineering Education and Research, Nashik</x:v>
      </x:c>
      <x:c r="C178" s="49" t="str">
        <x:v>Nashik</x:v>
      </x:c>
      <x:c r="D178" s="49"/>
      <x:c r="E178" s="49" t="str">
        <x:v>Not centrally verified</x:v>
      </x:c>
      <x:c r="F178" s="49" t="str">
        <x:v>Not scored because official domain was not centrally verified</x:v>
      </x:c>
    </x:row>
    <x:row r="179">
      <x:c r="A179" s="63" t="n">
        <x:v>5124</x:v>
      </x:c>
      <x:c r="B179" s="49" t="str">
        <x:v>Jagadamba Education Soc. Nashik's S.N.D. College of Engineering &amp; Reserch, Babulgaon</x:v>
      </x:c>
      <x:c r="C179" s="49" t="str">
        <x:v>Nashik</x:v>
      </x:c>
      <x:c r="D179" s="49"/>
      <x:c r="E179" s="49" t="str">
        <x:v>Not centrally verified</x:v>
      </x:c>
      <x:c r="F179" s="49" t="str">
        <x:v>Not scored because official domain was not centrally verified</x:v>
      </x:c>
    </x:row>
    <x:row r="180">
      <x:c r="A180" s="63" t="n">
        <x:v>5125</x:v>
      </x:c>
      <x:c r="B180" s="49" t="str">
        <x:v>Pravara Rural Education Society's Sir Visvesvaraya Institute of Technology, Chincholi Dist. Nashik</x:v>
      </x:c>
      <x:c r="C180" s="49" t="str">
        <x:v>Nashik</x:v>
      </x:c>
      <x:c r="D180" s="49"/>
      <x:c r="E180" s="49" t="str">
        <x:v>Not centrally verified</x:v>
      </x:c>
      <x:c r="F180" s="49" t="str">
        <x:v>Not scored because official domain was not centrally verified</x:v>
      </x:c>
    </x:row>
    <x:row r="181">
      <x:c r="A181" s="63" t="n">
        <x:v>5130</x:v>
      </x:c>
      <x:c r="B181" s="49" t="str">
        <x:v>Brahma Valley College of Engineering &amp; Research, Trimbakeshwar, Nashik</x:v>
      </x:c>
      <x:c r="C181" s="49" t="str">
        <x:v>Nashik</x:v>
      </x:c>
      <x:c r="D181" s="49"/>
      <x:c r="E181" s="49" t="str">
        <x:v>Not centrally verified</x:v>
      </x:c>
      <x:c r="F181" s="49" t="str">
        <x:v>Not scored because official domain was not centrally verified</x:v>
      </x:c>
    </x:row>
    <x:row r="182">
      <x:c r="A182" s="63" t="n">
        <x:v>5139</x:v>
      </x:c>
      <x:c r="B182" s="49" t="str">
        <x:v>Pravara Rural College of Engineering, Loni, Pravaranagar, Ahmednagar.</x:v>
      </x:c>
      <x:c r="C182" s="49" t="str">
        <x:v>Ahilyanagar</x:v>
      </x:c>
      <x:c r="D182" s="49"/>
      <x:c r="E182" s="49" t="str">
        <x:v>Not centrally verified</x:v>
      </x:c>
      <x:c r="F182" s="49" t="str">
        <x:v>Not scored because official domain was not centrally verified</x:v>
      </x:c>
    </x:row>
    <x:row r="183">
      <x:c r="A183" s="63" t="n">
        <x:v>5151</x:v>
      </x:c>
      <x:c r="B183" s="49" t="str">
        <x:v>MET Bhujbal Knowledge City MET League's Engineering College, Adgaon, Nashik.</x:v>
      </x:c>
      <x:c r="C183" s="49" t="str">
        <x:v>Nashik</x:v>
      </x:c>
      <x:c r="D183" s="49"/>
      <x:c r="E183" s="49" t="str">
        <x:v>Not centrally verified</x:v>
      </x:c>
      <x:c r="F183" s="49" t="str">
        <x:v>Not scored because official domain was not centrally verified</x:v>
      </x:c>
    </x:row>
    <x:row r="184">
      <x:c r="A184" s="63" t="n">
        <x:v>5152</x:v>
      </x:c>
      <x:c r="B184" s="49" t="str">
        <x:v>G H Raisoni College of Engineering and Management, Jalgaon</x:v>
      </x:c>
      <x:c r="C184" s="49" t="str">
        <x:v>Jalgaon</x:v>
      </x:c>
      <x:c r="D184" s="49"/>
      <x:c r="E184" s="49" t="str">
        <x:v>Not centrally verified</x:v>
      </x:c>
      <x:c r="F184" s="49" t="str">
        <x:v>Not scored because official domain was not centrally verified</x:v>
      </x:c>
    </x:row>
    <x:row r="185">
      <x:c r="A185" s="63" t="n">
        <x:v>5160</x:v>
      </x:c>
      <x:c r="B185" s="49" t="str">
        <x:v>Sanjivani Rural Education Society's Sanjivani College of Engineering, Kopargaon</x:v>
      </x:c>
      <x:c r="C185" s="49" t="str">
        <x:v>Ahilyanagar</x:v>
      </x:c>
      <x:c r="D185" s="49"/>
      <x:c r="E185" s="49" t="str">
        <x:v>Not centrally verified</x:v>
      </x:c>
      <x:c r="F185" s="49" t="str">
        <x:v>Not scored because official domain was not centrally verified</x:v>
      </x:c>
    </x:row>
    <x:row r="186">
      <x:c r="A186" s="63" t="n">
        <x:v>5161</x:v>
      </x:c>
      <x:c r="B186" s="49" t="str">
        <x:v>Dr. Vithalrao Vikhe Patil College of Engineering, Ahmednagar</x:v>
      </x:c>
      <x:c r="C186" s="49" t="str">
        <x:v>Ahilyanagar</x:v>
      </x:c>
      <x:c r="D186" s="49"/>
      <x:c r="E186" s="49" t="str">
        <x:v>Not centrally verified</x:v>
      </x:c>
      <x:c r="F186" s="49" t="str">
        <x:v>Not scored because official domain was not centrally verified</x:v>
      </x:c>
    </x:row>
    <x:row r="187">
      <x:c r="A187" s="63" t="n">
        <x:v>5162</x:v>
      </x:c>
      <x:c r="B187" s="49" t="str">
        <x:v>Amrutvahini Sheti &amp; Shikshan Vikas Sanstha's Amrutvahini College of Engineering, Sangamner</x:v>
      </x:c>
      <x:c r="C187" s="49" t="str">
        <x:v>Ahilyanagar</x:v>
      </x:c>
      <x:c r="D187" s="49"/>
      <x:c r="E187" s="49" t="str">
        <x:v>Not centrally verified</x:v>
      </x:c>
      <x:c r="F187" s="49" t="str">
        <x:v>Not scored because official domain was not centrally verified</x:v>
      </x:c>
    </x:row>
    <x:row r="188">
      <x:c r="A188" s="63" t="n">
        <x:v>5164</x:v>
      </x:c>
      <x:c r="B188" s="49" t="str">
        <x:v>P.S.G.V.P. Mandal's D.N. Patel College of Engineering, Shahada, Dist. Nandurbar</x:v>
      </x:c>
      <x:c r="C188" s="49" t="str">
        <x:v>Nandurbar</x:v>
      </x:c>
      <x:c r="D188" s="49"/>
      <x:c r="E188" s="49" t="str">
        <x:v>Not centrally verified</x:v>
      </x:c>
      <x:c r="F188" s="49" t="str">
        <x:v>Not scored because official domain was not centrally verified</x:v>
      </x:c>
    </x:row>
    <x:row r="189">
      <x:c r="A189" s="63" t="n">
        <x:v>5168</x:v>
      </x:c>
      <x:c r="B189" s="49" t="str">
        <x:v>T.M.E. Society's J.T.Mahajan College of Engineering, Faizpur</x:v>
      </x:c>
      <x:c r="C189" s="49" t="str">
        <x:v>Jalgaon</x:v>
      </x:c>
      <x:c r="D189" s="49"/>
      <x:c r="E189" s="49" t="str">
        <x:v>Not centrally verified</x:v>
      </x:c>
      <x:c r="F189" s="49" t="str">
        <x:v>Not scored because official domain was not centrally verified</x:v>
      </x:c>
    </x:row>
    <x:row r="190">
      <x:c r="A190" s="63" t="n">
        <x:v>5169</x:v>
      </x:c>
      <x:c r="B190" s="49" t="str">
        <x:v>Nagaon Education Society's Gangamai College of Engineering, Nagaon, Tal Dist Dhule</x:v>
      </x:c>
      <x:c r="C190" s="49" t="str">
        <x:v>Dhule</x:v>
      </x:c>
      <x:c r="D190" s="49"/>
      <x:c r="E190" s="49" t="str">
        <x:v>Not centrally verified</x:v>
      </x:c>
      <x:c r="F190" s="49" t="str">
        <x:v>Not scored because official domain was not centrally verified</x:v>
      </x:c>
    </x:row>
    <x:row r="191">
      <x:c r="A191" s="63" t="n">
        <x:v>5170</x:v>
      </x:c>
      <x:c r="B191" s="49" t="str">
        <x:v>Hindi Seva Mandal's Shri Sant Gadgebaba College of Engineering &amp; Technology, Bhusawal</x:v>
      </x:c>
      <x:c r="C191" s="49" t="str">
        <x:v>Jalgaon</x:v>
      </x:c>
      <x:c r="D191" s="49"/>
      <x:c r="E191" s="49" t="str">
        <x:v>Not centrally verified</x:v>
      </x:c>
      <x:c r="F191" s="49" t="str">
        <x:v>Not scored because official domain was not centrally verified</x:v>
      </x:c>
    </x:row>
    <x:row r="192">
      <x:c r="A192" s="63" t="n">
        <x:v>5171</x:v>
      </x:c>
      <x:c r="B192" s="49" t="str">
        <x:v>Godavari Foundation's Godavari College Of Engineering, Jalgaon</x:v>
      </x:c>
      <x:c r="C192" s="49" t="str">
        <x:v>Jalgaon</x:v>
      </x:c>
      <x:c r="D192" s="49"/>
      <x:c r="E192" s="49" t="str">
        <x:v>Not centrally verified</x:v>
      </x:c>
      <x:c r="F192" s="49" t="str">
        <x:v>Not scored because official domain was not centrally verified</x:v>
      </x:c>
    </x:row>
    <x:row r="193">
      <x:c r="A193" s="63" t="n">
        <x:v>5172</x:v>
      </x:c>
      <x:c r="B193" s="49" t="str">
        <x:v>R. C. Patel Institute of Technology, Shirpur</x:v>
      </x:c>
      <x:c r="C193" s="49" t="str">
        <x:v>Dhule</x:v>
      </x:c>
      <x:c r="D193" s="49"/>
      <x:c r="E193" s="49" t="str">
        <x:v>Not centrally verified</x:v>
      </x:c>
      <x:c r="F193" s="49" t="str">
        <x:v>Not scored because official domain was not centrally verified</x:v>
      </x:c>
    </x:row>
    <x:row r="194">
      <x:c r="A194" s="63" t="n">
        <x:v>5173</x:v>
      </x:c>
      <x:c r="B194" s="49" t="str">
        <x:v>SNJB's Late Sau. Kantabai Bhavarlalji Jain College of Engineering, (Jain Gurukul), Neminagar,Chandwad,(Nashik)</x:v>
      </x:c>
      <x:c r="C194" s="49" t="str">
        <x:v>Nashik</x:v>
      </x:c>
      <x:c r="D194" s="49"/>
      <x:c r="E194" s="49" t="str">
        <x:v>Not centrally verified</x:v>
      </x:c>
      <x:c r="F194" s="49" t="str">
        <x:v>Not scored because official domain was not centrally verified</x:v>
      </x:c>
    </x:row>
    <x:row r="195">
      <x:c r="A195" s="63" t="n">
        <x:v>5177</x:v>
      </x:c>
      <x:c r="B195" s="49" t="str">
        <x:v>Matoshri College of Engineering and Research Centre, Eklahare, Nashik</x:v>
      </x:c>
      <x:c r="C195" s="49" t="str">
        <x:v>Nashik</x:v>
      </x:c>
      <x:c r="D195" s="49"/>
      <x:c r="E195" s="49" t="str">
        <x:v>Not centrally verified</x:v>
      </x:c>
      <x:c r="F195" s="49" t="str">
        <x:v>Not scored because official domain was not centrally verified</x:v>
      </x:c>
    </x:row>
    <x:row r="196">
      <x:c r="A196" s="63" t="n">
        <x:v>5179</x:v>
      </x:c>
      <x:c r="B196" s="49" t="str">
        <x:v>Vishwabharati Academy's College of Engineering, Ahmednagar</x:v>
      </x:c>
      <x:c r="C196" s="49" t="str">
        <x:v>Ahilyanagar</x:v>
      </x:c>
      <x:c r="D196" s="49"/>
      <x:c r="E196" s="49" t="str">
        <x:v>Not centrally verified</x:v>
      </x:c>
      <x:c r="F196" s="49" t="str">
        <x:v>Not scored because official domain was not centrally verified</x:v>
      </x:c>
    </x:row>
    <x:row r="197">
      <x:c r="A197" s="63" t="n">
        <x:v>5181</x:v>
      </x:c>
      <x:c r="B197" s="49" t="str">
        <x:v>Gokhale Education Society's, R.H. Sapat College of Engineering, Management Studies and Research, Nashik</x:v>
      </x:c>
      <x:c r="C197" s="49" t="str">
        <x:v>Nashik</x:v>
      </x:c>
      <x:c r="D197" s="49"/>
      <x:c r="E197" s="49" t="str">
        <x:v>Not centrally verified</x:v>
      </x:c>
      <x:c r="F197" s="49" t="str">
        <x:v>Not scored because official domain was not centrally verified</x:v>
      </x:c>
    </x:row>
    <x:row r="198">
      <x:c r="A198" s="63" t="n">
        <x:v>5182</x:v>
      </x:c>
      <x:c r="B198" s="49" t="str">
        <x:v>Kalyani Charitable Trust, Late Gambhirrao Natuba Sapkal College of Engineering, Anjaneri, Trimbakeshwar Road, Nashik</x:v>
      </x:c>
      <x:c r="C198" s="49" t="str">
        <x:v>Nashik</x:v>
      </x:c>
      <x:c r="D198" s="49"/>
      <x:c r="E198" s="49" t="str">
        <x:v>Not centrally verified</x:v>
      </x:c>
      <x:c r="F198" s="49" t="str">
        <x:v>Not scored because official domain was not centrally verified</x:v>
      </x:c>
    </x:row>
    <x:row r="199">
      <x:c r="A199" s="63" t="n">
        <x:v>5184</x:v>
      </x:c>
      <x:c r="B199" s="49" t="str">
        <x:v>Amruta Vaishnavi Education &amp; Welfare Trust's Shatabdi Institute of Engineering &amp; Research, Agaskhind Tal. Sinnar</x:v>
      </x:c>
      <x:c r="C199" s="49" t="str">
        <x:v>Nashik</x:v>
      </x:c>
      <x:c r="D199" s="49"/>
      <x:c r="E199" s="49" t="str">
        <x:v>Not centrally verified</x:v>
      </x:c>
      <x:c r="F199" s="49" t="str">
        <x:v>Not scored because official domain was not centrally verified</x:v>
      </x:c>
    </x:row>
    <x:row r="200">
      <x:c r="A200" s="63" t="n">
        <x:v>5244</x:v>
      </x:c>
      <x:c r="B200" s="49" t="str">
        <x:v>MET's Institute of Technology Polytechnic, Bhujbal Knowledge City, Adgaon Nashik</x:v>
      </x:c>
      <x:c r="C200" s="49" t="str">
        <x:v>Nashik</x:v>
      </x:c>
      <x:c r="D200" s="49"/>
      <x:c r="E200" s="49" t="str">
        <x:v>Not centrally verified</x:v>
      </x:c>
      <x:c r="F200" s="49" t="str">
        <x:v>Not scored because official domain was not centrally verified</x:v>
      </x:c>
    </x:row>
    <x:row r="201">
      <x:c r="A201" s="63" t="n">
        <x:v>5249</x:v>
      </x:c>
      <x:c r="B201" s="49" t="str">
        <x:v>Trimurti Shikshan Prasarak Mandal, Trimurti Institute Of Technology, Paladhi Bk, Jalgaon</x:v>
      </x:c>
      <x:c r="C201" s="49" t="str">
        <x:v>Jalgaon</x:v>
      </x:c>
      <x:c r="D201" s="49"/>
      <x:c r="E201" s="49" t="str">
        <x:v>Not centrally verified</x:v>
      </x:c>
      <x:c r="F201" s="49" t="str">
        <x:v>Not scored because official domain was not centrally verified</x:v>
      </x:c>
    </x:row>
    <x:row r="202">
      <x:c r="A202" s="63" t="n">
        <x:v>5256</x:v>
      </x:c>
      <x:c r="B202" s="49" t="str">
        <x:v>Matoshri Aasarabai Institute of Technology and Research Centre</x:v>
      </x:c>
      <x:c r="C202" s="49" t="str">
        <x:v>Nashik</x:v>
      </x:c>
      <x:c r="D202" s="49"/>
      <x:c r="E202" s="49" t="str">
        <x:v>Not centrally verified</x:v>
      </x:c>
      <x:c r="F202" s="49" t="str">
        <x:v>Not scored because official domain was not centrally verified</x:v>
      </x:c>
    </x:row>
    <x:row r="203">
      <x:c r="A203" s="63" t="n">
        <x:v>5263</x:v>
      </x:c>
      <x:c r="B203" s="49" t="str">
        <x:v>Matoshri Education Soceity, Matoshri Institute Of Technology, Dhanore, Nashik</x:v>
      </x:c>
      <x:c r="C203" s="49" t="str">
        <x:v>Nashik</x:v>
      </x:c>
      <x:c r="D203" s="49"/>
      <x:c r="E203" s="49" t="str">
        <x:v>Not centrally verified</x:v>
      </x:c>
      <x:c r="F203" s="49" t="str">
        <x:v>Not scored because official domain was not centrally verified</x:v>
      </x:c>
    </x:row>
    <x:row r="204">
      <x:c r="A204" s="63" t="n">
        <x:v>5303</x:v>
      </x:c>
      <x:c r="B204" s="49" t="str">
        <x:v>Hon. Shri. Babanrao Pachpute Vichardhara Trust, Group of Institutions (Integrated Campus)-Parikrama, Kashti Shrigondha,</x:v>
      </x:c>
      <x:c r="C204" s="49" t="str">
        <x:v>Ahilyanagar</x:v>
      </x:c>
      <x:c r="D204" s="49"/>
      <x:c r="E204" s="49" t="str">
        <x:v>Not centrally verified</x:v>
      </x:c>
      <x:c r="F204" s="49" t="str">
        <x:v>Not scored because official domain was not centrally verified</x:v>
      </x:c>
    </x:row>
    <x:row r="205">
      <x:c r="A205" s="63" t="n">
        <x:v>5322</x:v>
      </x:c>
      <x:c r="B205" s="49" t="str">
        <x:v>Jamia Institute Of Engineering And Management Studies, Akkalkuwa</x:v>
      </x:c>
      <x:c r="C205" s="49" t="str">
        <x:v>Nandurbar</x:v>
      </x:c>
      <x:c r="D205" s="49"/>
      <x:c r="E205" s="49" t="str">
        <x:v>Not centrally verified</x:v>
      </x:c>
      <x:c r="F205" s="49" t="str">
        <x:v>Not scored because official domain was not centrally verified</x:v>
      </x:c>
    </x:row>
    <x:row r="206">
      <x:c r="A206" s="63" t="n">
        <x:v>5330</x:v>
      </x:c>
      <x:c r="B206" s="49" t="str">
        <x:v>PUNE VIDYARTHI GRIHAS COLLEGE OF ENGINEERING &amp; SHRIKRUSHNA S. DHAMANKAR INSTITUTE OF MANAGEMENT, NASHIK</x:v>
      </x:c>
      <x:c r="C206" s="49" t="str">
        <x:v>Nashik</x:v>
      </x:c>
      <x:c r="D206" s="49"/>
      <x:c r="E206" s="49" t="str">
        <x:v>Not centrally verified</x:v>
      </x:c>
      <x:c r="F206" s="49" t="str">
        <x:v>Not scored because official domain was not centrally verified</x:v>
      </x:c>
    </x:row>
    <x:row r="207">
      <x:c r="A207" s="63" t="n">
        <x:v>5331</x:v>
      </x:c>
      <x:c r="B207" s="49" t="str">
        <x:v>Sandip Foundation's, Sandip Institute of Engineering &amp; Management, Nashik</x:v>
      </x:c>
      <x:c r="C207" s="49" t="str">
        <x:v>Nashik</x:v>
      </x:c>
      <x:c r="D207" s="49"/>
      <x:c r="E207" s="49" t="str">
        <x:v>Not centrally verified</x:v>
      </x:c>
      <x:c r="F207" s="49" t="str">
        <x:v>Not scored because official domain was not centrally verified</x:v>
      </x:c>
    </x:row>
    <x:row r="208">
      <x:c r="A208" s="63" t="n">
        <x:v>5365</x:v>
      </x:c>
      <x:c r="B208" s="49" t="str">
        <x:v>Vardhaman Education &amp; Welfare Society, Ahinsa Institute of Technology, Post. Dondaicha, Dhule</x:v>
      </x:c>
      <x:c r="C208" s="49" t="str">
        <x:v>Dhule</x:v>
      </x:c>
      <x:c r="D208" s="49"/>
      <x:c r="E208" s="49" t="str">
        <x:v>Not centrally verified</x:v>
      </x:c>
      <x:c r="F208" s="49" t="str">
        <x:v>Not scored because official domain was not centrally verified</x:v>
      </x:c>
    </x:row>
    <x:row r="209">
      <x:c r="A209" s="63" t="n">
        <x:v>5370</x:v>
      </x:c>
      <x:c r="B209" s="49" t="str">
        <x:v>Kedareshwar Gramin Vikas Pratishthan, Samajbhushan Eknathrao Dhakane College, of Engineering, Shevgaon</x:v>
      </x:c>
      <x:c r="C209" s="49" t="str">
        <x:v>Ahilyanagar</x:v>
      </x:c>
      <x:c r="D209" s="49"/>
      <x:c r="E209" s="49" t="str">
        <x:v>Not centrally verified</x:v>
      </x:c>
      <x:c r="F209" s="49" t="str">
        <x:v>Not scored because official domain was not centrally verified</x:v>
      </x:c>
    </x:row>
    <x:row r="210">
      <x:c r="A210" s="63" t="n">
        <x:v>5380</x:v>
      </x:c>
      <x:c r="B210" s="49" t="str">
        <x:v>Adsul's Technical Campus, Chas Dist. Ahmednagar</x:v>
      </x:c>
      <x:c r="C210" s="49" t="str">
        <x:v>Ahilyanagar</x:v>
      </x:c>
      <x:c r="D210" s="49"/>
      <x:c r="E210" s="49" t="str">
        <x:v>Not centrally verified</x:v>
      </x:c>
      <x:c r="F210" s="49" t="str">
        <x:v>Not scored because official domain was not centrally verified</x:v>
      </x:c>
    </x:row>
    <x:row r="211">
      <x:c r="A211" s="63" t="n">
        <x:v>5381</x:v>
      </x:c>
      <x:c r="B211" s="49" t="str">
        <x:v>Shri. Jaykumar Rawal Institute of Technology, Dondaicha.</x:v>
      </x:c>
      <x:c r="C211" s="49" t="str">
        <x:v>Dhule</x:v>
      </x:c>
      <x:c r="D211" s="49"/>
      <x:c r="E211" s="49" t="str">
        <x:v>Not centrally verified</x:v>
      </x:c>
      <x:c r="F211" s="49" t="str">
        <x:v>Not scored because official domain was not centrally verified</x:v>
      </x:c>
    </x:row>
    <x:row r="212">
      <x:c r="A212" s="63" t="n">
        <x:v>5382</x:v>
      </x:c>
      <x:c r="B212" s="49" t="str">
        <x:v>Ahmednagar Jilha Maratha Vidya Prasarak Samajache, Shri. Chhatrapati Shivaji Maharaj College of Engineering, Nepti</x:v>
      </x:c>
      <x:c r="C212" s="49" t="str">
        <x:v>Ahilyanagar</x:v>
      </x:c>
      <x:c r="D212" s="49"/>
      <x:c r="E212" s="49" t="str">
        <x:v>Not centrally verified</x:v>
      </x:c>
      <x:c r="F212" s="49" t="str">
        <x:v>Not scored because official domain was not centrally verified</x:v>
      </x:c>
    </x:row>
    <x:row r="213">
      <x:c r="A213" s="63" t="n">
        <x:v>5390</x:v>
      </x:c>
      <x:c r="B213" s="49" t="str">
        <x:v>K.V.N. Naik S. P. Sansth's Loknete Gopinathji Munde Institute of Engineering Education &amp; Research, Nashik.</x:v>
      </x:c>
      <x:c r="C213" s="49" t="str">
        <x:v>Nashik</x:v>
      </x:c>
      <x:c r="D213" s="49"/>
      <x:c r="E213" s="49" t="str">
        <x:v>Not centrally verified</x:v>
      </x:c>
      <x:c r="F213" s="49" t="str">
        <x:v>Not scored because official domain was not centrally verified</x:v>
      </x:c>
    </x:row>
    <x:row r="214">
      <x:c r="A214" s="63" t="n">
        <x:v>5396</x:v>
      </x:c>
      <x:c r="B214" s="49" t="str">
        <x:v>College of Engineering and Technology ,North Maharashtra Knowledge City, Jalgaon</x:v>
      </x:c>
      <x:c r="C214" s="49" t="str">
        <x:v>Jalgaon</x:v>
      </x:c>
      <x:c r="D214" s="49"/>
      <x:c r="E214" s="49" t="str">
        <x:v>Not centrally verified</x:v>
      </x:c>
      <x:c r="F214" s="49" t="str">
        <x:v>Not scored because official domain was not centrally verified</x:v>
      </x:c>
    </x:row>
    <x:row r="215">
      <x:c r="A215" s="63" t="n">
        <x:v>5399</x:v>
      </x:c>
      <x:c r="B215" s="49" t="str">
        <x:v>Sanghavi College of Engineering, Varvandi, Nashik.</x:v>
      </x:c>
      <x:c r="C215" s="49" t="str">
        <x:v>Nashik</x:v>
      </x:c>
      <x:c r="D215" s="49"/>
      <x:c r="E215" s="49" t="str">
        <x:v>Not centrally verified</x:v>
      </x:c>
      <x:c r="F215" s="49" t="str">
        <x:v>Not scored because official domain was not centrally verified</x:v>
      </x:c>
    </x:row>
    <x:row r="216">
      <x:c r="A216" s="63" t="n">
        <x:v>5401</x:v>
      </x:c>
      <x:c r="B216" s="49" t="str">
        <x:v>Jawahar Education Society's Institute of Technology, Management &amp; Research, Nashik.</x:v>
      </x:c>
      <x:c r="C216" s="49" t="str">
        <x:v>Nashik</x:v>
      </x:c>
      <x:c r="D216" s="49"/>
      <x:c r="E216" s="49" t="str">
        <x:v>Not centrally verified</x:v>
      </x:c>
      <x:c r="F216" s="49" t="str">
        <x:v>Not scored because official domain was not centrally verified</x:v>
      </x:c>
    </x:row>
    <x:row r="217">
      <x:c r="A217" s="63" t="n">
        <x:v>5408</x:v>
      </x:c>
      <x:c r="B217" s="49" t="str">
        <x:v>Vidya Niketan College of Engineering, Bota Sangamner</x:v>
      </x:c>
      <x:c r="C217" s="49" t="str">
        <x:v>Ahilyanagar</x:v>
      </x:c>
      <x:c r="D217" s="49"/>
      <x:c r="E217" s="49" t="str">
        <x:v>Not centrally verified</x:v>
      </x:c>
      <x:c r="F217" s="49" t="str">
        <x:v>Not scored because official domain was not centrally verified</x:v>
      </x:c>
    </x:row>
    <x:row r="218">
      <x:c r="A218" s="63" t="n">
        <x:v>5409</x:v>
      </x:c>
      <x:c r="B218" s="49" t="str">
        <x:v>Rajiv Gandhi College of Engineering, At Post Karjule Hariya Tal.Parner, Dist.Ahmednagar</x:v>
      </x:c>
      <x:c r="C218" s="49" t="str">
        <x:v>Ahilyanagar</x:v>
      </x:c>
      <x:c r="D218" s="49"/>
      <x:c r="E218" s="49" t="str">
        <x:v>Not centrally verified</x:v>
      </x:c>
      <x:c r="F218" s="49" t="str">
        <x:v>Not scored because official domain was not centrally verified</x:v>
      </x:c>
    </x:row>
    <x:row r="219">
      <x:c r="A219" s="63" t="n">
        <x:v>5411</x:v>
      </x:c>
      <x:c r="B219" s="49" t="str">
        <x:v>Maulana Mukhtar Ahmad Nadvi Technical Campus, Malegaon.</x:v>
      </x:c>
      <x:c r="C219" s="49" t="str">
        <x:v>Nashik</x:v>
      </x:c>
      <x:c r="D219" s="49"/>
      <x:c r="E219" s="49" t="str">
        <x:v>Not centrally verified</x:v>
      </x:c>
      <x:c r="F219" s="49" t="str">
        <x:v>Not scored because official domain was not centrally verified</x:v>
      </x:c>
    </x:row>
    <x:row r="220">
      <x:c r="A220" s="63" t="n">
        <x:v>5418</x:v>
      </x:c>
      <x:c r="B220" s="49" t="str">
        <x:v>Guru Gobind Singh College of Engineering &amp; Research Centre, Nashik.</x:v>
      </x:c>
      <x:c r="C220" s="49" t="str">
        <x:v>Nashik</x:v>
      </x:c>
      <x:c r="D220" s="49"/>
      <x:c r="E220" s="49" t="str">
        <x:v>Not centrally verified</x:v>
      </x:c>
      <x:c r="F220" s="49" t="str">
        <x:v>Not scored because official domain was not centrally verified</x:v>
      </x:c>
    </x:row>
    <x:row r="221">
      <x:c r="A221" s="63" t="n">
        <x:v>5433</x:v>
      </x:c>
      <x:c r="B221" s="49" t="str">
        <x:v>R.C. Patel College of Engineering and Polytechnic, Shirpur</x:v>
      </x:c>
      <x:c r="C221" s="49" t="str">
        <x:v>Dhule</x:v>
      </x:c>
      <x:c r="D221" s="49"/>
      <x:c r="E221" s="49" t="str">
        <x:v>Not centrally verified</x:v>
      </x:c>
      <x:c r="F221" s="49" t="str">
        <x:v>Not scored because official domain was not centrally verified</x:v>
      </x:c>
    </x:row>
    <x:row r="222">
      <x:c r="A222" s="63" t="n">
        <x:v>5449</x:v>
      </x:c>
      <x:c r="B222" s="49" t="str">
        <x:v>Shri Vile Parle Kelavani Mandal's Institute of Technology, Dhule</x:v>
      </x:c>
      <x:c r="C222" s="49" t="str">
        <x:v>Dhule</x:v>
      </x:c>
      <x:c r="D222" s="49"/>
      <x:c r="E222" s="49" t="str">
        <x:v>Not centrally verified</x:v>
      </x:c>
      <x:c r="F222" s="49" t="str">
        <x:v>Not scored because official domain was not centrally verified</x:v>
      </x:c>
    </x:row>
    <x:row r="223">
      <x:c r="A223" s="63" t="n">
        <x:v>5497</x:v>
      </x:c>
      <x:c r="B223" s="49" t="str">
        <x:v>P.G. College of Engineering &amp; Technology, Nandurbar</x:v>
      </x:c>
      <x:c r="C223" s="49" t="str">
        <x:v>Nandurbar</x:v>
      </x:c>
      <x:c r="D223" s="49"/>
      <x:c r="E223" s="49" t="str">
        <x:v>Not centrally verified</x:v>
      </x:c>
      <x:c r="F223" s="49" t="str">
        <x:v>Not scored because official domain was not centrally verified</x:v>
      </x:c>
    </x:row>
    <x:row r="224">
      <x:c r="A224" s="63" t="n">
        <x:v>5509</x:v>
      </x:c>
      <x:c r="B224" s="49" t="str">
        <x:v>Shri Swami Samarth Institute of Management and Technology, Malwadi-Bota</x:v>
      </x:c>
      <x:c r="C224" s="49" t="str">
        <x:v>Ahilyanagar</x:v>
      </x:c>
      <x:c r="D224" s="49"/>
      <x:c r="E224" s="49" t="str">
        <x:v>Not centrally verified</x:v>
      </x:c>
      <x:c r="F224" s="49" t="str">
        <x:v>Not scored because official domain was not centrally verified</x:v>
      </x:c>
    </x:row>
    <x:row r="225">
      <x:c r="A225" s="63" t="n">
        <x:v>5513</x:v>
      </x:c>
      <x:c r="B225" s="49" t="str">
        <x:v>MKD Institute of Technology, Nadurbar</x:v>
      </x:c>
      <x:c r="C225" s="49" t="str">
        <x:v>Nandurbar</x:v>
      </x:c>
      <x:c r="D225" s="49"/>
      <x:c r="E225" s="49" t="str">
        <x:v>Not centrally verified</x:v>
      </x:c>
      <x:c r="F225" s="49" t="str">
        <x:v>Not scored because official domain was not centrally verified</x:v>
      </x:c>
    </x:row>
    <x:row r="226">
      <x:c r="A226" s="63" t="n">
        <x:v>5545</x:v>
      </x:c>
      <x:c r="B226" s="49" t="str">
        <x:v>Shri Vile Parle Kelavani Mandal's College of Engineering, Shirpur</x:v>
      </x:c>
      <x:c r="C226" s="49" t="str">
        <x:v>Dhule</x:v>
      </x:c>
      <x:c r="D226" s="49"/>
      <x:c r="E226" s="49" t="str">
        <x:v>Not centrally verified</x:v>
      </x:c>
      <x:c r="F226" s="49" t="str">
        <x:v>Not scored because official domain was not centrally verified</x:v>
      </x:c>
    </x:row>
    <x:row r="227">
      <x:c r="A227" s="63" t="n">
        <x:v>6004</x:v>
      </x:c>
      <x:c r="B227" s="49" t="str">
        <x:v>Government College of Engineering &amp; Research, Avasari Khurd</x:v>
      </x:c>
      <x:c r="C227" s="49" t="str">
        <x:v>Pune</x:v>
      </x:c>
      <x:c r="D227" s="49"/>
      <x:c r="E227" s="49" t="str">
        <x:v>Not centrally verified</x:v>
      </x:c>
      <x:c r="F227" s="49" t="str">
        <x:v>Not scored because official domain was not centrally verified</x:v>
      </x:c>
    </x:row>
    <x:row r="228">
      <x:c r="A228" s="63" t="n">
        <x:v>6005</x:v>
      </x:c>
      <x:c r="B228" s="49" t="str">
        <x:v>Government College of Engineering, Karad</x:v>
      </x:c>
      <x:c r="C228" s="49" t="str">
        <x:v>Satara</x:v>
      </x:c>
      <x:c r="D228" s="49" t="str">
        <x:v>https://gcekarad.ac.in/</x:v>
      </x:c>
      <x:c r="E228" s="49" t="str">
        <x:v>Verified official domain</x:v>
      </x:c>
      <x:c r="F228" s="49" t="str">
        <x:v>Official domain verified; page-by-page completeness not scored</x:v>
      </x:c>
    </x:row>
    <x:row r="229">
      <x:c r="A229" s="63" t="n">
        <x:v>6006</x:v>
      </x:c>
      <x:c r="B229" s="49" t="str">
        <x:v>COEP Technological University</x:v>
      </x:c>
      <x:c r="C229" s="49"/>
      <x:c r="D229" s="49" t="str">
        <x:v>https://www.coeptech.ac.in/</x:v>
      </x:c>
      <x:c r="E229" s="49" t="str">
        <x:v>Verified official domain</x:v>
      </x:c>
      <x:c r="F229" s="49" t="str">
        <x:v>Official domain verified; page-by-page completeness not scored</x:v>
      </x:c>
    </x:row>
    <x:row r="230">
      <x:c r="A230" s="63" t="n">
        <x:v>6007</x:v>
      </x:c>
      <x:c r="B230" s="49" t="str">
        <x:v>Walchand College of Engineering, Sangli</x:v>
      </x:c>
      <x:c r="C230" s="49" t="str">
        <x:v>Sangli</x:v>
      </x:c>
      <x:c r="D230" s="49" t="str">
        <x:v>https://www.walchandsangli.ac.in/</x:v>
      </x:c>
      <x:c r="E230" s="49" t="str">
        <x:v>Verified official domain</x:v>
      </x:c>
      <x:c r="F230" s="49" t="str">
        <x:v>Official domain verified; page-by-page completeness not scored</x:v>
      </x:c>
    </x:row>
    <x:row r="231">
      <x:c r="A231" s="63" t="n">
        <x:v>6028</x:v>
      </x:c>
      <x:c r="B231" s="49" t="str">
        <x:v>Department of Technology, Shivaji University, Kolhapur</x:v>
      </x:c>
      <x:c r="C231" s="49" t="str">
        <x:v>Kolhapur</x:v>
      </x:c>
      <x:c r="D231" s="49"/>
      <x:c r="E231" s="49" t="str">
        <x:v>Not centrally verified</x:v>
      </x:c>
      <x:c r="F231" s="49" t="str">
        <x:v>Not scored because official domain was not centrally verified</x:v>
      </x:c>
    </x:row>
    <x:row r="232">
      <x:c r="A232" s="63" t="n">
        <x:v>6036</x:v>
      </x:c>
      <x:c r="B232" s="49" t="str">
        <x:v>Government College of Engineering, Kolhapur</x:v>
      </x:c>
      <x:c r="C232" s="49" t="str">
        <x:v>Kolhapur</x:v>
      </x:c>
      <x:c r="D232" s="49"/>
      <x:c r="E232" s="49" t="str">
        <x:v>Not centrally verified</x:v>
      </x:c>
      <x:c r="F232" s="49" t="str">
        <x:v>Not scored because official domain was not centrally verified</x:v>
      </x:c>
    </x:row>
    <x:row r="233">
      <x:c r="A233" s="63" t="n">
        <x:v>6122</x:v>
      </x:c>
      <x:c r="B233" s="49" t="str">
        <x:v>TSSMS's Pd. Vasantdada Patil Institute of Technology, Bavdhan, Pune</x:v>
      </x:c>
      <x:c r="C233" s="49" t="str">
        <x:v>Pune</x:v>
      </x:c>
      <x:c r="D233" s="49"/>
      <x:c r="E233" s="49" t="str">
        <x:v>Not centrally verified</x:v>
      </x:c>
      <x:c r="F233" s="49" t="str">
        <x:v>Not scored because official domain was not centrally verified</x:v>
      </x:c>
    </x:row>
    <x:row r="234">
      <x:c r="A234" s="63" t="n">
        <x:v>6138</x:v>
      </x:c>
      <x:c r="B234" s="49" t="str">
        <x:v>Genba Sopanrao Moze Trust Parvatibai Genba Moze College of Engineering,Wagholi, Pune</x:v>
      </x:c>
      <x:c r="C234" s="49" t="str">
        <x:v>Pune</x:v>
      </x:c>
      <x:c r="D234" s="49"/>
      <x:c r="E234" s="49" t="str">
        <x:v>Not centrally verified</x:v>
      </x:c>
      <x:c r="F234" s="49" t="str">
        <x:v>Not scored because official domain was not centrally verified</x:v>
      </x:c>
    </x:row>
    <x:row r="235">
      <x:c r="A235" s="63" t="n">
        <x:v>6139</x:v>
      </x:c>
      <x:c r="B235" s="49" t="str">
        <x:v>Progressive Education Society's Modern College of Engineering, Pune</x:v>
      </x:c>
      <x:c r="C235" s="49" t="str">
        <x:v>Pune</x:v>
      </x:c>
      <x:c r="D235" s="49"/>
      <x:c r="E235" s="49" t="str">
        <x:v>Not centrally verified</x:v>
      </x:c>
      <x:c r="F235" s="49" t="str">
        <x:v>Not scored because official domain was not centrally verified</x:v>
      </x:c>
    </x:row>
    <x:row r="236">
      <x:c r="A236" s="63" t="n">
        <x:v>6141</x:v>
      </x:c>
      <x:c r="B236" s="49" t="str">
        <x:v>Jaywant Shikshan Prasarak Mandal's,Rajarshi Shahu College of Engineering, Tathawade, Pune</x:v>
      </x:c>
      <x:c r="C236" s="49" t="str">
        <x:v>Pune</x:v>
      </x:c>
      <x:c r="D236" s="49" t="str">
        <x:v>https://www.jspmrscoe.edu.in/</x:v>
      </x:c>
      <x:c r="E236" s="49" t="str">
        <x:v>Verified official domain</x:v>
      </x:c>
      <x:c r="F236" s="49" t="str">
        <x:v>Official domain verified; page-by-page completeness not scored</x:v>
      </x:c>
    </x:row>
    <x:row r="237">
      <x:c r="A237" s="63" t="n">
        <x:v>6144</x:v>
      </x:c>
      <x:c r="B237" s="49" t="str">
        <x:v>Genba Sopanrao Moze College of Engineering, Baner-Balewadi, Pune</x:v>
      </x:c>
      <x:c r="C237" s="49" t="str">
        <x:v>Pune</x:v>
      </x:c>
      <x:c r="D237" s="49"/>
      <x:c r="E237" s="49" t="str">
        <x:v>Not centrally verified</x:v>
      </x:c>
      <x:c r="F237" s="49" t="str">
        <x:v>Not scored because official domain was not centrally verified</x:v>
      </x:c>
    </x:row>
    <x:row r="238">
      <x:c r="A238" s="63" t="n">
        <x:v>6145</x:v>
      </x:c>
      <x:c r="B238" s="49" t="str">
        <x:v>JSPM'S Jaywantrao Sawant College of Engineering,Pune</x:v>
      </x:c>
      <x:c r="C238" s="49" t="str">
        <x:v>Pune</x:v>
      </x:c>
      <x:c r="D238" s="49"/>
      <x:c r="E238" s="49" t="str">
        <x:v>Not centrally verified</x:v>
      </x:c>
      <x:c r="F238" s="49" t="str">
        <x:v>Not scored because official domain was not centrally verified</x:v>
      </x:c>
    </x:row>
    <x:row r="239">
      <x:c r="A239" s="63" t="n">
        <x:v>6146</x:v>
      </x:c>
      <x:c r="B239" s="49" t="str">
        <x:v>MIT Academy of Engineering,Alandi, Pune</x:v>
      </x:c>
      <x:c r="C239" s="49" t="str">
        <x:v>Pune</x:v>
      </x:c>
      <x:c r="D239" s="49" t="str">
        <x:v>https://mitaoe.ac.in/</x:v>
      </x:c>
      <x:c r="E239" s="49" t="str">
        <x:v>Verified official domain</x:v>
      </x:c>
      <x:c r="F239" s="49" t="str">
        <x:v>Official domain verified; page-by-page completeness not scored</x:v>
      </x:c>
    </x:row>
    <x:row r="240">
      <x:c r="A240" s="63" t="n">
        <x:v>6149</x:v>
      </x:c>
      <x:c r="B240" s="49" t="str">
        <x:v>Siddhant College of Engineering, A/p Sudumbare, Tal.Maval, Dist-Pune</x:v>
      </x:c>
      <x:c r="C240" s="49" t="str">
        <x:v>Pune</x:v>
      </x:c>
      <x:c r="D240" s="49"/>
      <x:c r="E240" s="49" t="str">
        <x:v>Not centrally verified</x:v>
      </x:c>
      <x:c r="F240" s="49" t="str">
        <x:v>Not scored because official domain was not centrally verified</x:v>
      </x:c>
    </x:row>
    <x:row r="241">
      <x:c r="A241" s="63" t="n">
        <x:v>6155</x:v>
      </x:c>
      <x:c r="B241" s="49" t="str">
        <x:v>G.H.Raisoni College of Engineering &amp; Management, Wagholi, Pune</x:v>
      </x:c>
      <x:c r="C241" s="49" t="str">
        <x:v>Pune</x:v>
      </x:c>
      <x:c r="D241" s="49"/>
      <x:c r="E241" s="49" t="str">
        <x:v>Not centrally verified</x:v>
      </x:c>
      <x:c r="F241" s="49" t="str">
        <x:v>Not scored because official domain was not centrally verified</x:v>
      </x:c>
    </x:row>
    <x:row r="242">
      <x:c r="A242" s="63" t="n">
        <x:v>6156</x:v>
      </x:c>
      <x:c r="B242" s="49" t="str">
        <x:v>Marathwada Mitra Mandal's College of Engineering, Karvenagar, Pune</x:v>
      </x:c>
      <x:c r="C242" s="49" t="str">
        <x:v>Pune</x:v>
      </x:c>
      <x:c r="D242" s="49"/>
      <x:c r="E242" s="49" t="str">
        <x:v>Not centrally verified</x:v>
      </x:c>
      <x:c r="F242" s="49" t="str">
        <x:v>Not scored because official domain was not centrally verified</x:v>
      </x:c>
    </x:row>
    <x:row r="243">
      <x:c r="A243" s="63" t="n">
        <x:v>6175</x:v>
      </x:c>
      <x:c r="B243" s="49" t="str">
        <x:v>Pimpri Chinchwad Education Trust, Pimpri Chinchwad College of Engineering, Pune</x:v>
      </x:c>
      <x:c r="C243" s="49" t="str">
        <x:v>Pune</x:v>
      </x:c>
      <x:c r="D243" s="49" t="str">
        <x:v>https://www.pccoepune.com/</x:v>
      </x:c>
      <x:c r="E243" s="49" t="str">
        <x:v>Verified official domain</x:v>
      </x:c>
      <x:c r="F243" s="49" t="str">
        <x:v>Official domain verified; page-by-page completeness not scored</x:v>
      </x:c>
    </x:row>
    <x:row r="244">
      <x:c r="A244" s="63" t="n">
        <x:v>6177</x:v>
      </x:c>
      <x:c r="B244" s="49" t="str">
        <x:v>Sinhgad College of Engineering, Vadgaon (BK), Pune</x:v>
      </x:c>
      <x:c r="C244" s="49" t="str">
        <x:v>Pune</x:v>
      </x:c>
      <x:c r="D244" s="49"/>
      <x:c r="E244" s="49" t="str">
        <x:v>Not centrally verified</x:v>
      </x:c>
      <x:c r="F244" s="49" t="str">
        <x:v>Not scored because official domain was not centrally verified</x:v>
      </x:c>
    </x:row>
    <x:row r="245">
      <x:c r="A245" s="63" t="n">
        <x:v>6178</x:v>
      </x:c>
      <x:c r="B245" s="49" t="str">
        <x:v>Sinhgad Technical Education Society's Smt. Kashibai Navale College of Engineering,Vadgaon,Pune</x:v>
      </x:c>
      <x:c r="C245" s="49" t="str">
        <x:v>Pune</x:v>
      </x:c>
      <x:c r="D245" s="49"/>
      <x:c r="E245" s="49" t="str">
        <x:v>Not centrally verified</x:v>
      </x:c>
      <x:c r="F245" s="49" t="str">
        <x:v>Not scored because official domain was not centrally verified</x:v>
      </x:c>
    </x:row>
    <x:row r="246">
      <x:c r="A246" s="63" t="n">
        <x:v>6179</x:v>
      </x:c>
      <x:c r="B246" s="49" t="str">
        <x:v>Indira College of Engineering &amp; Management, Pune</x:v>
      </x:c>
      <x:c r="C246" s="49" t="str">
        <x:v>Pune</x:v>
      </x:c>
      <x:c r="D246" s="49"/>
      <x:c r="E246" s="49" t="str">
        <x:v>Not centrally verified</x:v>
      </x:c>
      <x:c r="F246" s="49" t="str">
        <x:v>Not scored because official domain was not centrally verified</x:v>
      </x:c>
    </x:row>
    <x:row r="247">
      <x:c r="A247" s="63" t="n">
        <x:v>6182</x:v>
      </x:c>
      <x:c r="B247" s="49" t="str">
        <x:v>Sinhgad Technical Education Society, Sinhgad Institute of Technology and Science, Narhe (Ambegaon)</x:v>
      </x:c>
      <x:c r="C247" s="49" t="str">
        <x:v>Pune</x:v>
      </x:c>
      <x:c r="D247" s="49"/>
      <x:c r="E247" s="49" t="str">
        <x:v>Not centrally verified</x:v>
      </x:c>
      <x:c r="F247" s="49" t="str">
        <x:v>Not scored because official domain was not centrally verified</x:v>
      </x:c>
    </x:row>
    <x:row r="248">
      <x:c r="A248" s="63" t="n">
        <x:v>6183</x:v>
      </x:c>
      <x:c r="B248" s="49" t="str">
        <x:v>Al-Ameen Educational and Medical Foundation, College of Engineering, Koregaon, Bhima</x:v>
      </x:c>
      <x:c r="C248" s="49" t="str">
        <x:v>Pune</x:v>
      </x:c>
      <x:c r="D248" s="49"/>
      <x:c r="E248" s="49" t="str">
        <x:v>Not centrally verified</x:v>
      </x:c>
      <x:c r="F248" s="49" t="str">
        <x:v>Not scored because official domain was not centrally verified</x:v>
      </x:c>
    </x:row>
    <x:row r="249">
      <x:c r="A249" s="63" t="n">
        <x:v>6184</x:v>
      </x:c>
      <x:c r="B249" s="49" t="str">
        <x:v>K. J.'s Educational Institut Trinity College of Engineering and Research, Pisoli, Haveli</x:v>
      </x:c>
      <x:c r="C249" s="49" t="str">
        <x:v>Pune</x:v>
      </x:c>
      <x:c r="D249" s="49"/>
      <x:c r="E249" s="49" t="str">
        <x:v>Not centrally verified</x:v>
      </x:c>
      <x:c r="F249" s="49" t="str">
        <x:v>Not scored because official domain was not centrally verified</x:v>
      </x:c>
    </x:row>
    <x:row r="250">
      <x:c r="A250" s="63" t="n">
        <x:v>6185</x:v>
      </x:c>
      <x:c r="B250" s="49" t="str">
        <x:v>Sinhgad Institute of Technology</x:v>
      </x:c>
      <x:c r="C250" s="49" t="str">
        <x:v>Pune</x:v>
      </x:c>
      <x:c r="D250" s="49"/>
      <x:c r="E250" s="49" t="str">
        <x:v>Not centrally verified</x:v>
      </x:c>
      <x:c r="F250" s="49" t="str">
        <x:v>Not scored because official domain was not centrally verified</x:v>
      </x:c>
    </x:row>
    <x:row r="251">
      <x:c r="A251" s="63" t="n">
        <x:v>6187</x:v>
      </x:c>
      <x:c r="B251" s="49" t="str">
        <x:v>Sinhgad Academy of Engineering, Kondhwa (BK) Kondhwa-Saswad Road, Pune</x:v>
      </x:c>
      <x:c r="C251" s="49" t="str">
        <x:v>Pune</x:v>
      </x:c>
      <x:c r="D251" s="49"/>
      <x:c r="E251" s="49" t="str">
        <x:v>Not centrally verified</x:v>
      </x:c>
      <x:c r="F251" s="49" t="str">
        <x:v>Not scored because official domain was not centrally verified</x:v>
      </x:c>
    </x:row>
    <x:row r="252">
      <x:c r="A252" s="63" t="n">
        <x:v>6203</x:v>
      </x:c>
      <x:c r="B252" s="49" t="str">
        <x:v>Marathwada Mitra Mandal's Institute of Technology, Lohgaon, Pune</x:v>
      </x:c>
      <x:c r="C252" s="49" t="str">
        <x:v>Pune</x:v>
      </x:c>
      <x:c r="D252" s="49"/>
      <x:c r="E252" s="49" t="str">
        <x:v>Not centrally verified</x:v>
      </x:c>
      <x:c r="F252" s="49" t="str">
        <x:v>Not scored because official domain was not centrally verified</x:v>
      </x:c>
    </x:row>
    <x:row r="253">
      <x:c r="A253" s="63" t="n">
        <x:v>6206</x:v>
      </x:c>
      <x:c r="B253" s="49" t="str">
        <x:v>Pune District Education Association's College of Engineering, Manjari(Bk), Hadapsar, Pune</x:v>
      </x:c>
      <x:c r="C253" s="49" t="str">
        <x:v>Pune</x:v>
      </x:c>
      <x:c r="D253" s="49"/>
      <x:c r="E253" s="49" t="str">
        <x:v>Not centrally verified</x:v>
      </x:c>
      <x:c r="F253" s="49" t="str">
        <x:v>Not scored because official domain was not centrally verified</x:v>
      </x:c>
    </x:row>
    <x:row r="254">
      <x:c r="A254" s="63" t="n">
        <x:v>6207</x:v>
      </x:c>
      <x:c r="B254" s="49" t="str">
        <x:v>Dr. D. Y. Patil Unitech Society's Dr. D. Y. Patil Institute of Technology, Pimpri, Pune</x:v>
      </x:c>
      <x:c r="C254" s="49" t="str">
        <x:v>Pune</x:v>
      </x:c>
      <x:c r="D254" s="49" t="str">
        <x:v>https://engg.dypvp.edu.in/</x:v>
      </x:c>
      <x:c r="E254" s="49" t="str">
        <x:v>Verified official domain</x:v>
      </x:c>
      <x:c r="F254" s="49" t="str">
        <x:v>Official domain verified; page-by-page completeness not scored</x:v>
      </x:c>
    </x:row>
    <x:row r="255">
      <x:c r="A255" s="63" t="n">
        <x:v>6214</x:v>
      </x:c>
      <x:c r="B255" s="49" t="str">
        <x:v>K. E. Society's Rajarambapu Institute of Technology, Walwa, Sangli</x:v>
      </x:c>
      <x:c r="C255" s="49" t="str">
        <x:v>Sangli</x:v>
      </x:c>
      <x:c r="D255" s="49" t="str">
        <x:v>https://ritindia.edu/</x:v>
      </x:c>
      <x:c r="E255" s="49" t="str">
        <x:v>Verified official domain</x:v>
      </x:c>
      <x:c r="F255" s="49" t="str">
        <x:v>Official domain verified; page-by-page completeness not scored</x:v>
      </x:c>
    </x:row>
    <x:row r="256">
      <x:c r="A256" s="63" t="n">
        <x:v>6217</x:v>
      </x:c>
      <x:c r="B256" s="49" t="str">
        <x:v>Shri. Balasaheb Mane Shikshan Prasarak Mandal's, Ashokrao Mane Group of Institutions</x:v>
      </x:c>
      <x:c r="C256" s="49" t="str">
        <x:v>Kolhapur</x:v>
      </x:c>
      <x:c r="D256" s="49"/>
      <x:c r="E256" s="49" t="str">
        <x:v>Not centrally verified</x:v>
      </x:c>
      <x:c r="F256" s="49" t="str">
        <x:v>Not scored because official domain was not centrally verified</x:v>
      </x:c>
    </x:row>
    <x:row r="257">
      <x:c r="A257" s="63" t="n">
        <x:v>6219</x:v>
      </x:c>
      <x:c r="B257" s="49" t="str">
        <x:v>KSGBS's Bharat- Ratna Indira Gandhi College of Engineering, Kegaon, Solapur</x:v>
      </x:c>
      <x:c r="C257" s="49" t="str">
        <x:v>Solapur</x:v>
      </x:c>
      <x:c r="D257" s="49"/>
      <x:c r="E257" s="49" t="str">
        <x:v>Not centrally verified</x:v>
      </x:c>
      <x:c r="F257" s="49" t="str">
        <x:v>Not scored because official domain was not centrally verified</x:v>
      </x:c>
    </x:row>
    <x:row r="258">
      <x:c r="A258" s="63" t="n">
        <x:v>6220</x:v>
      </x:c>
      <x:c r="B258" s="49" t="str">
        <x:v>SVERI's College of Engineering, Pandharpur</x:v>
      </x:c>
      <x:c r="C258" s="49" t="str">
        <x:v>Solapur</x:v>
      </x:c>
      <x:c r="D258" s="49"/>
      <x:c r="E258" s="49" t="str">
        <x:v>Not centrally verified</x:v>
      </x:c>
      <x:c r="F258" s="49" t="str">
        <x:v>Not scored because official domain was not centrally verified</x:v>
      </x:c>
    </x:row>
    <x:row r="259">
      <x:c r="A259" s="63" t="n">
        <x:v>6222</x:v>
      </x:c>
      <x:c r="B259" s="49" t="str">
        <x:v>Dattajirao Kadam Technical Education Society's Textile &amp; Engineering Institute, Ichalkaranji.</x:v>
      </x:c>
      <x:c r="C259" s="49" t="str">
        <x:v>Kolhapur</x:v>
      </x:c>
      <x:c r="D259" s="49"/>
      <x:c r="E259" s="49" t="str">
        <x:v>Not centrally verified</x:v>
      </x:c>
      <x:c r="F259" s="49" t="str">
        <x:v>Not scored because official domain was not centrally verified</x:v>
      </x:c>
    </x:row>
    <x:row r="260">
      <x:c r="A260" s="63" t="n">
        <x:v>6223</x:v>
      </x:c>
      <x:c r="B260" s="49" t="str">
        <x:v>Pradnya Niketan Education Society's Nagesh Karajagi Orchid College of Engineering &amp; Technology, Solapur</x:v>
      </x:c>
      <x:c r="C260" s="49" t="str">
        <x:v>Solapur</x:v>
      </x:c>
      <x:c r="D260" s="49"/>
      <x:c r="E260" s="49" t="str">
        <x:v>Not centrally verified</x:v>
      </x:c>
      <x:c r="F260" s="49" t="str">
        <x:v>Not scored because official domain was not centrally verified</x:v>
      </x:c>
    </x:row>
    <x:row r="261">
      <x:c r="A261" s="63" t="n">
        <x:v>6250</x:v>
      </x:c>
      <x:c r="B261" s="49" t="str">
        <x:v>D.Y. Patil College of Engineering and Technology, Kolhapur</x:v>
      </x:c>
      <x:c r="C261" s="49" t="str">
        <x:v>Kolhapur</x:v>
      </x:c>
      <x:c r="D261" s="49"/>
      <x:c r="E261" s="49" t="str">
        <x:v>Not centrally verified</x:v>
      </x:c>
      <x:c r="F261" s="49" t="str">
        <x:v>Not scored because official domain was not centrally verified</x:v>
      </x:c>
    </x:row>
    <x:row r="262">
      <x:c r="A262" s="63" t="n">
        <x:v>6265</x:v>
      </x:c>
      <x:c r="B262" s="49" t="str">
        <x:v>Walchand Institute of Technology, Solapur</x:v>
      </x:c>
      <x:c r="C262" s="49" t="str">
        <x:v>Solapur</x:v>
      </x:c>
      <x:c r="D262" s="49"/>
      <x:c r="E262" s="49" t="str">
        <x:v>Not centrally verified</x:v>
      </x:c>
      <x:c r="F262" s="49" t="str">
        <x:v>Not scored because official domain was not centrally verified</x:v>
      </x:c>
    </x:row>
    <x:row r="263">
      <x:c r="A263" s="63" t="n">
        <x:v>6267</x:v>
      </x:c>
      <x:c r="B263" s="49" t="str">
        <x:v>Kolhapur Institute of Technology's College of Engineering(Autonomous), Kolhapur</x:v>
      </x:c>
      <x:c r="C263" s="49" t="str">
        <x:v>Kolhapur</x:v>
      </x:c>
      <x:c r="D263" s="49"/>
      <x:c r="E263" s="49" t="str">
        <x:v>Not centrally verified</x:v>
      </x:c>
      <x:c r="F263" s="49" t="str">
        <x:v>Not scored because official domain was not centrally verified</x:v>
      </x:c>
    </x:row>
    <x:row r="264">
      <x:c r="A264" s="63" t="n">
        <x:v>6268</x:v>
      </x:c>
      <x:c r="B264" s="49" t="str">
        <x:v>Tatyasaheb Kore Institute of Engineering and Technology, Warananagar</x:v>
      </x:c>
      <x:c r="C264" s="49" t="str">
        <x:v>Kolhapur</x:v>
      </x:c>
      <x:c r="D264" s="49"/>
      <x:c r="E264" s="49" t="str">
        <x:v>Not centrally verified</x:v>
      </x:c>
      <x:c r="F264" s="49" t="str">
        <x:v>Not scored because official domain was not centrally verified</x:v>
      </x:c>
    </x:row>
    <x:row r="265">
      <x:c r="A265" s="63" t="n">
        <x:v>6269</x:v>
      </x:c>
      <x:c r="B265" s="49" t="str">
        <x:v>Shetkari Shikshan Mandal's Pad. Vasantraodada Patil Institute of Technology, Budhgaon, Sangli</x:v>
      </x:c>
      <x:c r="C265" s="49" t="str">
        <x:v>Sangli</x:v>
      </x:c>
      <x:c r="D265" s="49"/>
      <x:c r="E265" s="49" t="str">
        <x:v>Not centrally verified</x:v>
      </x:c>
      <x:c r="F265" s="49" t="str">
        <x:v>Not scored because official domain was not centrally verified</x:v>
      </x:c>
    </x:row>
    <x:row r="266">
      <x:c r="A266" s="63" t="n">
        <x:v>6270</x:v>
      </x:c>
      <x:c r="B266" s="49" t="str">
        <x:v>Rayat Shikshan Sanstha's Karmaveer Bhaurao Patil College of Engineering, Satara</x:v>
      </x:c>
      <x:c r="C266" s="49" t="str">
        <x:v>Satara</x:v>
      </x:c>
      <x:c r="D266" s="49"/>
      <x:c r="E266" s="49" t="str">
        <x:v>Not centrally verified</x:v>
      </x:c>
      <x:c r="F266" s="49" t="str">
        <x:v>Not scored because official domain was not centrally verified</x:v>
      </x:c>
    </x:row>
    <x:row r="267">
      <x:c r="A267" s="63" t="n">
        <x:v>6271</x:v>
      </x:c>
      <x:c r="B267" s="49" t="str">
        <x:v>Pune Institute of Computer Technology</x:v>
      </x:c>
      <x:c r="C267" s="49" t="str">
        <x:v>Pune</x:v>
      </x:c>
      <x:c r="D267" s="49" t="str">
        <x:v>https://pict.edu/</x:v>
      </x:c>
      <x:c r="E267" s="49" t="str">
        <x:v>Verified official domain</x:v>
      </x:c>
      <x:c r="F267" s="49" t="str">
        <x:v>Official domain verified; page-by-page completeness not scored</x:v>
      </x:c>
    </x:row>
    <x:row r="268">
      <x:c r="A268" s="63" t="n">
        <x:v>6272</x:v>
      </x:c>
      <x:c r="B268" s="49" t="str">
        <x:v>Dr. D. Y. Patil Pratishthan's D.Y.Patil College of Engineering Akurdi, Pune</x:v>
      </x:c>
      <x:c r="C268" s="49" t="str">
        <x:v>Pune</x:v>
      </x:c>
      <x:c r="D268" s="49"/>
      <x:c r="E268" s="49" t="str">
        <x:v>Not centrally verified</x:v>
      </x:c>
      <x:c r="F268" s="49" t="str">
        <x:v>Not scored because official domain was not centrally verified</x:v>
      </x:c>
    </x:row>
    <x:row r="269">
      <x:c r="A269" s="63" t="n">
        <x:v>6273</x:v>
      </x:c>
      <x:c r="B269" s="49" t="str">
        <x:v>Bansilal Ramnath Agarawal Charitable Trust's Vishwakarma Institute of Technology, Bibwewadi, Pune</x:v>
      </x:c>
      <x:c r="C269" s="49" t="str">
        <x:v>Pune</x:v>
      </x:c>
      <x:c r="D269" s="49" t="str">
        <x:v>https://www.vit.edu/</x:v>
      </x:c>
      <x:c r="E269" s="49" t="str">
        <x:v>Verified official domain</x:v>
      </x:c>
      <x:c r="F269" s="49" t="str">
        <x:v>Official domain verified; page-by-page completeness not scored</x:v>
      </x:c>
    </x:row>
    <x:row r="270">
      <x:c r="A270" s="63" t="n">
        <x:v>6274</x:v>
      </x:c>
      <x:c r="B270" s="49" t="str">
        <x:v>PVG's College of Engineering, Technology &amp; Management</x:v>
      </x:c>
      <x:c r="C270" s="49" t="str">
        <x:v>Pune</x:v>
      </x:c>
      <x:c r="D270" s="49"/>
      <x:c r="E270" s="49" t="str">
        <x:v>Not centrally verified</x:v>
      </x:c>
      <x:c r="F270" s="49" t="str">
        <x:v>Not scored because official domain was not centrally verified</x:v>
      </x:c>
    </x:row>
    <x:row r="271">
      <x:c r="A271" s="63" t="n">
        <x:v>6275</x:v>
      </x:c>
      <x:c r="B271" s="49" t="str">
        <x:v>Shivnagar Vidya Prasarak Mandal's College of Engineering, Malegaon-Baramati</x:v>
      </x:c>
      <x:c r="C271" s="49" t="str">
        <x:v>Pune</x:v>
      </x:c>
      <x:c r="D271" s="49"/>
      <x:c r="E271" s="49" t="str">
        <x:v>Not centrally verified</x:v>
      </x:c>
      <x:c r="F271" s="49" t="str">
        <x:v>Not scored because official domain was not centrally verified</x:v>
      </x:c>
    </x:row>
    <x:row r="272">
      <x:c r="A272" s="63" t="n">
        <x:v>6276</x:v>
      </x:c>
      <x:c r="B272" s="49" t="str">
        <x:v>MKSSS's Cummins College of Engineering for Women, Karvenagar,Pune</x:v>
      </x:c>
      <x:c r="C272" s="49" t="str">
        <x:v>Pune</x:v>
      </x:c>
      <x:c r="D272" s="49" t="str">
        <x:v>https://www.cumminscollege.org/</x:v>
      </x:c>
      <x:c r="E272" s="49" t="str">
        <x:v>Verified official domain</x:v>
      </x:c>
      <x:c r="F272" s="49" t="str">
        <x:v>Official domain verified; page-by-page completeness not scored</x:v>
      </x:c>
    </x:row>
    <x:row r="273">
      <x:c r="A273" s="63" t="n">
        <x:v>6277</x:v>
      </x:c>
      <x:c r="B273" s="49" t="str">
        <x:v>Dr. J. J. Magdum Charitable Trust's Dr. J.J. Magdum College of Engineering, Jaysingpur</x:v>
      </x:c>
      <x:c r="C273" s="49" t="str">
        <x:v>Kolhapur</x:v>
      </x:c>
      <x:c r="D273" s="49"/>
      <x:c r="E273" s="49" t="str">
        <x:v>Not centrally verified</x:v>
      </x:c>
      <x:c r="F273" s="49" t="str">
        <x:v>Not scored because official domain was not centrally verified</x:v>
      </x:c>
    </x:row>
    <x:row r="274">
      <x:c r="A274" s="63" t="n">
        <x:v>6278</x:v>
      </x:c>
      <x:c r="B274" s="49" t="str">
        <x:v>All India Shri Shivaji Memorial Society's College of Engineering, Pune</x:v>
      </x:c>
      <x:c r="C274" s="49" t="str">
        <x:v>Pune</x:v>
      </x:c>
      <x:c r="D274" s="49"/>
      <x:c r="E274" s="49" t="str">
        <x:v>Not centrally verified</x:v>
      </x:c>
      <x:c r="F274" s="49" t="str">
        <x:v>Not scored because official domain was not centrally verified</x:v>
      </x:c>
    </x:row>
    <x:row r="275">
      <x:c r="A275" s="63" t="n">
        <x:v>6281</x:v>
      </x:c>
      <x:c r="B275" s="49" t="str">
        <x:v>Modern Education Society's Wadia College of Engineering, Pune</x:v>
      </x:c>
      <x:c r="C275" s="49" t="str">
        <x:v>Pune</x:v>
      </x:c>
      <x:c r="D275" s="49"/>
      <x:c r="E275" s="49" t="str">
        <x:v>Not centrally verified</x:v>
      </x:c>
      <x:c r="F275" s="49" t="str">
        <x:v>Not scored because official domain was not centrally verified</x:v>
      </x:c>
    </x:row>
    <x:row r="276">
      <x:c r="A276" s="63" t="n">
        <x:v>6282</x:v>
      </x:c>
      <x:c r="B276" s="49" t="str">
        <x:v>All India Shri Shivaji Memorial Society's Institute of Information Technology,Pune</x:v>
      </x:c>
      <x:c r="C276" s="49" t="str">
        <x:v>Pune</x:v>
      </x:c>
      <x:c r="D276" s="49"/>
      <x:c r="E276" s="49" t="str">
        <x:v>Not centrally verified</x:v>
      </x:c>
      <x:c r="F276" s="49" t="str">
        <x:v>Not scored because official domain was not centrally verified</x:v>
      </x:c>
    </x:row>
    <x:row r="277">
      <x:c r="A277" s="63" t="n">
        <x:v>6283</x:v>
      </x:c>
      <x:c r="B277" s="49" t="str">
        <x:v>Annasaheb Dange College of Engineering and Technology, Ashta, Sangli</x:v>
      </x:c>
      <x:c r="C277" s="49" t="str">
        <x:v>Sangli</x:v>
      </x:c>
      <x:c r="D277" s="49"/>
      <x:c r="E277" s="49" t="str">
        <x:v>Not centrally verified</x:v>
      </x:c>
      <x:c r="F277" s="49" t="str">
        <x:v>Not scored because official domain was not centrally verified</x:v>
      </x:c>
    </x:row>
    <x:row r="278">
      <x:c r="A278" s="63" t="n">
        <x:v>6284</x:v>
      </x:c>
      <x:c r="B278" s="49" t="str">
        <x:v>Vidya Pratishthan's Kamalnayan Bajaj Institute of Engineering &amp; Technology, Baramati Dist.Pune</x:v>
      </x:c>
      <x:c r="C278" s="49" t="str">
        <x:v>Pune</x:v>
      </x:c>
      <x:c r="D278" s="49"/>
      <x:c r="E278" s="49" t="str">
        <x:v>Not centrally verified</x:v>
      </x:c>
      <x:c r="F278" s="49" t="str">
        <x:v>Not scored because official domain was not centrally verified</x:v>
      </x:c>
    </x:row>
    <x:row r="279">
      <x:c r="A279" s="63" t="n">
        <x:v>6285</x:v>
      </x:c>
      <x:c r="B279" s="49" t="str">
        <x:v>Bharati Vidyapeeth's College of Engineering for Women, Katraj, Dhankawadi, Pune</x:v>
      </x:c>
      <x:c r="C279" s="49" t="str">
        <x:v>Pune</x:v>
      </x:c>
      <x:c r="D279" s="49"/>
      <x:c r="E279" s="49" t="str">
        <x:v>Not centrally verified</x:v>
      </x:c>
      <x:c r="F279" s="49" t="str">
        <x:v>Not scored because official domain was not centrally verified</x:v>
      </x:c>
    </x:row>
    <x:row r="280">
      <x:c r="A280" s="63" t="n">
        <x:v>6288</x:v>
      </x:c>
      <x:c r="B280" s="49" t="str">
        <x:v>Bharati Vidyapeeth's College of Engineering, Kolhapur</x:v>
      </x:c>
      <x:c r="C280" s="49" t="str">
        <x:v>Kolhapur</x:v>
      </x:c>
      <x:c r="D280" s="49"/>
      <x:c r="E280" s="49" t="str">
        <x:v>Not centrally verified</x:v>
      </x:c>
      <x:c r="F280" s="49" t="str">
        <x:v>Not scored because official domain was not centrally verified</x:v>
      </x:c>
    </x:row>
    <x:row r="281">
      <x:c r="A281" s="63" t="n">
        <x:v>6289</x:v>
      </x:c>
      <x:c r="B281" s="49" t="str">
        <x:v>B.R.A.C.Ts Vishwakarma Institute of Information Technology, Kondhwa (Bk.), Pune</x:v>
      </x:c>
      <x:c r="C281" s="49" t="str">
        <x:v>Pune</x:v>
      </x:c>
      <x:c r="D281" s="49"/>
      <x:c r="E281" s="49" t="str">
        <x:v>Not centrally verified</x:v>
      </x:c>
      <x:c r="F281" s="49" t="str">
        <x:v>Not scored because official domain was not centrally verified</x:v>
      </x:c>
    </x:row>
    <x:row r="282">
      <x:c r="A282" s="63" t="n">
        <x:v>6293</x:v>
      </x:c>
      <x:c r="B282" s="49" t="str">
        <x:v>Kai Amdar Bramhadevdada Mane Shikshan &amp; Samajik Prathistan's Bramhadevdada Mane Institute of Technology, Solapur</x:v>
      </x:c>
      <x:c r="C282" s="49" t="str">
        <x:v>Solapur</x:v>
      </x:c>
      <x:c r="D282" s="49"/>
      <x:c r="E282" s="49" t="str">
        <x:v>Not centrally verified</x:v>
      </x:c>
      <x:c r="F282" s="49" t="str">
        <x:v>Not scored because official domain was not centrally verified</x:v>
      </x:c>
    </x:row>
    <x:row r="283">
      <x:c r="A283" s="63" t="n">
        <x:v>6298</x:v>
      </x:c>
      <x:c r="B283" s="49" t="str">
        <x:v>Zeal Education Society's Zeal College of Engineering &amp; Reserch, Narhe, Pune</x:v>
      </x:c>
      <x:c r="C283" s="49" t="str">
        <x:v>Pune</x:v>
      </x:c>
      <x:c r="D283" s="49"/>
      <x:c r="E283" s="49" t="str">
        <x:v>Not centrally verified</x:v>
      </x:c>
      <x:c r="F283" s="49" t="str">
        <x:v>Not scored because official domain was not centrally verified</x:v>
      </x:c>
    </x:row>
    <x:row r="284">
      <x:c r="A284" s="63" t="n">
        <x:v>6303</x:v>
      </x:c>
      <x:c r="B284" s="49" t="str">
        <x:v>Dr. Ashok Gujar Technical Institute's Dr. Daulatrao Aher College of Engineering, Karad</x:v>
      </x:c>
      <x:c r="C284" s="49" t="str">
        <x:v>Satara</x:v>
      </x:c>
      <x:c r="D284" s="49"/>
      <x:c r="E284" s="49" t="str">
        <x:v>Not centrally verified</x:v>
      </x:c>
      <x:c r="F284" s="49" t="str">
        <x:v>Not scored because official domain was not centrally verified</x:v>
      </x:c>
    </x:row>
    <x:row r="285">
      <x:c r="A285" s="63" t="n">
        <x:v>6304</x:v>
      </x:c>
      <x:c r="B285" s="49" t="str">
        <x:v>Loknete Hanumantrao Charitable Trust's Adarsh Institute of Technology and Research Centre, Vita,Sangli</x:v>
      </x:c>
      <x:c r="C285" s="49" t="str">
        <x:v>Sangli</x:v>
      </x:c>
      <x:c r="D285" s="49"/>
      <x:c r="E285" s="49" t="str">
        <x:v>Not centrally verified</x:v>
      </x:c>
      <x:c r="F285" s="49" t="str">
        <x:v>Not scored because official domain was not centrally verified</x:v>
      </x:c>
    </x:row>
    <x:row r="286">
      <x:c r="A286" s="63" t="n">
        <x:v>6305</x:v>
      </x:c>
      <x:c r="B286" s="49" t="str">
        <x:v>Late Narayandas Bhawandas Chhabada Institute of Engineering &amp; Technology, Satara</x:v>
      </x:c>
      <x:c r="C286" s="49" t="str">
        <x:v>Satara</x:v>
      </x:c>
      <x:c r="D286" s="49"/>
      <x:c r="E286" s="49" t="str">
        <x:v>Not centrally verified</x:v>
      </x:c>
      <x:c r="F286" s="49" t="str">
        <x:v>Not scored because official domain was not centrally verified</x:v>
      </x:c>
    </x:row>
    <x:row r="287">
      <x:c r="A287" s="63" t="n">
        <x:v>6307</x:v>
      </x:c>
      <x:c r="B287" s="49" t="str">
        <x:v>Dhole Patil Education Society, Dhole Patil College of Engineering, Wagholi, Tal. Haveli</x:v>
      </x:c>
      <x:c r="C287" s="49" t="str">
        <x:v>Pune</x:v>
      </x:c>
      <x:c r="D287" s="49"/>
      <x:c r="E287" s="49" t="str">
        <x:v>Not centrally verified</x:v>
      </x:c>
      <x:c r="F287" s="49" t="str">
        <x:v>Not scored because official domain was not centrally verified</x:v>
      </x:c>
    </x:row>
    <x:row r="288">
      <x:c r="A288" s="63" t="n">
        <x:v>6308</x:v>
      </x:c>
      <x:c r="B288" s="49" t="str">
        <x:v>Shanti Education Society, A.G. Patil Institute of Technology, Soregaon, Solapur(North)</x:v>
      </x:c>
      <x:c r="C288" s="49" t="str">
        <x:v>Solapur</x:v>
      </x:c>
      <x:c r="D288" s="49"/>
      <x:c r="E288" s="49" t="str">
        <x:v>Not centrally verified</x:v>
      </x:c>
      <x:c r="F288" s="49" t="str">
        <x:v>Not scored because official domain was not centrally verified</x:v>
      </x:c>
    </x:row>
    <x:row r="289">
      <x:c r="A289" s="63" t="n">
        <x:v>6310</x:v>
      </x:c>
      <x:c r="B289" s="49" t="str">
        <x:v>Nutan Maharashtra Vidya Prasarak Mandal, Nutan Maharashtra Institute of Engineering &amp;Technology, Talegaon station, Pune</x:v>
      </x:c>
      <x:c r="C289" s="49" t="str">
        <x:v>Pune</x:v>
      </x:c>
      <x:c r="D289" s="49"/>
      <x:c r="E289" s="49" t="str">
        <x:v>Not centrally verified</x:v>
      </x:c>
      <x:c r="F289" s="49" t="str">
        <x:v>Not scored because official domain was not centrally verified</x:v>
      </x:c>
    </x:row>
    <x:row r="290">
      <x:c r="A290" s="63" t="n">
        <x:v>6311</x:v>
      </x:c>
      <x:c r="B290" s="49" t="str">
        <x:v>Jayawant Shikshan Prasarak Mandal, Bhivarabai Sawant Institute of Technology &amp; Research, Wagholi</x:v>
      </x:c>
      <x:c r="C290" s="49" t="str">
        <x:v>Pune</x:v>
      </x:c>
      <x:c r="D290" s="49"/>
      <x:c r="E290" s="49" t="str">
        <x:v>Not centrally verified</x:v>
      </x:c>
      <x:c r="F290" s="49" t="str">
        <x:v>Not scored because official domain was not centrally verified</x:v>
      </x:c>
    </x:row>
    <x:row r="291">
      <x:c r="A291" s="63" t="n">
        <x:v>6313</x:v>
      </x:c>
      <x:c r="B291" s="49" t="str">
        <x:v>Jaywant College of Engineering &amp; Polytechnic , Kille Macchindragad Tal. Walva District- Sangali</x:v>
      </x:c>
      <x:c r="C291" s="49" t="str">
        <x:v>Sangli</x:v>
      </x:c>
      <x:c r="D291" s="49"/>
      <x:c r="E291" s="49" t="str">
        <x:v>Not centrally verified</x:v>
      </x:c>
      <x:c r="F291" s="49" t="str">
        <x:v>Not scored because official domain was not centrally verified</x:v>
      </x:c>
    </x:row>
    <x:row r="292">
      <x:c r="A292" s="63" t="n">
        <x:v>6315</x:v>
      </x:c>
      <x:c r="B292" s="49" t="str">
        <x:v>Sanjeevan Group of Institutions</x:v>
      </x:c>
      <x:c r="C292" s="49" t="str">
        <x:v>Kolhapur</x:v>
      </x:c>
      <x:c r="D292" s="49"/>
      <x:c r="E292" s="49" t="str">
        <x:v>Not centrally verified</x:v>
      </x:c>
      <x:c r="F292" s="49" t="str">
        <x:v>Not scored because official domain was not centrally verified</x:v>
      </x:c>
    </x:row>
    <x:row r="293">
      <x:c r="A293" s="63" t="n">
        <x:v>6317</x:v>
      </x:c>
      <x:c r="B293" s="49" t="str">
        <x:v>Sharad Institute of Technology College of Engineering, Yadrav(Ichalkaranji)</x:v>
      </x:c>
      <x:c r="C293" s="49" t="str">
        <x:v>Kolhapur</x:v>
      </x:c>
      <x:c r="D293" s="49"/>
      <x:c r="E293" s="49" t="str">
        <x:v>Not centrally verified</x:v>
      </x:c>
      <x:c r="F293" s="49" t="str">
        <x:v>Not scored because official domain was not centrally verified</x:v>
      </x:c>
    </x:row>
    <x:row r="294">
      <x:c r="A294" s="63" t="n">
        <x:v>6318</x:v>
      </x:c>
      <x:c r="B294" s="49" t="str">
        <x:v>Abhinav Education Societys College of Engineering and Technology (Degree), Wadwadi</x:v>
      </x:c>
      <x:c r="C294" s="49" t="str">
        <x:v>Satara</x:v>
      </x:c>
      <x:c r="D294" s="49"/>
      <x:c r="E294" s="49" t="str">
        <x:v>Not centrally verified</x:v>
      </x:c>
      <x:c r="F294" s="49" t="str">
        <x:v>Not scored because official domain was not centrally verified</x:v>
      </x:c>
    </x:row>
    <x:row r="295">
      <x:c r="A295" s="63" t="n">
        <x:v>6319</x:v>
      </x:c>
      <x:c r="B295" s="49" t="str">
        <x:v>Shahajirao Patil Vikas Pratishthan, S.B.Patil College of Engineering, Vangali, Tal. Indapur</x:v>
      </x:c>
      <x:c r="C295" s="49" t="str">
        <x:v>Pune</x:v>
      </x:c>
      <x:c r="D295" s="49"/>
      <x:c r="E295" s="49" t="str">
        <x:v>Not centrally verified</x:v>
      </x:c>
      <x:c r="F295" s="49" t="str">
        <x:v>Not scored because official domain was not centrally verified</x:v>
      </x:c>
    </x:row>
    <x:row r="296">
      <x:c r="A296" s="63" t="n">
        <x:v>6320</x:v>
      </x:c>
      <x:c r="B296" s="49" t="str">
        <x:v>K.J.'s Educational Institute's K.J.College of Engineering &amp; Management Research, Pisoli</x:v>
      </x:c>
      <x:c r="C296" s="49" t="str">
        <x:v>Pune</x:v>
      </x:c>
      <x:c r="D296" s="49"/>
      <x:c r="E296" s="49" t="str">
        <x:v>Not centrally verified</x:v>
      </x:c>
      <x:c r="F296" s="49" t="str">
        <x:v>Not scored because official domain was not centrally verified</x:v>
      </x:c>
    </x:row>
    <x:row r="297">
      <x:c r="A297" s="63" t="n">
        <x:v>6321</x:v>
      </x:c>
      <x:c r="B297" s="49" t="str">
        <x:v>Vidya Vikas Pratishthan Institute of Engineering and Technology, Solapur</x:v>
      </x:c>
      <x:c r="C297" s="49" t="str">
        <x:v>Solapur</x:v>
      </x:c>
      <x:c r="D297" s="49"/>
      <x:c r="E297" s="49" t="str">
        <x:v>Not centrally verified</x:v>
      </x:c>
      <x:c r="F297" s="49" t="str">
        <x:v>Not scored because official domain was not centrally verified</x:v>
      </x:c>
    </x:row>
    <x:row r="298">
      <x:c r="A298" s="63" t="n">
        <x:v>6322</x:v>
      </x:c>
      <x:c r="B298" s="49" t="str">
        <x:v>Shree Gajanan Maharaj Shikshan Prasarak Manda'l Sharadchandra Pawar College of Engineering, Dumbarwadi</x:v>
      </x:c>
      <x:c r="C298" s="49" t="str">
        <x:v>Pune</x:v>
      </x:c>
      <x:c r="D298" s="49"/>
      <x:c r="E298" s="49" t="str">
        <x:v>Not centrally verified</x:v>
      </x:c>
      <x:c r="F298" s="49" t="str">
        <x:v>Not scored because official domain was not centrally verified</x:v>
      </x:c>
    </x:row>
    <x:row r="299">
      <x:c r="A299" s="63" t="n">
        <x:v>6324</x:v>
      </x:c>
      <x:c r="B299" s="49" t="str">
        <x:v>Rajgad Technical Campus</x:v>
      </x:c>
      <x:c r="C299" s="49" t="str">
        <x:v>Pune</x:v>
      </x:c>
      <x:c r="D299" s="49"/>
      <x:c r="E299" s="49" t="str">
        <x:v>Not centrally verified</x:v>
      </x:c>
      <x:c r="F299" s="49" t="str">
        <x:v>Not scored because official domain was not centrally verified</x:v>
      </x:c>
    </x:row>
    <x:row r="300">
      <x:c r="A300" s="63" t="n">
        <x:v>6325</x:v>
      </x:c>
      <x:c r="B300" s="49" t="str">
        <x:v>Alard Charitable Trust's Alard College of Engineering and Management, Pune</x:v>
      </x:c>
      <x:c r="C300" s="49" t="str">
        <x:v>Pune</x:v>
      </x:c>
      <x:c r="D300" s="49"/>
      <x:c r="E300" s="49" t="str">
        <x:v>Not centrally verified</x:v>
      </x:c>
      <x:c r="F300" s="49" t="str">
        <x:v>Not scored because official domain was not centrally verified</x:v>
      </x:c>
    </x:row>
    <x:row r="301">
      <x:c r="A301" s="63" t="n">
        <x:v>6326</x:v>
      </x:c>
      <x:c r="B301" s="49" t="str">
        <x:v>Karmayogi Institute of Technology</x:v>
      </x:c>
      <x:c r="C301" s="49" t="str">
        <x:v>Solapur</x:v>
      </x:c>
      <x:c r="D301" s="49"/>
      <x:c r="E301" s="49" t="str">
        <x:v>Not centrally verified</x:v>
      </x:c>
      <x:c r="F301" s="49" t="str">
        <x:v>Not scored because official domain was not centrally verified</x:v>
      </x:c>
    </x:row>
    <x:row r="302">
      <x:c r="A302" s="63" t="n">
        <x:v>6402</x:v>
      </x:c>
      <x:c r="B302" s="49" t="str">
        <x:v>NEW INSTITUTE OF TECHNOLOGY,KOLHAPUR</x:v>
      </x:c>
      <x:c r="C302" s="49"/>
      <x:c r="D302" s="49"/>
      <x:c r="E302" s="49" t="str">
        <x:v>Not centrally verified</x:v>
      </x:c>
      <x:c r="F302" s="49" t="str">
        <x:v>Not scored because official domain was not centrally verified</x:v>
      </x:c>
    </x:row>
    <x:row r="303">
      <x:c r="A303" s="63" t="n">
        <x:v>6419</x:v>
      </x:c>
      <x:c r="B303" s="49" t="str">
        <x:v>Nutan College of Engineering and Research, Talegaon Dabhade Tal. Maval, Pune</x:v>
      </x:c>
      <x:c r="C303" s="49" t="str">
        <x:v>Pune</x:v>
      </x:c>
      <x:c r="D303" s="49"/>
      <x:c r="E303" s="49" t="str">
        <x:v>Not centrally verified</x:v>
      </x:c>
      <x:c r="F303" s="49" t="str">
        <x:v>Not scored because official domain was not centrally verified</x:v>
      </x:c>
    </x:row>
    <x:row r="304">
      <x:c r="A304" s="63" t="n">
        <x:v>6444</x:v>
      </x:c>
      <x:c r="B304" s="49" t="str">
        <x:v>Shriram Institute Of Engineering &amp; Technology, (Poly), Paniv</x:v>
      </x:c>
      <x:c r="C304" s="49"/>
      <x:c r="D304" s="49"/>
      <x:c r="E304" s="49" t="str">
        <x:v>Not centrally verified</x:v>
      </x:c>
      <x:c r="F304" s="49" t="str">
        <x:v>Not scored because official domain was not centrally verified</x:v>
      </x:c>
    </x:row>
    <x:row r="305">
      <x:c r="A305" s="63" t="n">
        <x:v>6466</x:v>
      </x:c>
      <x:c r="B305" s="49" t="str">
        <x:v>Shree Santkrupa Shikshan Sanstha, Shree Santkrupa Institute Of Engineering &amp; Technology, Karad</x:v>
      </x:c>
      <x:c r="C305" s="49" t="str">
        <x:v>Satara</x:v>
      </x:c>
      <x:c r="D305" s="49"/>
      <x:c r="E305" s="49" t="str">
        <x:v>Not centrally verified</x:v>
      </x:c>
      <x:c r="F305" s="49" t="str">
        <x:v>Not scored because official domain was not centrally verified</x:v>
      </x:c>
    </x:row>
    <x:row r="306">
      <x:c r="A306" s="63" t="n">
        <x:v>6468</x:v>
      </x:c>
      <x:c r="B306" s="49" t="str">
        <x:v>Swami Vivekananda Shikshan Sanstha, Dr. Bapuji Salunkhe Institute Of Engineering &amp; Technology,Kolhapur</x:v>
      </x:c>
      <x:c r="C306" s="49"/>
      <x:c r="D306" s="49"/>
      <x:c r="E306" s="49" t="str">
        <x:v>Not centrally verified</x:v>
      </x:c>
      <x:c r="F306" s="49" t="str">
        <x:v>Not scored because official domain was not centrally verified</x:v>
      </x:c>
    </x:row>
    <x:row r="307">
      <x:c r="A307" s="63" t="n">
        <x:v>6545</x:v>
      </x:c>
      <x:c r="B307" s="49" t="str">
        <x:v>Samarth Education Trust's Arvind Gavali College Of Engineering Panwalewadi, Varye,Satara.</x:v>
      </x:c>
      <x:c r="C307" s="49" t="str">
        <x:v>Satara</x:v>
      </x:c>
      <x:c r="D307" s="49"/>
      <x:c r="E307" s="49" t="str">
        <x:v>Not centrally verified</x:v>
      </x:c>
      <x:c r="F307" s="49" t="str">
        <x:v>Not scored because official domain was not centrally verified</x:v>
      </x:c>
    </x:row>
    <x:row r="308">
      <x:c r="A308" s="63" t="n">
        <x:v>6609</x:v>
      </x:c>
      <x:c r="B308" s="49" t="str">
        <x:v>Jaihind College Of Engineering,Kuran</x:v>
      </x:c>
      <x:c r="C308" s="49" t="str">
        <x:v>Pune</x:v>
      </x:c>
      <x:c r="D308" s="49"/>
      <x:c r="E308" s="49" t="str">
        <x:v>Not centrally verified</x:v>
      </x:c>
      <x:c r="F308" s="49" t="str">
        <x:v>Not scored because official domain was not centrally verified</x:v>
      </x:c>
    </x:row>
    <x:row r="309">
      <x:c r="A309" s="63" t="n">
        <x:v>6622</x:v>
      </x:c>
      <x:c r="B309" s="49" t="str">
        <x:v>ISBM College Of Engineering Pune</x:v>
      </x:c>
      <x:c r="C309" s="49" t="str">
        <x:v>Pune</x:v>
      </x:c>
      <x:c r="D309" s="49"/>
      <x:c r="E309" s="49" t="str">
        <x:v>Not centrally verified</x:v>
      </x:c>
      <x:c r="F309" s="49" t="str">
        <x:v>Not scored because official domain was not centrally verified</x:v>
      </x:c>
    </x:row>
    <x:row r="310">
      <x:c r="A310" s="63" t="n">
        <x:v>6625</x:v>
      </x:c>
      <x:c r="B310" s="49" t="str">
        <x:v>Universal College of Engineering &amp; Research, Sasewadi</x:v>
      </x:c>
      <x:c r="C310" s="49" t="str">
        <x:v>Pune</x:v>
      </x:c>
      <x:c r="D310" s="49"/>
      <x:c r="E310" s="49" t="str">
        <x:v>Not centrally verified</x:v>
      </x:c>
      <x:c r="F310" s="49" t="str">
        <x:v>Not scored because official domain was not centrally verified</x:v>
      </x:c>
    </x:row>
    <x:row r="311">
      <x:c r="A311" s="63" t="n">
        <x:v>6628</x:v>
      </x:c>
      <x:c r="B311" s="49" t="str">
        <x:v>Dattakala Group Of Institutions, Swami - Chincholi Tal. Daund Dist. Pune</x:v>
      </x:c>
      <x:c r="C311" s="49" t="str">
        <x:v>Pune</x:v>
      </x:c>
      <x:c r="D311" s="49"/>
      <x:c r="E311" s="49" t="str">
        <x:v>Not centrally verified</x:v>
      </x:c>
      <x:c r="F311" s="49" t="str">
        <x:v>Not scored because official domain was not centrally verified</x:v>
      </x:c>
    </x:row>
    <x:row r="312">
      <x:c r="A312" s="63" t="n">
        <x:v>6632</x:v>
      </x:c>
      <x:c r="B312" s="49" t="str">
        <x:v>Navsahyadri Education Society's Group of Institutions</x:v>
      </x:c>
      <x:c r="C312" s="49" t="str">
        <x:v>Pune</x:v>
      </x:c>
      <x:c r="D312" s="49"/>
      <x:c r="E312" s="49" t="str">
        <x:v>Not centrally verified</x:v>
      </x:c>
      <x:c r="F312" s="49" t="str">
        <x:v>Not scored because official domain was not centrally verified</x:v>
      </x:c>
    </x:row>
    <x:row r="313">
      <x:c r="A313" s="63" t="n">
        <x:v>6634</x:v>
      </x:c>
      <x:c r="B313" s="49" t="str">
        <x:v>KJEI's Trinity Academy of Engineering, Yewalewadi, Pune</x:v>
      </x:c>
      <x:c r="C313" s="49" t="str">
        <x:v>Pune</x:v>
      </x:c>
      <x:c r="D313" s="49"/>
      <x:c r="E313" s="49" t="str">
        <x:v>Not centrally verified</x:v>
      </x:c>
      <x:c r="F313" s="49" t="str">
        <x:v>Not scored because official domain was not centrally verified</x:v>
      </x:c>
    </x:row>
    <x:row r="314">
      <x:c r="A314" s="63" t="n">
        <x:v>6635</x:v>
      </x:c>
      <x:c r="B314" s="49" t="str">
        <x:v>Samarth College of Engineering and Management</x:v>
      </x:c>
      <x:c r="C314" s="49" t="str">
        <x:v>Pune</x:v>
      </x:c>
      <x:c r="D314" s="49"/>
      <x:c r="E314" s="49" t="str">
        <x:v>Not centrally verified</x:v>
      </x:c>
      <x:c r="F314" s="49" t="str">
        <x:v>Not scored because official domain was not centrally verified</x:v>
      </x:c>
    </x:row>
    <x:row r="315">
      <x:c r="A315" s="63" t="n">
        <x:v>6640</x:v>
      </x:c>
      <x:c r="B315" s="49" t="str">
        <x:v>N. B. Navale Sinhgad College of Engineering, Kegaon, solapur</x:v>
      </x:c>
      <x:c r="C315" s="49" t="str">
        <x:v>Solapur</x:v>
      </x:c>
      <x:c r="D315" s="49"/>
      <x:c r="E315" s="49" t="str">
        <x:v>Not centrally verified</x:v>
      </x:c>
      <x:c r="F315" s="49" t="str">
        <x:v>Not scored because official domain was not centrally verified</x:v>
      </x:c>
    </x:row>
    <x:row r="316">
      <x:c r="A316" s="63" t="n">
        <x:v>6643</x:v>
      </x:c>
      <x:c r="B316" s="49" t="str">
        <x:v>S K N Sinhgad College of Engineering, Korti Tal. Pandharpur Dist Solapur</x:v>
      </x:c>
      <x:c r="C316" s="49" t="str">
        <x:v>Solapur</x:v>
      </x:c>
      <x:c r="D316" s="49"/>
      <x:c r="E316" s="49" t="str">
        <x:v>Not centrally verified</x:v>
      </x:c>
      <x:c r="F316" s="49" t="str">
        <x:v>Not scored because official domain was not centrally verified</x:v>
      </x:c>
    </x:row>
    <x:row r="317">
      <x:c r="A317" s="63" t="n">
        <x:v>6644</x:v>
      </x:c>
      <x:c r="B317" s="49" t="str">
        <x:v>Shri. Ambabai Talim Sanstha's Sanjay Bhokare Group of Institutes, Miraj</x:v>
      </x:c>
      <x:c r="C317" s="49" t="str">
        <x:v>Sangli</x:v>
      </x:c>
      <x:c r="D317" s="49"/>
      <x:c r="E317" s="49" t="str">
        <x:v>Not centrally verified</x:v>
      </x:c>
      <x:c r="F317" s="49" t="str">
        <x:v>Not scored because official domain was not centrally verified</x:v>
      </x:c>
    </x:row>
    <x:row r="318">
      <x:c r="A318" s="63" t="n">
        <x:v>6649</x:v>
      </x:c>
      <x:c r="B318" s="49" t="str">
        <x:v>TSSM's Bhivarabai Sawant College of Engineering and Research, Narhe, Pune</x:v>
      </x:c>
      <x:c r="C318" s="49" t="str">
        <x:v>Pune</x:v>
      </x:c>
      <x:c r="D318" s="49"/>
      <x:c r="E318" s="49" t="str">
        <x:v>Not centrally verified</x:v>
      </x:c>
      <x:c r="F318" s="49" t="str">
        <x:v>Not scored because official domain was not centrally verified</x:v>
      </x:c>
    </x:row>
    <x:row r="319">
      <x:c r="A319" s="63" t="n">
        <x:v>6714</x:v>
      </x:c>
      <x:c r="B319" s="49" t="str">
        <x:v>APPASAHEB ALIAS SA.RE.PATIL INSTITUTE OF TECHNOLOGY, Dattanagar Tal-Shirol, Dist Kolhapur</x:v>
      </x:c>
      <x:c r="C319" s="49"/>
      <x:c r="D319" s="49"/>
      <x:c r="E319" s="49" t="str">
        <x:v>Not centrally verified</x:v>
      </x:c>
      <x:c r="F319" s="49" t="str">
        <x:v>Not scored because official domain was not centrally verified</x:v>
      </x:c>
    </x:row>
    <x:row r="320">
      <x:c r="A320" s="63" t="n">
        <x:v>6732</x:v>
      </x:c>
      <x:c r="B320" s="49" t="str">
        <x:v>Ajeenkya DY Patil School of Engineering, Lohegaon, Pune</x:v>
      </x:c>
      <x:c r="C320" s="49" t="str">
        <x:v>Pune</x:v>
      </x:c>
      <x:c r="D320" s="49"/>
      <x:c r="E320" s="49" t="str">
        <x:v>Not centrally verified</x:v>
      </x:c>
      <x:c r="F320" s="49" t="str">
        <x:v>Not scored because official domain was not centrally verified</x:v>
      </x:c>
    </x:row>
    <x:row r="321">
      <x:c r="A321" s="63" t="n">
        <x:v>6754</x:v>
      </x:c>
      <x:c r="B321" s="49" t="str">
        <x:v>International Institute of Information Technology (I²IT), Pune.</x:v>
      </x:c>
      <x:c r="C321" s="49" t="str">
        <x:v>Pune</x:v>
      </x:c>
      <x:c r="D321" s="49"/>
      <x:c r="E321" s="49" t="str">
        <x:v>Not centrally verified</x:v>
      </x:c>
      <x:c r="F321" s="49" t="str">
        <x:v>Not scored because official domain was not centrally verified</x:v>
      </x:c>
    </x:row>
    <x:row r="322">
      <x:c r="A322" s="63" t="n">
        <x:v>6755</x:v>
      </x:c>
      <x:c r="B322" s="49" t="str">
        <x:v>JSPM Narhe Technical Campus, Pune.</x:v>
      </x:c>
      <x:c r="C322" s="49" t="str">
        <x:v>Pune</x:v>
      </x:c>
      <x:c r="D322" s="49"/>
      <x:c r="E322" s="49" t="str">
        <x:v>Not centrally verified</x:v>
      </x:c>
      <x:c r="F322" s="49" t="str">
        <x:v>Not scored because official domain was not centrally verified</x:v>
      </x:c>
    </x:row>
    <x:row r="323">
      <x:c r="A323" s="63" t="n">
        <x:v>6756</x:v>
      </x:c>
      <x:c r="B323" s="49" t="str">
        <x:v>Fabtech Technical Campus College of Engineering and Research, Sangola</x:v>
      </x:c>
      <x:c r="C323" s="49" t="str">
        <x:v>Solapur</x:v>
      </x:c>
      <x:c r="D323" s="49"/>
      <x:c r="E323" s="49" t="str">
        <x:v>Not centrally verified</x:v>
      </x:c>
      <x:c r="F323" s="49" t="str">
        <x:v>Not scored because official domain was not centrally verified</x:v>
      </x:c>
    </x:row>
    <x:row r="324">
      <x:c r="A324" s="63" t="n">
        <x:v>6757</x:v>
      </x:c>
      <x:c r="B324" s="49" t="str">
        <x:v>Yashoda Technical Campus, Wadhe, Satara.</x:v>
      </x:c>
      <x:c r="C324" s="49" t="str">
        <x:v>Satara</x:v>
      </x:c>
      <x:c r="D324" s="49"/>
      <x:c r="E324" s="49" t="str">
        <x:v>Not centrally verified</x:v>
      </x:c>
      <x:c r="F324" s="49" t="str">
        <x:v>Not scored because official domain was not centrally verified</x:v>
      </x:c>
    </x:row>
    <x:row r="325">
      <x:c r="A325" s="63" t="n">
        <x:v>6758</x:v>
      </x:c>
      <x:c r="B325" s="49" t="str">
        <x:v>Sahyadri Valley College of Engineering &amp; Technology, Rajuri, Pune.</x:v>
      </x:c>
      <x:c r="C325" s="49" t="str">
        <x:v>Pune</x:v>
      </x:c>
      <x:c r="D325" s="49"/>
      <x:c r="E325" s="49" t="str">
        <x:v>Not centrally verified</x:v>
      </x:c>
      <x:c r="F325" s="49" t="str">
        <x:v>Not scored because official domain was not centrally verified</x:v>
      </x:c>
    </x:row>
    <x:row r="326">
      <x:c r="A326" s="63" t="n">
        <x:v>6759</x:v>
      </x:c>
      <x:c r="B326" s="49" t="str">
        <x:v>Shree Ramchandra College of Engineering, Lonikand,Pune</x:v>
      </x:c>
      <x:c r="C326" s="49" t="str">
        <x:v>Pune</x:v>
      </x:c>
      <x:c r="D326" s="49"/>
      <x:c r="E326" s="49" t="str">
        <x:v>Not centrally verified</x:v>
      </x:c>
      <x:c r="F326" s="49" t="str">
        <x:v>Not scored because official domain was not centrally verified</x:v>
      </x:c>
    </x:row>
    <x:row r="327">
      <x:c r="A327" s="63" t="n">
        <x:v>6762</x:v>
      </x:c>
      <x:c r="B327" s="49" t="str">
        <x:v>Nanasaheb Mahadik College of Engineering,Walwa, Sangli.</x:v>
      </x:c>
      <x:c r="C327" s="49" t="str">
        <x:v>Sangli</x:v>
      </x:c>
      <x:c r="D327" s="49"/>
      <x:c r="E327" s="49" t="str">
        <x:v>Not centrally verified</x:v>
      </x:c>
      <x:c r="F327" s="49" t="str">
        <x:v>Not scored because official domain was not centrally verified</x:v>
      </x:c>
    </x:row>
    <x:row r="328">
      <x:c r="A328" s="63" t="n">
        <x:v>6766</x:v>
      </x:c>
      <x:c r="B328" s="49" t="str">
        <x:v>Phaltan Education Society's College of Engineering Thakurki Tal- Phaltan Dist-Satara</x:v>
      </x:c>
      <x:c r="C328" s="49" t="str">
        <x:v>Satara</x:v>
      </x:c>
      <x:c r="D328" s="49"/>
      <x:c r="E328" s="49" t="str">
        <x:v>Not centrally verified</x:v>
      </x:c>
      <x:c r="F328" s="49" t="str">
        <x:v>Not scored because official domain was not centrally verified</x:v>
      </x:c>
    </x:row>
    <x:row r="329">
      <x:c r="A329" s="63" t="n">
        <x:v>6767</x:v>
      </x:c>
      <x:c r="B329" s="49" t="str">
        <x:v>Suman Ramesh Tulsiani Technical Campus Faculty of Engineering, Kamshet,Pune.</x:v>
      </x:c>
      <x:c r="C329" s="49" t="str">
        <x:v>Pune</x:v>
      </x:c>
      <x:c r="D329" s="49"/>
      <x:c r="E329" s="49" t="str">
        <x:v>Not centrally verified</x:v>
      </x:c>
      <x:c r="F329" s="49" t="str">
        <x:v>Not scored because official domain was not centrally verified</x:v>
      </x:c>
    </x:row>
    <x:row r="330">
      <x:c r="A330" s="63" t="n">
        <x:v>6768</x:v>
      </x:c>
      <x:c r="B330" s="49" t="str">
        <x:v>P.K. Technical Campus, Pune.</x:v>
      </x:c>
      <x:c r="C330" s="49" t="str">
        <x:v>Pune</x:v>
      </x:c>
      <x:c r="D330" s="49"/>
      <x:c r="E330" s="49" t="str">
        <x:v>Not centrally verified</x:v>
      </x:c>
      <x:c r="F330" s="49" t="str">
        <x:v>Not scored because official domain was not centrally verified</x:v>
      </x:c>
    </x:row>
    <x:row r="331">
      <x:c r="A331" s="63" t="n">
        <x:v>6769</x:v>
      </x:c>
      <x:c r="B331" s="49" t="str">
        <x:v>Rasiklal M. Dhariwal Sinhgad Technical Institutes Campus, Warje, Pune.</x:v>
      </x:c>
      <x:c r="C331" s="49" t="str">
        <x:v>Pune</x:v>
      </x:c>
      <x:c r="D331" s="49"/>
      <x:c r="E331" s="49" t="str">
        <x:v>Not centrally verified</x:v>
      </x:c>
      <x:c r="F331" s="49" t="str">
        <x:v>Not scored because official domain was not centrally verified</x:v>
      </x:c>
    </x:row>
    <x:row r="332">
      <x:c r="A332" s="63" t="n">
        <x:v>6770</x:v>
      </x:c>
      <x:c r="B332" s="49" t="str">
        <x:v>SKN Sinhgad Institute of Technology &amp; Science, Kusgaon(BK),Pune.</x:v>
      </x:c>
      <x:c r="C332" s="49" t="str">
        <x:v>Pune</x:v>
      </x:c>
      <x:c r="D332" s="49"/>
      <x:c r="E332" s="49" t="str">
        <x:v>Not centrally verified</x:v>
      </x:c>
      <x:c r="F332" s="49" t="str">
        <x:v>Not scored because official domain was not centrally verified</x:v>
      </x:c>
    </x:row>
    <x:row r="333">
      <x:c r="A333" s="63" t="n">
        <x:v>6771</x:v>
      </x:c>
      <x:c r="B333" s="49" t="str">
        <x:v>Flora Institute of Technology, Khopi, Near Khed Shivapur Toll Plaza, Pune</x:v>
      </x:c>
      <x:c r="C333" s="49"/>
      <x:c r="D333" s="49"/>
      <x:c r="E333" s="49" t="str">
        <x:v>Not centrally verified</x:v>
      </x:c>
      <x:c r="F333" s="49" t="str">
        <x:v>Not scored because official domain was not centrally verified</x:v>
      </x:c>
    </x:row>
    <x:row r="334">
      <x:c r="A334" s="63" t="n">
        <x:v>6772</x:v>
      </x:c>
      <x:c r="B334" s="49" t="str">
        <x:v>NBN Sinhgad Technical Institutes Campus, Pune</x:v>
      </x:c>
      <x:c r="C334" s="49" t="str">
        <x:v>Pune</x:v>
      </x:c>
      <x:c r="D334" s="49"/>
      <x:c r="E334" s="49" t="str">
        <x:v>Not centrally verified</x:v>
      </x:c>
      <x:c r="F334" s="49" t="str">
        <x:v>Not scored because official domain was not centrally verified</x:v>
      </x:c>
    </x:row>
    <x:row r="335">
      <x:c r="A335" s="63" t="n">
        <x:v>6780</x:v>
      </x:c>
      <x:c r="B335" s="49" t="str">
        <x:v>D.Y.Patil Education Society's,D.Y.Patil Technical Campus, Faculty of Engineering &amp; Faculty of Management,Talsande,Kolhapur.</x:v>
      </x:c>
      <x:c r="C335" s="49" t="str">
        <x:v>Kolhapur</x:v>
      </x:c>
      <x:c r="D335" s="49"/>
      <x:c r="E335" s="49" t="str">
        <x:v>Not centrally verified</x:v>
      </x:c>
      <x:c r="F335" s="49" t="str">
        <x:v>Not scored because official domain was not centrally verified</x:v>
      </x:c>
    </x:row>
    <x:row r="336">
      <x:c r="A336" s="63" t="n">
        <x:v>6781</x:v>
      </x:c>
      <x:c r="B336" s="49" t="str">
        <x:v>Bhagwant Institute of Technology, Barshi</x:v>
      </x:c>
      <x:c r="C336" s="49" t="str">
        <x:v>Solapur</x:v>
      </x:c>
      <x:c r="D336" s="49"/>
      <x:c r="E336" s="49" t="str">
        <x:v>Not centrally verified</x:v>
      </x:c>
      <x:c r="F336" s="49" t="str">
        <x:v>Not scored because official domain was not centrally verified</x:v>
      </x:c>
    </x:row>
    <x:row r="337">
      <x:c r="A337" s="63" t="n">
        <x:v>6782</x:v>
      </x:c>
      <x:c r="B337" s="49" t="str">
        <x:v>Sahakar Maharshee Shankarrao Mohite Patil Institute of Technology &amp; Research, Akluj</x:v>
      </x:c>
      <x:c r="C337" s="49" t="str">
        <x:v>Solapur</x:v>
      </x:c>
      <x:c r="D337" s="49"/>
      <x:c r="E337" s="49" t="str">
        <x:v>Not centrally verified</x:v>
      </x:c>
      <x:c r="F337" s="49" t="str">
        <x:v>Not scored because official domain was not centrally verified</x:v>
      </x:c>
    </x:row>
    <x:row r="338">
      <x:c r="A338" s="63" t="n">
        <x:v>6794</x:v>
      </x:c>
      <x:c r="B338" s="49" t="str">
        <x:v>Anantrao Pawar College of Engineering &amp; Research, Pune</x:v>
      </x:c>
      <x:c r="C338" s="49" t="str">
        <x:v>Pune</x:v>
      </x:c>
      <x:c r="D338" s="49"/>
      <x:c r="E338" s="49" t="str">
        <x:v>Not centrally verified</x:v>
      </x:c>
      <x:c r="F338" s="49" t="str">
        <x:v>Not scored because official domain was not centrally verified</x:v>
      </x:c>
    </x:row>
    <x:row r="339">
      <x:c r="A339" s="63" t="n">
        <x:v>6795</x:v>
      </x:c>
      <x:c r="B339" s="49" t="str">
        <x:v>Shri.Someshwar Shikshan Prasarak Mandal, Sharadchandra Pawar College of Engineering &amp; Technology, Someshwar Nagar</x:v>
      </x:c>
      <x:c r="C339" s="49" t="str">
        <x:v>Pune</x:v>
      </x:c>
      <x:c r="D339" s="49"/>
      <x:c r="E339" s="49" t="str">
        <x:v>Not centrally verified</x:v>
      </x:c>
      <x:c r="F339" s="49" t="str">
        <x:v>Not scored because official domain was not centrally verified</x:v>
      </x:c>
    </x:row>
    <x:row r="340">
      <x:c r="A340" s="63" t="n">
        <x:v>6796</x:v>
      </x:c>
      <x:c r="B340" s="49" t="str">
        <x:v>Bharati Vidyapeeth's College of Engineering,Lavale, Pune</x:v>
      </x:c>
      <x:c r="C340" s="49" t="str">
        <x:v>Pune</x:v>
      </x:c>
      <x:c r="D340" s="49"/>
      <x:c r="E340" s="49" t="str">
        <x:v>Not centrally verified</x:v>
      </x:c>
      <x:c r="F340" s="49" t="str">
        <x:v>Not scored because official domain was not centrally verified</x:v>
      </x:c>
    </x:row>
    <x:row r="341">
      <x:c r="A341" s="63" t="n">
        <x:v>6797</x:v>
      </x:c>
      <x:c r="B341" s="49" t="str">
        <x:v>Dnyanshree Institute Engineering and Technology, Satara</x:v>
      </x:c>
      <x:c r="C341" s="49" t="str">
        <x:v>Satara</x:v>
      </x:c>
      <x:c r="D341" s="49"/>
      <x:c r="E341" s="49" t="str">
        <x:v>Not centrally verified</x:v>
      </x:c>
      <x:c r="F341" s="49" t="str">
        <x:v>Not scored because official domain was not centrally verified</x:v>
      </x:c>
    </x:row>
    <x:row r="342">
      <x:c r="A342" s="63" t="n">
        <x:v>6799</x:v>
      </x:c>
      <x:c r="B342" s="49" t="str">
        <x:v>Shivganga Charitable Trust, Sangli Vishveshwarya Technical Campus, Faculty of Diploma Engineering, Patgaon, Miraj</x:v>
      </x:c>
      <x:c r="C342" s="49" t="str">
        <x:v>Sangli</x:v>
      </x:c>
      <x:c r="D342" s="49"/>
      <x:c r="E342" s="49" t="str">
        <x:v>Not centrally verified</x:v>
      </x:c>
      <x:c r="F342" s="49" t="str">
        <x:v>Not scored because official domain was not centrally verified</x:v>
      </x:c>
    </x:row>
    <x:row r="343">
      <x:c r="A343" s="63" t="n">
        <x:v>6802</x:v>
      </x:c>
      <x:c r="B343" s="49" t="str">
        <x:v>Dr. D.Y.Patil Institute of Engineering, Management &amp; Reseach, Akurdi, Pune</x:v>
      </x:c>
      <x:c r="C343" s="49" t="str">
        <x:v>Pune</x:v>
      </x:c>
      <x:c r="D343" s="49"/>
      <x:c r="E343" s="49" t="str">
        <x:v>Not centrally verified</x:v>
      </x:c>
      <x:c r="F343" s="49" t="str">
        <x:v>Not scored because official domain was not centrally verified</x:v>
      </x:c>
    </x:row>
    <x:row r="344">
      <x:c r="A344" s="63" t="n">
        <x:v>6803</x:v>
      </x:c>
      <x:c r="B344" s="49" t="str">
        <x:v>Sant Gajanan Maharaj College of Engineering, Gadhinglaj</x:v>
      </x:c>
      <x:c r="C344" s="49" t="str">
        <x:v>Kolhapur</x:v>
      </x:c>
      <x:c r="D344" s="49"/>
      <x:c r="E344" s="49" t="str">
        <x:v>Not centrally verified</x:v>
      </x:c>
      <x:c r="F344" s="49" t="str">
        <x:v>Not scored because official domain was not centrally verified</x:v>
      </x:c>
    </x:row>
    <x:row r="345">
      <x:c r="A345" s="63" t="n">
        <x:v>6808</x:v>
      </x:c>
      <x:c r="B345" s="49" t="str">
        <x:v>Keystone School of Engineering, Pune</x:v>
      </x:c>
      <x:c r="C345" s="49" t="str">
        <x:v>Pune</x:v>
      </x:c>
      <x:c r="D345" s="49"/>
      <x:c r="E345" s="49" t="str">
        <x:v>Not centrally verified</x:v>
      </x:c>
      <x:c r="F345" s="49" t="str">
        <x:v>Not scored because official domain was not centrally verified</x:v>
      </x:c>
    </x:row>
    <x:row r="346">
      <x:c r="A346" s="63" t="n">
        <x:v>6811</x:v>
      </x:c>
      <x:c r="B346" s="49" t="str">
        <x:v>Sanjay Ghodawat Institute</x:v>
      </x:c>
      <x:c r="C346" s="49"/>
      <x:c r="D346" s="49"/>
      <x:c r="E346" s="49" t="str">
        <x:v>Not centrally verified</x:v>
      </x:c>
      <x:c r="F346" s="49" t="str">
        <x:v>Not scored because official domain was not centrally verified</x:v>
      </x:c>
    </x:row>
    <x:row r="347">
      <x:c r="A347" s="63" t="n">
        <x:v>6815</x:v>
      </x:c>
      <x:c r="B347" s="49" t="str">
        <x:v>Vidya Prasarini Sabha's College of Engineering &amp; Technology, Lonavala</x:v>
      </x:c>
      <x:c r="C347" s="49" t="str">
        <x:v>Pune</x:v>
      </x:c>
      <x:c r="D347" s="49"/>
      <x:c r="E347" s="49" t="str">
        <x:v>Not centrally verified</x:v>
      </x:c>
      <x:c r="F347" s="49" t="str">
        <x:v>Not scored because official domain was not centrally verified</x:v>
      </x:c>
    </x:row>
    <x:row r="348">
      <x:c r="A348" s="63" t="n">
        <x:v>6822</x:v>
      </x:c>
      <x:c r="B348" s="49" t="str">
        <x:v>Pimpri Chinchwad Education Trust's Pimpri Chinchwad College Of Engineering And Research, Ravet</x:v>
      </x:c>
      <x:c r="C348" s="49" t="str">
        <x:v>Pune</x:v>
      </x:c>
      <x:c r="D348" s="49"/>
      <x:c r="E348" s="49" t="str">
        <x:v>Not centrally verified</x:v>
      </x:c>
      <x:c r="F348" s="49" t="str">
        <x:v>Not scored because official domain was not centrally verified</x:v>
      </x:c>
    </x:row>
    <x:row r="349">
      <x:c r="A349" s="63" t="n">
        <x:v>6834</x:v>
      </x:c>
      <x:c r="B349" s="49" t="str">
        <x:v>Dr.D.Y.Patil College Of Engineering &amp; Innovation,Talegaon</x:v>
      </x:c>
      <x:c r="C349" s="49" t="str">
        <x:v>Pune</x:v>
      </x:c>
      <x:c r="D349" s="49"/>
      <x:c r="E349" s="49" t="str">
        <x:v>Not centrally verified</x:v>
      </x:c>
      <x:c r="F349" s="49" t="str">
        <x:v>Not scored because official domain was not centrally verified</x:v>
      </x:c>
    </x:row>
    <x:row r="350">
      <x:c r="A350" s="63" t="n">
        <x:v>6839</x:v>
      </x:c>
      <x:c r="B350" s="49" t="str">
        <x:v>Dr. D Y Patil Pratishthan's College of Engineering, Kolhapur</x:v>
      </x:c>
      <x:c r="C350" s="49" t="str">
        <x:v>Kolhapur</x:v>
      </x:c>
      <x:c r="D350" s="49"/>
      <x:c r="E350" s="49" t="str">
        <x:v>Not centrally verified</x:v>
      </x:c>
      <x:c r="F350" s="49" t="str">
        <x:v>Not scored because official domain was not centrally verified</x:v>
      </x:c>
    </x:row>
    <x:row r="351">
      <x:c r="A351" s="63" t="n">
        <x:v>6878</x:v>
      </x:c>
      <x:c r="B351" s="49" t="str">
        <x:v>Dr. A. D. Shinde College Of Engineering, Tal.Gadhinglaj, Kolhapur</x:v>
      </x:c>
      <x:c r="C351" s="49" t="str">
        <x:v>Kolhapur</x:v>
      </x:c>
      <x:c r="D351" s="49"/>
      <x:c r="E351" s="49" t="str">
        <x:v>Not centrally verified</x:v>
      </x:c>
      <x:c r="F351" s="49" t="str">
        <x:v>Not scored because official domain was not centrally verified</x:v>
      </x:c>
    </x:row>
    <x:row r="352">
      <x:c r="A352" s="63" t="n">
        <x:v>6901</x:v>
      </x:c>
      <x:c r="B352" s="49" t="str">
        <x:v>MAEER's MIT College of Railway Engineering and Research, Jamgaon, Barshi</x:v>
      </x:c>
      <x:c r="C352" s="49" t="str">
        <x:v>Solapur</x:v>
      </x:c>
      <x:c r="D352" s="49"/>
      <x:c r="E352" s="49" t="str">
        <x:v>Not centrally verified</x:v>
      </x:c>
      <x:c r="F352" s="49" t="str">
        <x:v>Not scored because official domain was not centrally verified</x:v>
      </x:c>
    </x:row>
    <x:row r="353">
      <x:c r="A353" s="63" t="n">
        <x:v>6938</x:v>
      </x:c>
      <x:c r="B353" s="49" t="str">
        <x:v>Shree Siddheshwar Womens College Of Engineering Solapur.</x:v>
      </x:c>
      <x:c r="C353" s="49" t="str">
        <x:v>Solapur</x:v>
      </x:c>
      <x:c r="D353" s="49"/>
      <x:c r="E353" s="49" t="str">
        <x:v>Not centrally verified</x:v>
      </x:c>
      <x:c r="F353" s="49" t="str">
        <x:v>Not scored because official domain was not centrally verified</x:v>
      </x:c>
    </x:row>
    <x:row r="354">
      <x:c r="A354" s="63" t="n">
        <x:v>6991</x:v>
      </x:c>
      <x:c r="B354" s="49" t="str">
        <x:v>Dr. D.Y. Patil Technical Campus, Varale, Talegaon, Pune</x:v>
      </x:c>
      <x:c r="C354" s="49"/>
      <x:c r="D354" s="49"/>
      <x:c r="E354" s="49" t="str">
        <x:v>Not centrally verified</x:v>
      </x:c>
      <x:c r="F354" s="49" t="str">
        <x:v>Not scored because official domain was not centrally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3b3f29c9de9d4e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76" hidden="0" customWidth="1"/>
    <x:col min="5" max="5" width="24" hidden="0" customWidth="1"/>
    <x:col min="6" max="6" width="52" hidden="0" customWidth="1"/>
  </x:cols>
  <x:sheetData>
    <x:row r="1" ht="34" customHeight="1">
      <x:c r="A1" s="47" t="str">
        <x:v>Official Sources and Coverage Notes</x:v>
      </x:c>
      <x:c r="B1" s="47"/>
      <x:c r="C1" s="47"/>
      <x:c r="D1" s="47"/>
      <x:c r="E1" s="47"/>
      <x:c r="F1" s="47"/>
    </x:row>
    <x:row r="2" ht="42" customHeight="1">
      <x:c r="A2" s="48" t="str">
        <x:v>Sources are kept close to the dataset so every time-sensitive field can be refreshed independently in your predictor pipeline.</x:v>
      </x:c>
      <x:c r="B2" s="48"/>
      <x:c r="C2" s="48"/>
      <x:c r="D2" s="48"/>
      <x:c r="E2" s="48"/>
      <x:c r="F2" s="48"/>
    </x:row>
    <x:row r="3" ht="42" customHeight="1">
      <x:c r="A3" s="48"/>
      <x:c r="B3" s="48"/>
      <x:c r="C3" s="48"/>
      <x:c r="D3" s="48"/>
      <x:c r="E3" s="48"/>
      <x:c r="F3" s="48"/>
    </x:row>
    <x:row r="4">
      <x:c r="A4" s="49"/>
      <x:c r="B4" s="49"/>
      <x:c r="C4" s="49"/>
      <x:c r="D4" s="49"/>
      <x:c r="E4" s="49"/>
      <x:c r="F4" s="49"/>
    </x:row>
    <x:row r="5" ht="32" customHeight="1">
      <x:c r="A5" s="61" t="str">
        <x:v>Source</x:v>
      </x:c>
      <x:c r="B5" s="61" t="str">
        <x:v>Cycle</x:v>
      </x:c>
      <x:c r="C5" s="61" t="str">
        <x:v>Fields Used</x:v>
      </x:c>
      <x:c r="D5" s="61" t="str">
        <x:v>Official URL</x:v>
      </x:c>
      <x:c r="E5" s="61" t="str">
        <x:v>Authority</x:v>
      </x:c>
      <x:c r="F5" s="61" t="str">
        <x:v>Coverage / Limitation</x:v>
      </x:c>
    </x:row>
    <x:row r="6">
      <x:c r="A6" s="49" t="str">
        <x:v>Current CAP hub</x:v>
      </x:c>
      <x:c r="B6" s="49" t="str">
        <x:v>2026-27</x:v>
      </x:c>
      <x:c r="C6" s="49" t="str">
        <x:v>Current admission portal links</x:v>
      </x:c>
      <x:c r="D6" s="49" t="str">
        <x:v>https://cetcell.mahacet.org/cap-_2026-27/</x:v>
      </x:c>
      <x:c r="E6" s="49" t="str">
        <x:v>Official CET Cell</x:v>
      </x:c>
      <x:c r="F6" s="49" t="str">
        <x:v>Portal status/reference only</x:v>
      </x:c>
    </x:row>
    <x:row r="7">
      <x:c r="A7" s="49" t="str">
        <x:v>DSE current portal</x:v>
      </x:c>
      <x:c r="B7" s="49" t="str">
        <x:v>2026-27</x:v>
      </x:c>
      <x:c r="C7" s="49" t="str">
        <x:v>Direct Second Year Engineering admissions</x:v>
      </x:c>
      <x:c r="D7" s="49" t="str">
        <x:v>https://dse2026.mahacet.org.in/</x:v>
      </x:c>
      <x:c r="E7" s="49" t="str">
        <x:v>Official CET Cell</x:v>
      </x:c>
      <x:c r="F7" s="49" t="str">
        <x:v>Portal was live; automated extraction was access-limited</x:v>
      </x:c>
    </x:row>
    <x:row r="8">
      <x:c r="A8" s="49" t="str">
        <x:v>Information brochure</x:v>
      </x:c>
      <x:c r="B8" s="49" t="str">
        <x:v>2026-27</x:v>
      </x:c>
      <x:c r="C8" s="49" t="str">
        <x:v>Admission rules and definitions</x:v>
      </x:c>
      <x:c r="D8" s="49" t="str">
        <x:v>https://fe2026.mahacet.org/PublicPages/Information_Brochure_UG_PG_2026_27_dt_2_7_2026_DHG_1_Display.pdf?did=82533</x:v>
      </x:c>
      <x:c r="E8" s="49" t="str">
        <x:v>Official CET Cell</x:v>
      </x:c>
      <x:c r="F8" s="49" t="str">
        <x:v>Current-cycle rule reference</x:v>
      </x:c>
    </x:row>
    <x:row r="9">
      <x:c r="A9" s="49" t="str">
        <x:v>Approved UG/PG courses</x:v>
      </x:c>
      <x:c r="B9" s="49" t="str">
        <x:v>2026-27</x:v>
      </x:c>
      <x:c r="C9" s="49" t="str">
        <x:v>DTE institute/course approval portal</x:v>
      </x:c>
      <x:c r="D9" s="49" t="str">
        <x:v>https://ugpg26.dtemaharashtra.gov.in/frmnewloginpage</x:v>
      </x:c>
      <x:c r="E9" s="49" t="str">
        <x:v>Official DTE Maharashtra</x:v>
      </x:c>
      <x:c r="F9" s="49" t="str">
        <x:v>Current portal; results not bulk-extracted</x:v>
      </x:c>
    </x:row>
    <x:row r="10">
      <x:c r="A10" s="49" t="str">
        <x:v>Approved B.E./Technology list</x:v>
      </x:c>
      <x:c r="B10" s="49" t="str">
        <x:v>2026-27</x:v>
      </x:c>
      <x:c r="C10" s="49" t="str">
        <x:v>Public programme filter</x:v>
      </x:c>
      <x:c r="D10" s="49" t="str">
        <x:v>https://ugpg26.dtemaharashtra.gov.in/Admin/frmFilterChoiceCode.aspx?ProgramID=21</x:v>
      </x:c>
      <x:c r="E10" s="49" t="str">
        <x:v>Official DTE Maharashtra</x:v>
      </x:c>
      <x:c r="F10" s="49" t="str">
        <x:v>Current portal; use for refresh checks</x:v>
      </x:c>
    </x:row>
    <x:row r="11">
      <x:c r="A11" s="49" t="str">
        <x:v>DSE seat matrix</x:v>
      </x:c>
      <x:c r="B11" s="49" t="str">
        <x:v>2025-26</x:v>
      </x:c>
      <x:c r="C11" s="49" t="str">
        <x:v>Institute/branch seats and composition</x:v>
      </x:c>
      <x:c r="D11" s="49" t="str">
        <x:v>https://dse2025.mahacet.org.in/dse25/admin/allotment/cap2/{institute_code}_4.pdf</x:v>
      </x:c>
      <x:c r="E11" s="49" t="str">
        <x:v>Official CET Cell</x:v>
      </x:c>
      <x:c r="F11" s="49" t="str">
        <x:v>346 PDFs parsed; 7 URLs unavailable</x:v>
      </x:c>
    </x:row>
    <x:row r="12">
      <x:c r="A12" s="49" t="str">
        <x:v>Fee Regulating Authority</x:v>
      </x:c>
      <x:c r="B12" s="49" t="str">
        <x:v>2024-25 latest verified</x:v>
      </x:c>
      <x:c r="C12" s="49" t="str">
        <x:v>Approved tuition/development fee</x:v>
      </x:c>
      <x:c r="D12" s="49" t="str">
        <x:v>https://mahafra.org/</x:v>
      </x:c>
      <x:c r="E12" s="49" t="str">
        <x:v>Official FRA Maharashtra</x:v>
      </x:c>
      <x:c r="F12" s="49" t="str">
        <x:v>Normal approved annual fee, not seat-type payable fee</x:v>
      </x:c>
    </x:row>
    <x:row r="13">
      <x:c r="A13" s="49" t="str">
        <x:v>NIRF Engineering</x:v>
      </x:c>
      <x:c r="B13" s="49" t="str">
        <x:v>2025</x:v>
      </x:c>
      <x:c r="C13" s="49" t="str">
        <x:v>Exact ranks 1-100</x:v>
      </x:c>
      <x:c r="D13" s="49" t="str">
        <x:v>https://www.nirfindia.org/Rankings/2025/EngineeringRanking.html</x:v>
      </x:c>
      <x:c r="E13" s="49" t="str">
        <x:v>Official NIRF</x:v>
      </x:c>
      <x:c r="F13" s="49" t="str">
        <x:v>Manually matched by CET institute code</x:v>
      </x:c>
    </x:row>
    <x:row r="14">
      <x:c r="A14" s="49" t="str">
        <x:v>NIRF Engineering</x:v>
      </x:c>
      <x:c r="B14" s="49" t="str">
        <x:v>2025</x:v>
      </x:c>
      <x:c r="C14" s="49" t="str">
        <x:v>Rank band 101-150</x:v>
      </x:c>
      <x:c r="D14" s="49" t="str">
        <x:v>https://www.nirfindia.org/Rankings/2025/EngineeringRanking150.html</x:v>
      </x:c>
      <x:c r="E14" s="49" t="str">
        <x:v>Official NIRF</x:v>
      </x:c>
      <x:c r="F14" s="49" t="str">
        <x:v>Band only; no invented ordinal rank</x:v>
      </x:c>
    </x:row>
    <x:row r="15">
      <x:c r="A15" s="49" t="str">
        <x:v>NIRF Engineering</x:v>
      </x:c>
      <x:c r="B15" s="49" t="str">
        <x:v>2025</x:v>
      </x:c>
      <x:c r="C15" s="49" t="str">
        <x:v>Rank band 151-200</x:v>
      </x:c>
      <x:c r="D15" s="49" t="str">
        <x:v>https://www.nirfindia.org/Rankings/2025/EngineeringRanking200.html</x:v>
      </x:c>
      <x:c r="E15" s="49" t="str">
        <x:v>Official NIRF</x:v>
      </x:c>
      <x:c r="F15" s="49" t="str">
        <x:v>Band only; no invented ordinal rank</x:v>
      </x:c>
    </x:row>
    <x:row r="16">
      <x:c r="A16" s="49" t="str">
        <x:v>NIRF Engineering</x:v>
      </x:c>
      <x:c r="B16" s="49" t="str">
        <x:v>2025</x:v>
      </x:c>
      <x:c r="C16" s="49" t="str">
        <x:v>Rank band 201-300</x:v>
      </x:c>
      <x:c r="D16" s="49" t="str">
        <x:v>https://www.nirfindia.org/Rankings/2025/EngineeringRanking300.html</x:v>
      </x:c>
      <x:c r="E16" s="49" t="str">
        <x:v>Official NIRF</x:v>
      </x:c>
      <x:c r="F16" s="49" t="str">
        <x:v>Band only; no invented ordinal rank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7bdca3d88ad643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74" hidden="0" customWidth="1"/>
    <x:col min="4" max="4" width="64" hidden="0" customWidth="1"/>
  </x:cols>
  <x:sheetData>
    <x:row r="1" ht="34" customHeight="1">
      <x:c r="A1" s="47" t="str">
        <x:v>Data Dictionary</x:v>
      </x:c>
      <x:c r="B1" s="47"/>
      <x:c r="C1" s="47"/>
      <x:c r="D1" s="47"/>
    </x:row>
    <x:row r="2" ht="42" customHeight="1">
      <x:c r="A2" s="48" t="str">
        <x:v>Definitions are designed for direct use in a predictor database or feature pipeline.</x:v>
      </x:c>
      <x:c r="B2" s="48"/>
      <x:c r="C2" s="48"/>
      <x:c r="D2" s="48"/>
    </x:row>
    <x:row r="3" ht="42" customHeight="1">
      <x:c r="A3" s="48"/>
      <x:c r="B3" s="48"/>
      <x:c r="C3" s="48"/>
      <x:c r="D3" s="48"/>
    </x:row>
    <x:row r="4">
      <x:c r="A4" s="49"/>
      <x:c r="B4" s="49"/>
      <x:c r="C4" s="49"/>
      <x:c r="D4" s="49"/>
    </x:row>
    <x:row r="5" ht="32" customHeight="1">
      <x:c r="A5" s="61" t="str">
        <x:v>Field</x:v>
      </x:c>
      <x:c r="B5" s="61" t="str">
        <x:v>Type</x:v>
      </x:c>
      <x:c r="C5" s="61" t="str">
        <x:v>Definition</x:v>
      </x:c>
      <x:c r="D5" s="61" t="str">
        <x:v>Predictor Guidance</x:v>
      </x:c>
    </x:row>
    <x:row r="6">
      <x:c r="A6" s="49" t="str">
        <x:v>Institute Code</x:v>
      </x:c>
      <x:c r="B6" s="49" t="str">
        <x:v>Text</x:v>
      </x:c>
      <x:c r="C6" s="49" t="str">
        <x:v>CET/DTE institute identifier; preserve leading zeroes</x:v>
      </x:c>
      <x:c r="D6" s="49" t="str">
        <x:v>Primary college join key</x:v>
      </x:c>
    </x:row>
    <x:row r="7">
      <x:c r="A7" s="49" t="str">
        <x:v>Choice Code</x:v>
      </x:c>
      <x:c r="B7" s="49" t="str">
        <x:v>Text</x:v>
      </x:c>
      <x:c r="C7" s="49" t="str">
        <x:v>CET course/branch identifier; preserve leading zeroes and suffixes</x:v>
      </x:c>
      <x:c r="D7" s="49" t="str">
        <x:v>Primary branch join key within institute</x:v>
      </x:c>
    </x:row>
    <x:row r="8">
      <x:c r="A8" s="49" t="str">
        <x:v>DSE Total Seats</x:v>
      </x:c>
      <x:c r="B8" s="49" t="str">
        <x:v>Integer</x:v>
      </x:c>
      <x:c r="C8" s="49" t="str">
        <x:v>Total seats printed in the official institute DSE seat matrix</x:v>
      </x:c>
      <x:c r="D8" s="49" t="str">
        <x:v>Capacity feature; not a cutoff</x:v>
      </x:c>
    </x:row>
    <x:row r="9">
      <x:c r="A9" s="49" t="str">
        <x:v>MS / EWS / Minority / Other Seats</x:v>
      </x:c>
      <x:c r="B9" s="49" t="str">
        <x:v>Integer</x:v>
      </x:c>
      <x:c r="C9" s="49" t="str">
        <x:v>Parsed components printed in the official PDF; Other is the residual when components do not cover total</x:v>
      </x:c>
      <x:c r="D9" s="49" t="str">
        <x:v>Do not infer applicant eligibility from this alone</x:v>
      </x:c>
    </x:row>
    <x:row r="10">
      <x:c r="A10" s="49" t="str">
        <x:v>Ownership Type</x:v>
      </x:c>
      <x:c r="B10" s="49" t="str">
        <x:v>Text</x:v>
      </x:c>
      <x:c r="C10" s="49" t="str">
        <x:v>Government, government-aided, university or unaided classification from official reference</x:v>
      </x:c>
      <x:c r="D10" s="49" t="str">
        <x:v>Institution feature</x:v>
      </x:c>
    </x:row>
    <x:row r="11">
      <x:c r="A11" s="49" t="str">
        <x:v>Autonomy Status</x:v>
      </x:c>
      <x:c r="B11" s="49" t="str">
        <x:v>Text</x:v>
      </x:c>
      <x:c r="C11" s="49" t="str">
        <x:v>Autonomous/non-autonomous status from official reference</x:v>
      </x:c>
      <x:c r="D11" s="49" t="str">
        <x:v>Institution feature; check current portal for updates</x:v>
      </x:c>
    </x:row>
    <x:row r="12">
      <x:c r="A12" s="49" t="str">
        <x:v>Total Approved Fee</x:v>
      </x:c>
      <x:c r="B12" s="49" t="str">
        <x:v>Currency INR</x:v>
      </x:c>
      <x:c r="C12" s="49" t="str">
        <x:v>Latest verified FRA tuition + development fee</x:v>
      </x:c>
      <x:c r="D12" s="49" t="str">
        <x:v>Normal annual fee, not candidate payable fee by category</x:v>
      </x:c>
    </x:row>
    <x:row r="13">
      <x:c r="A13" s="49" t="str">
        <x:v>NIRF Rank</x:v>
      </x:c>
      <x:c r="B13" s="49" t="str">
        <x:v>Integer</x:v>
      </x:c>
      <x:c r="C13" s="49" t="str">
        <x:v>Official exact NIRF 2025 rank where published</x:v>
      </x:c>
      <x:c r="D13" s="49" t="str">
        <x:v>Only exact top-100 rank is numeric here</x:v>
      </x:c>
    </x:row>
    <x:row r="14">
      <x:c r="A14" s="49" t="str">
        <x:v>NIRF Band</x:v>
      </x:c>
      <x:c r="B14" s="49" t="str">
        <x:v>Text</x:v>
      </x:c>
      <x:c r="C14" s="49" t="str">
        <x:v>Official NIRF band such as 101-150</x:v>
      </x:c>
      <x:c r="D14" s="49" t="str">
        <x:v>Do not convert bands to invented ranks</x:v>
      </x:c>
    </x:row>
    <x:row r="15">
      <x:c r="A15" s="49" t="str">
        <x:v>Project Evidence Score</x:v>
      </x:c>
      <x:c r="B15" s="49" t="str">
        <x:v>Formula 0-100</x:v>
      </x:c>
      <x:c r="C15" s="49" t="str">
        <x:v>NIRF signal (max 50) + autonomy (20) + government/aided/university (15) + branch breadth (10) + verified website (3) + fee availability (2)</x:v>
      </x:c>
      <x:c r="D15" s="49" t="str">
        <x:v>Transparent engineering feature; not official rank</x:v>
      </x:c>
    </x:row>
    <x:row r="16">
      <x:c r="A16" s="49" t="str">
        <x:v>Planning Tier</x:v>
      </x:c>
      <x:c r="B16" s="49" t="str">
        <x:v>Formula text</x:v>
      </x:c>
      <x:c r="C16" s="49" t="str">
        <x:v>Label derived from Project Evidence Score</x:v>
      </x:c>
      <x:c r="D16" s="49" t="str">
        <x:v>Use only as a reference feature; calibrate with your own validation</x:v>
      </x:c>
    </x:row>
    <x:row r="17">
      <x:c r="A17" s="49" t="str">
        <x:v>Official Website</x:v>
      </x:c>
      <x:c r="B17" s="49" t="str">
        <x:v>URL</x:v>
      </x:c>
      <x:c r="C17" s="49" t="str">
        <x:v>Verified official institute domain only</x:v>
      </x:c>
      <x:c r="D17" s="49" t="str">
        <x:v>Blank means not centrally verified, not necessarily absent</x:v>
      </x:c>
    </x:row>
    <x:row r="18">
      <x:c r="A18" s="49" t="str">
        <x:v>NAAC / NBA Status</x:v>
      </x:c>
      <x:c r="B18" s="49" t="str">
        <x:v>Text</x:v>
      </x:c>
      <x:c r="C18" s="49" t="str">
        <x:v>Not centrally verified in this release</x:v>
      </x:c>
      <x:c r="D18" s="49" t="str">
        <x:v>Refresh from official accreditation records before production use</x:v>
      </x:c>
    </x:row>
    <x:row r="19">
      <x:c r="A19" s="49" t="str">
        <x:v>Placement Data Status</x:v>
      </x:c>
      <x:c r="B19" s="49" t="str">
        <x:v>Text</x:v>
      </x:c>
      <x:c r="C19" s="49" t="str">
        <x:v>No standardized official state-wide source extracted</x:v>
      </x:c>
      <x:c r="D19" s="49" t="str">
        <x:v>Do not combine incomparable college claims without a schema</x:v>
      </x:c>
    </x:row>
    <x:row r="20">
      <x:c r="A20" s="49" t="str">
        <x:v>Student Preference Data Status</x:v>
      </x:c>
      <x:c r="B20" s="49" t="str">
        <x:v>Text</x:v>
      </x:c>
      <x:c r="C20" s="49" t="str">
        <x:v>Not included because cutoff-derived proxies were excluded</x:v>
      </x:c>
      <x:c r="D20" s="49" t="str">
        <x:v>Build separately if you have a valid source</x:v>
      </x:c>
    </x:row>
    <x:row r="21">
      <x:c r="A21" s="49" t="str">
        <x:v>Data Quality Note</x:v>
      </x:c>
      <x:c r="B21" s="49" t="str">
        <x:v>Text</x:v>
      </x:c>
      <x:c r="C21" s="49" t="str">
        <x:v>Parsing/source exception for a row</x:v>
      </x:c>
      <x:c r="D21" s="49" t="str">
        <x:v>Use to exclude or flag incomplete records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072a13616a1a4411"/>
  </x:tableParts>
</x:worksheet>
</file>